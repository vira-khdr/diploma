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tables/table1.xml" ContentType="application/vnd.openxmlformats-officedocument.spreadsheetml.table+xml"/>
  <Override PartName="/xl/drawings/drawing15.xml" ContentType="application/vnd.openxmlformats-officedocument.drawing+xml"/>
  <Override PartName="/xl/tables/table2.xml" ContentType="application/vnd.openxmlformats-officedocument.spreadsheetml.table+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mc:AlternateContent xmlns:mc="http://schemas.openxmlformats.org/markup-compatibility/2006">
    <mc:Choice Requires="x15">
      <x15ac:absPath xmlns:x15ac="http://schemas.microsoft.com/office/spreadsheetml/2010/11/ac" url="C:\Users\admin\Downloads\"/>
    </mc:Choice>
  </mc:AlternateContent>
  <xr:revisionPtr revIDLastSave="0" documentId="10_ncr:8100000_{6AAF106B-35CD-4E4E-8BE5-9D01356F8D52}" xr6:coauthVersionLast="34" xr6:coauthVersionMax="34" xr10:uidLastSave="{00000000-0000-0000-0000-000000000000}"/>
  <bookViews>
    <workbookView xWindow="0" yWindow="0" windowWidth="8850" windowHeight="6945" tabRatio="709" firstSheet="4" activeTab="10" xr2:uid="{00000000-000D-0000-FFFF-FFFF00000000}"/>
  </bookViews>
  <sheets>
    <sheet name="Home" sheetId="1" r:id="rId1"/>
    <sheet name="Setup" sheetId="2" r:id="rId2"/>
    <sheet name="Population" sheetId="3" r:id="rId3"/>
    <sheet name="Interventions" sheetId="4" r:id="rId4"/>
    <sheet name="Events" sheetId="22" r:id="rId5"/>
    <sheet name="Adverse events" sheetId="7" r:id="rId6"/>
    <sheet name="Risk factors" sheetId="14" r:id="rId7"/>
    <sheet name="Costs" sheetId="8" r:id="rId8"/>
    <sheet name="Costs AE" sheetId="9" r:id="rId9"/>
    <sheet name="Results" sheetId="17" r:id="rId10"/>
    <sheet name="Sensitivity" sheetId="18" r:id="rId11"/>
    <sheet name="Background" sheetId="15" r:id="rId12"/>
    <sheet name="Cell options" sheetId="6" r:id="rId13"/>
    <sheet name="Parameters" sheetId="11" r:id="rId14"/>
    <sheet name="Defaults" sheetId="12" r:id="rId15"/>
    <sheet name="Calculations" sheetId="13" r:id="rId16"/>
    <sheet name="Markov" sheetId="21" r:id="rId17"/>
    <sheet name="MarkovKendall" sheetId="24" r:id="rId18"/>
    <sheet name="Results summary" sheetId="19" r:id="rId19"/>
    <sheet name="LifeTable" sheetId="23" r:id="rId20"/>
    <sheet name="Sensitivity results" sheetId="20" r:id="rId21"/>
    <sheet name="Inflation" sheetId="25" r:id="rId22"/>
  </sheets>
  <definedNames>
    <definedName name="CostDiscount">Setup!$F$12</definedName>
    <definedName name="Currency">Setup!$F$11</definedName>
    <definedName name="Death_per_year">LifeTable!$P$6</definedName>
    <definedName name="i_Adv_Alar">Parameters!$V$46</definedName>
    <definedName name="i_Adv_DSWI">Parameters!$V$43</definedName>
    <definedName name="i_Adv_Fals">Parameters!$V$44</definedName>
    <definedName name="i_Adv_In_h">Parameters!$V$39</definedName>
    <definedName name="i_Adv_Lead">Parameters!$V$45</definedName>
    <definedName name="i_Adv_Mort">Parameters!$V$40</definedName>
    <definedName name="i_Adv_SSI">Parameters!$V$42</definedName>
    <definedName name="i_Adv_Surg">Parameters!$V$41</definedName>
    <definedName name="i_Bac_CABG_death">Parameters!$V$77</definedName>
    <definedName name="i_BAC_DSWI_1y">Parameters!$V$76</definedName>
    <definedName name="i_BAC_DSWI_30d">Parameters!$V$74</definedName>
    <definedName name="i_BAC_DSWI_90d">Parameters!$V$75</definedName>
    <definedName name="i_Bac_ICU">Parameters!$V$80</definedName>
    <definedName name="i_Bac_MV_days">Parameters!$V$78</definedName>
    <definedName name="i_Bac_Obes">Parameters!$V$81</definedName>
    <definedName name="i_Bac_SSI_30d">Parameters!$V$72</definedName>
    <definedName name="i_Bac_SSI_90d">Parameters!$V$73</definedName>
    <definedName name="i_Bac_SSI_9d">Parameters!$V$71</definedName>
    <definedName name="i_Cos_CABG">Parameters!$V$55</definedName>
    <definedName name="i_Cos_Care">Parameters!$V$60</definedName>
    <definedName name="i_Cos_Days">Parameters!$V$62</definedName>
    <definedName name="i_Cos_DSWI">Parameters!$V$70</definedName>
    <definedName name="i_Cos_Fals">Parameters!$V$67</definedName>
    <definedName name="i_Cos_Gene">Parameters!$V$58</definedName>
    <definedName name="i_Cos_ICU">Parameters!$V$57</definedName>
    <definedName name="i_Cos_Inpa_DSWI">Parameters!$V$65</definedName>
    <definedName name="i_Cos_Inpa_SSI">Parameters!$V$63</definedName>
    <definedName name="i_Cos_Lead">Parameters!$V$68</definedName>
    <definedName name="i_Cos_Mech">Parameters!$V$56</definedName>
    <definedName name="i_Cos_Mort">Parameters!$V$79</definedName>
    <definedName name="i_Cos_Nurs">Parameters!$V$59</definedName>
    <definedName name="i_Cos_Outp">Parameters!$V$64</definedName>
    <definedName name="i_Cos_Pati">Parameters!$V$61</definedName>
    <definedName name="i_Cos_Read">Parameters!$V$66</definedName>
    <definedName name="i_Cos_SSI">Parameters!$V$69</definedName>
    <definedName name="i_Eve_Care">Parameters!$V$36</definedName>
    <definedName name="i_Eve_ECG">Parameters!$V$34</definedName>
    <definedName name="i_Eve_Faci">Parameters!$V$37</definedName>
    <definedName name="i_Eve_Home">Parameters!$V$35</definedName>
    <definedName name="i_Eve_Hosp">Parameters!$V$32</definedName>
    <definedName name="i_Eve_ICU">Parameters!$V$31</definedName>
    <definedName name="i_Eve_Prol">Parameters!$V$33</definedName>
    <definedName name="i_Eve_Reop">Parameters!$V$38</definedName>
    <definedName name="i_Eve_Time">Parameters!$V$30</definedName>
    <definedName name="i_Int_Cost">Parameters!$V$21</definedName>
    <definedName name="i_Int_Effi">Parameters!$V$23</definedName>
    <definedName name="i_Int_Kend_cost">Parameters!$V$24</definedName>
    <definedName name="i_Int_Kend_false">Parameters!$V$28</definedName>
    <definedName name="i_Int_Kend_leadsoff">Parameters!$V$29</definedName>
    <definedName name="i_Int_Kend_MS">Parameters!$V$25</definedName>
    <definedName name="i_Int_Kend_MS_inc">Parameters!$V$26</definedName>
    <definedName name="i_Int_Kend_ssi">Parameters!$V$27</definedName>
    <definedName name="i_Int_Mark">Parameters!$V$22</definedName>
    <definedName name="i_Int_Numb">Parameters!$V$18</definedName>
    <definedName name="i_Int_Numb_cable">Parameters!$V$20</definedName>
    <definedName name="i_Int_Purc_cable">Parameters!$V$19</definedName>
    <definedName name="i_Int_Purc_lead">Parameters!$V$17</definedName>
    <definedName name="i_Pop_Age">Parameters!$V$12</definedName>
    <definedName name="i_Pop_Diab">Parameters!$V$16</definedName>
    <definedName name="i_Pop_Gend">Parameters!$V$13</definedName>
    <definedName name="i_Pop_Morb">Parameters!$V$15</definedName>
    <definedName name="i_Pop_Obes">Parameters!$V$14</definedName>
    <definedName name="i_Ris_Age">Parameters!$V$47</definedName>
    <definedName name="i_Ris_Diab">Parameters!$V$54</definedName>
    <definedName name="i_Ris_DSWI">Parameters!$V$50</definedName>
    <definedName name="i_Ris_Gend">Parameters!$V$48</definedName>
    <definedName name="i_Ris_Hosp">Parameters!$V$52</definedName>
    <definedName name="i_Ris_Leng">Parameters!$V$49</definedName>
    <definedName name="i_Ris_Prol">Parameters!$V$51</definedName>
    <definedName name="i_Ris_Risk">Parameters!$V$53</definedName>
    <definedName name="i_Set_CABG">Parameters!$V$10</definedName>
    <definedName name="i_Set_Cost">Parameters!$V$11</definedName>
    <definedName name="i_Set_Curr">Parameters!$V$8</definedName>
    <definedName name="i_Set_Time">Parameters!$V$7</definedName>
    <definedName name="i_Set_Year">Parameters!$V$9</definedName>
    <definedName name="Inflation">Inflation!$C$21:$E$38</definedName>
    <definedName name="Mean_mortality">LifeTable!$P$19</definedName>
    <definedName name="ModelSubtitle">Home!$C$2</definedName>
    <definedName name="ModelTitle">Home!$C$1</definedName>
    <definedName name="TimeHorizon">Setup!$F$10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7" i="11" l="1"/>
  <c r="U19" i="11"/>
  <c r="U20" i="11"/>
  <c r="U24" i="11"/>
  <c r="U25" i="11"/>
  <c r="U26" i="11"/>
  <c r="U27" i="11"/>
  <c r="U28" i="11"/>
  <c r="U29" i="11"/>
  <c r="U63" i="11"/>
  <c r="U65" i="11"/>
  <c r="U71" i="11"/>
  <c r="U72" i="11"/>
  <c r="U73" i="11"/>
  <c r="U74" i="11"/>
  <c r="U75" i="11"/>
  <c r="U76" i="11"/>
  <c r="U77" i="11"/>
  <c r="U78" i="11"/>
  <c r="O81" i="11" l="1"/>
  <c r="O80" i="11"/>
  <c r="O79" i="11"/>
  <c r="O77" i="11"/>
  <c r="O76" i="11"/>
  <c r="O75" i="11"/>
  <c r="O74" i="11"/>
  <c r="O73" i="11"/>
  <c r="O72" i="11"/>
  <c r="O71" i="11"/>
  <c r="O70" i="11"/>
  <c r="O69" i="11"/>
  <c r="O68" i="11"/>
  <c r="O67" i="1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O33" i="11"/>
  <c r="O32" i="11"/>
  <c r="O31" i="11"/>
  <c r="O30" i="11"/>
  <c r="O29" i="11"/>
  <c r="O28" i="11"/>
  <c r="O27" i="11"/>
  <c r="O26" i="11"/>
  <c r="O24" i="11"/>
  <c r="O23" i="11"/>
  <c r="O22" i="11"/>
  <c r="O20" i="11"/>
  <c r="O19" i="11"/>
  <c r="O18" i="11"/>
  <c r="O17" i="11"/>
  <c r="O16" i="11"/>
  <c r="O15" i="11"/>
  <c r="O14" i="11"/>
  <c r="O13" i="11"/>
  <c r="O12" i="11"/>
  <c r="O11" i="11"/>
  <c r="O10" i="11"/>
  <c r="O9" i="11"/>
  <c r="O8" i="11"/>
  <c r="O7" i="11"/>
  <c r="N81" i="11"/>
  <c r="N80" i="11"/>
  <c r="N79" i="11"/>
  <c r="N77" i="11"/>
  <c r="N76" i="11"/>
  <c r="N75" i="11"/>
  <c r="N74" i="11"/>
  <c r="N73" i="11"/>
  <c r="N72" i="11"/>
  <c r="N71" i="11"/>
  <c r="N70" i="11"/>
  <c r="N69" i="11"/>
  <c r="N68" i="11"/>
  <c r="N67" i="11"/>
  <c r="N66" i="11"/>
  <c r="N65" i="11"/>
  <c r="N64" i="11"/>
  <c r="N63" i="11"/>
  <c r="N62" i="11"/>
  <c r="N61" i="11"/>
  <c r="N60" i="11"/>
  <c r="N59" i="11"/>
  <c r="N58" i="11"/>
  <c r="N57" i="11"/>
  <c r="N56" i="11"/>
  <c r="N55" i="11"/>
  <c r="N54" i="11"/>
  <c r="N53" i="11"/>
  <c r="N52" i="11"/>
  <c r="N51" i="11"/>
  <c r="N50" i="11"/>
  <c r="N49" i="11"/>
  <c r="N48" i="11"/>
  <c r="N47" i="11"/>
  <c r="N46" i="11"/>
  <c r="N45" i="11"/>
  <c r="N44" i="11"/>
  <c r="N43" i="11"/>
  <c r="N42" i="11"/>
  <c r="N41" i="11"/>
  <c r="N40" i="11"/>
  <c r="N39" i="11"/>
  <c r="N38" i="11"/>
  <c r="N37" i="11"/>
  <c r="N36" i="11"/>
  <c r="N35" i="11"/>
  <c r="N34" i="11"/>
  <c r="N33" i="11"/>
  <c r="N32" i="11"/>
  <c r="N31" i="11"/>
  <c r="N30" i="11"/>
  <c r="N29" i="11"/>
  <c r="N28" i="11"/>
  <c r="N27" i="11"/>
  <c r="N26" i="11"/>
  <c r="N24" i="11"/>
  <c r="N23" i="11"/>
  <c r="N22" i="11"/>
  <c r="N20" i="11"/>
  <c r="N19" i="11"/>
  <c r="N18" i="11"/>
  <c r="N17" i="11"/>
  <c r="N16" i="11"/>
  <c r="N15" i="11"/>
  <c r="N14" i="11"/>
  <c r="N13" i="11"/>
  <c r="N12" i="11"/>
  <c r="N11" i="11"/>
  <c r="N10" i="11"/>
  <c r="N9" i="11"/>
  <c r="N8" i="11"/>
  <c r="N7" i="11"/>
  <c r="M79" i="11"/>
  <c r="M78" i="11"/>
  <c r="M77" i="11"/>
  <c r="M76" i="11"/>
  <c r="M75" i="11"/>
  <c r="M74" i="11"/>
  <c r="M73" i="11"/>
  <c r="M72" i="11"/>
  <c r="M71" i="11"/>
  <c r="M70" i="11"/>
  <c r="M69" i="11"/>
  <c r="M68" i="11"/>
  <c r="M67" i="11"/>
  <c r="M66" i="11"/>
  <c r="M65" i="11"/>
  <c r="M64" i="11"/>
  <c r="M63" i="11"/>
  <c r="M62" i="11"/>
  <c r="M61" i="11"/>
  <c r="M60" i="11"/>
  <c r="M59" i="11"/>
  <c r="M58" i="11"/>
  <c r="M57" i="11"/>
  <c r="M56" i="11"/>
  <c r="M55" i="11"/>
  <c r="M54" i="11"/>
  <c r="M53" i="11"/>
  <c r="M52" i="11"/>
  <c r="M51" i="11"/>
  <c r="M50" i="11"/>
  <c r="M49" i="11"/>
  <c r="M48" i="11"/>
  <c r="M47" i="11"/>
  <c r="M46" i="11"/>
  <c r="M45" i="11"/>
  <c r="M44" i="11"/>
  <c r="M43" i="11"/>
  <c r="M42" i="11"/>
  <c r="M41" i="11"/>
  <c r="M40" i="11"/>
  <c r="M39" i="11"/>
  <c r="M38" i="11"/>
  <c r="M37" i="11"/>
  <c r="M36" i="11"/>
  <c r="M35" i="11"/>
  <c r="M34" i="11"/>
  <c r="M33" i="11"/>
  <c r="M32" i="11"/>
  <c r="M31" i="11"/>
  <c r="M30" i="11"/>
  <c r="M29" i="11"/>
  <c r="M28" i="11"/>
  <c r="M27" i="11"/>
  <c r="M26" i="11"/>
  <c r="M25" i="11"/>
  <c r="M24" i="11"/>
  <c r="M23" i="11"/>
  <c r="M22" i="11"/>
  <c r="M21" i="11"/>
  <c r="M19" i="11"/>
  <c r="M20" i="11"/>
  <c r="M18" i="11"/>
  <c r="M17" i="11"/>
  <c r="M16" i="11" l="1"/>
  <c r="M15" i="11"/>
  <c r="M14" i="11"/>
  <c r="M13" i="11"/>
  <c r="M12" i="11"/>
  <c r="M11" i="11"/>
  <c r="M9" i="11"/>
  <c r="M8" i="11"/>
  <c r="M7" i="11"/>
  <c r="L81" i="11"/>
  <c r="L79" i="11"/>
  <c r="L78" i="11"/>
  <c r="L77" i="11"/>
  <c r="L76" i="11"/>
  <c r="L75" i="11"/>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5" i="11"/>
  <c r="L34" i="11"/>
  <c r="L33" i="11"/>
  <c r="L32" i="11"/>
  <c r="L31" i="11"/>
  <c r="L30" i="11"/>
  <c r="L29" i="11"/>
  <c r="L28" i="11"/>
  <c r="L27" i="11"/>
  <c r="L26" i="11"/>
  <c r="L24" i="11"/>
  <c r="L23" i="11"/>
  <c r="L22" i="11"/>
  <c r="L20" i="11"/>
  <c r="L19" i="11"/>
  <c r="L18" i="11"/>
  <c r="L17" i="11"/>
  <c r="L16" i="11"/>
  <c r="L15" i="11"/>
  <c r="L14" i="11"/>
  <c r="L13" i="11"/>
  <c r="L12" i="11"/>
  <c r="V12" i="11" l="1"/>
  <c r="V13" i="11"/>
  <c r="V14" i="11"/>
  <c r="V15" i="11"/>
  <c r="V16" i="11"/>
  <c r="V17" i="11"/>
  <c r="V18" i="11"/>
  <c r="V19" i="11"/>
  <c r="V20" i="11"/>
  <c r="T22" i="11"/>
  <c r="V22" i="11"/>
  <c r="T23" i="11"/>
  <c r="V23" i="11"/>
  <c r="V24" i="11"/>
  <c r="V26" i="11"/>
  <c r="V27" i="11"/>
  <c r="V28" i="11"/>
  <c r="V29" i="11"/>
  <c r="V30" i="11"/>
  <c r="V31" i="11"/>
  <c r="V32" i="11"/>
  <c r="V33" i="11"/>
  <c r="V34" i="11"/>
  <c r="V35" i="11"/>
  <c r="V37" i="11"/>
  <c r="V38" i="11"/>
  <c r="V39" i="11"/>
  <c r="V40" i="11"/>
  <c r="V41" i="11"/>
  <c r="V42" i="11"/>
  <c r="V43" i="11"/>
  <c r="V44" i="11"/>
  <c r="V45" i="11"/>
  <c r="V46" i="11"/>
  <c r="T47" i="11"/>
  <c r="V47" i="11"/>
  <c r="T48" i="11"/>
  <c r="V48" i="11"/>
  <c r="V49" i="11"/>
  <c r="V50" i="11"/>
  <c r="V51" i="11"/>
  <c r="V52" i="11"/>
  <c r="T53" i="11"/>
  <c r="V53" i="11"/>
  <c r="V54" i="11"/>
  <c r="V55" i="11"/>
  <c r="V56" i="11"/>
  <c r="V57" i="11"/>
  <c r="V58" i="11"/>
  <c r="V59" i="11"/>
  <c r="V60" i="11"/>
  <c r="V61" i="11"/>
  <c r="V62" i="11"/>
  <c r="V63" i="11"/>
  <c r="V64" i="11"/>
  <c r="V65" i="11"/>
  <c r="V66" i="11"/>
  <c r="V67" i="11"/>
  <c r="V68" i="11"/>
  <c r="V69" i="11"/>
  <c r="V70" i="11"/>
  <c r="V71" i="11"/>
  <c r="V72" i="11"/>
  <c r="V73" i="11"/>
  <c r="V74" i="11"/>
  <c r="V75" i="11"/>
  <c r="V76" i="11"/>
  <c r="V77" i="11"/>
  <c r="V78" i="11"/>
  <c r="V79" i="11"/>
  <c r="V81" i="11"/>
  <c r="L11" i="11"/>
  <c r="L10" i="11"/>
  <c r="L9" i="11"/>
  <c r="L8" i="11"/>
  <c r="L7" i="11"/>
  <c r="P7" i="11"/>
  <c r="P8" i="11"/>
  <c r="P9" i="11"/>
  <c r="P10" i="11"/>
  <c r="T7" i="11" l="1"/>
  <c r="V7" i="11"/>
  <c r="T8" i="11"/>
  <c r="V8" i="11"/>
  <c r="T9" i="11"/>
  <c r="V9" i="11"/>
  <c r="T10" i="11"/>
  <c r="V10" i="11"/>
  <c r="T11" i="11"/>
  <c r="V11" i="11"/>
  <c r="F24" i="15"/>
  <c r="L80" i="11" s="1"/>
  <c r="V80" i="11" l="1"/>
  <c r="R26" i="21"/>
  <c r="P81" i="12"/>
  <c r="I81" i="12"/>
  <c r="H81" i="12"/>
  <c r="G81" i="12"/>
  <c r="F81" i="12"/>
  <c r="E81" i="12"/>
  <c r="D81" i="12"/>
  <c r="H26" i="15"/>
  <c r="M81" i="11" s="1"/>
  <c r="K81" i="11"/>
  <c r="U81" i="11" s="1"/>
  <c r="P81" i="11" l="1"/>
  <c r="T81" i="11" s="1"/>
  <c r="I80" i="12" l="1"/>
  <c r="H80" i="12"/>
  <c r="G80" i="12"/>
  <c r="F80" i="12"/>
  <c r="E80" i="12"/>
  <c r="D80" i="12"/>
  <c r="K80" i="11"/>
  <c r="U80" i="11" s="1"/>
  <c r="H24" i="15"/>
  <c r="M80" i="11" s="1"/>
  <c r="J80" i="12"/>
  <c r="K80" i="12" s="1"/>
  <c r="P80" i="12" s="1"/>
  <c r="I9" i="21" l="1"/>
  <c r="P80" i="11"/>
  <c r="T80" i="11" s="1"/>
  <c r="I12" i="21" l="1"/>
  <c r="I12" i="24"/>
  <c r="F22" i="21"/>
  <c r="F21" i="21" s="1"/>
  <c r="E22" i="21"/>
  <c r="E21" i="21" s="1"/>
  <c r="J12" i="21"/>
  <c r="N16" i="21"/>
  <c r="N16" i="24"/>
  <c r="M15" i="24"/>
  <c r="M12" i="24"/>
  <c r="L15" i="24"/>
  <c r="L12" i="24"/>
  <c r="L12" i="21"/>
  <c r="L15" i="21"/>
  <c r="M12" i="21"/>
  <c r="M15" i="21"/>
  <c r="K9" i="21"/>
  <c r="J9" i="21"/>
  <c r="N9" i="21"/>
  <c r="L9" i="21"/>
  <c r="M9" i="21"/>
  <c r="P9" i="21"/>
  <c r="O9" i="21"/>
  <c r="J9" i="24"/>
  <c r="I9" i="24"/>
  <c r="L9" i="24"/>
  <c r="K9" i="24"/>
  <c r="N9" i="24"/>
  <c r="M9" i="24"/>
  <c r="P9" i="24"/>
  <c r="O9" i="24"/>
  <c r="J12" i="24"/>
  <c r="J34" i="13"/>
  <c r="P34" i="13"/>
  <c r="J37" i="13"/>
  <c r="P37" i="13"/>
  <c r="Q16" i="21"/>
  <c r="C5" i="20" l="1"/>
  <c r="F23" i="4" l="1"/>
  <c r="L25" i="11" s="1"/>
  <c r="F17" i="22"/>
  <c r="L36" i="11" s="1"/>
  <c r="V36" i="11" s="1"/>
  <c r="T25" i="11" l="1"/>
  <c r="V25" i="11"/>
  <c r="C5" i="12"/>
  <c r="D54" i="19" l="1"/>
  <c r="D52" i="19"/>
  <c r="D62" i="19"/>
  <c r="D50" i="19"/>
  <c r="D63" i="19"/>
  <c r="D65" i="19"/>
  <c r="D51" i="19"/>
  <c r="D61" i="19"/>
  <c r="D64" i="19"/>
  <c r="D53" i="19"/>
  <c r="E58" i="19"/>
  <c r="D60" i="19"/>
  <c r="D55" i="19"/>
  <c r="N17" i="21"/>
  <c r="N17" i="24"/>
  <c r="J16" i="4"/>
  <c r="O21" i="11" s="1"/>
  <c r="I16" i="4"/>
  <c r="N21" i="11" s="1"/>
  <c r="F16" i="4"/>
  <c r="L21" i="11" s="1"/>
  <c r="V21" i="11" l="1"/>
  <c r="AA8" i="20"/>
  <c r="AA9" i="20"/>
  <c r="AA10" i="20"/>
  <c r="AA11" i="20"/>
  <c r="AA12" i="20"/>
  <c r="AA13" i="20"/>
  <c r="AA14" i="20"/>
  <c r="AA15" i="20"/>
  <c r="AA16" i="20"/>
  <c r="AA17" i="20"/>
  <c r="AA18" i="20"/>
  <c r="AA19" i="20"/>
  <c r="AA20" i="20"/>
  <c r="AA21" i="20"/>
  <c r="AA22" i="20"/>
  <c r="AA23" i="20"/>
  <c r="AA24" i="20"/>
  <c r="AA7" i="20"/>
  <c r="AD11" i="20" l="1"/>
  <c r="AE11" i="20" s="1"/>
  <c r="AD10" i="20"/>
  <c r="AD9" i="20"/>
  <c r="AD7" i="20"/>
  <c r="AD8" i="20"/>
  <c r="AF11" i="20" l="1"/>
  <c r="AG11" i="20"/>
  <c r="AE9" i="20"/>
  <c r="AF9" i="20"/>
  <c r="AG9" i="20"/>
  <c r="AE10" i="20"/>
  <c r="AF10" i="20"/>
  <c r="AG10" i="20"/>
  <c r="AE8" i="20"/>
  <c r="AF8" i="20"/>
  <c r="AG8" i="20"/>
  <c r="AG7" i="20"/>
  <c r="AF7" i="20"/>
  <c r="AE7" i="20"/>
  <c r="P470" i="20"/>
  <c r="G12" i="9"/>
  <c r="G10" i="9"/>
  <c r="G11" i="8"/>
  <c r="E23" i="25"/>
  <c r="E24" i="25" s="1"/>
  <c r="E25" i="25" s="1"/>
  <c r="E26" i="25" s="1"/>
  <c r="E27" i="25" s="1"/>
  <c r="E28" i="25" s="1"/>
  <c r="P2234" i="25"/>
  <c r="O2234" i="25"/>
  <c r="N2234" i="25"/>
  <c r="P2233" i="25"/>
  <c r="O2233" i="25"/>
  <c r="N2233" i="25"/>
  <c r="P2232" i="25"/>
  <c r="O2232" i="25"/>
  <c r="N2232" i="25"/>
  <c r="P2231" i="25"/>
  <c r="O2231" i="25"/>
  <c r="N2231" i="25"/>
  <c r="P2230" i="25"/>
  <c r="O2230" i="25"/>
  <c r="N2230" i="25"/>
  <c r="C2" i="25"/>
  <c r="C1" i="25"/>
  <c r="D40" i="12"/>
  <c r="E40" i="12"/>
  <c r="F40" i="12"/>
  <c r="G40" i="12"/>
  <c r="H40" i="12"/>
  <c r="I40" i="12"/>
  <c r="D41" i="12"/>
  <c r="E41" i="12"/>
  <c r="F41" i="12"/>
  <c r="G41" i="12"/>
  <c r="H41" i="12"/>
  <c r="I41" i="12"/>
  <c r="D42" i="12"/>
  <c r="E42" i="12"/>
  <c r="F42" i="12"/>
  <c r="G42" i="12"/>
  <c r="H42" i="12"/>
  <c r="I42" i="12"/>
  <c r="D43" i="12"/>
  <c r="E43" i="12"/>
  <c r="F43" i="12"/>
  <c r="G43" i="12"/>
  <c r="H43" i="12"/>
  <c r="I43" i="12"/>
  <c r="D44" i="12"/>
  <c r="E44" i="12"/>
  <c r="F44" i="12"/>
  <c r="G44" i="12"/>
  <c r="H44" i="12"/>
  <c r="I44" i="12"/>
  <c r="D45" i="12"/>
  <c r="E45" i="12"/>
  <c r="F45" i="12"/>
  <c r="G45" i="12"/>
  <c r="H45" i="12"/>
  <c r="I45" i="12"/>
  <c r="D46" i="12"/>
  <c r="E46" i="12"/>
  <c r="F46" i="12"/>
  <c r="G46" i="12"/>
  <c r="H46" i="12"/>
  <c r="I46" i="12"/>
  <c r="D47" i="12"/>
  <c r="E47" i="12"/>
  <c r="F47" i="12"/>
  <c r="G47" i="12"/>
  <c r="H47" i="12"/>
  <c r="I47" i="12"/>
  <c r="D48" i="12"/>
  <c r="E48" i="12"/>
  <c r="F48" i="12"/>
  <c r="G48" i="12"/>
  <c r="H48" i="12"/>
  <c r="I48" i="12"/>
  <c r="D49" i="12"/>
  <c r="E49" i="12"/>
  <c r="F49" i="12"/>
  <c r="G49" i="12"/>
  <c r="H49" i="12"/>
  <c r="I49" i="12"/>
  <c r="D50" i="12"/>
  <c r="E50" i="12"/>
  <c r="F50" i="12"/>
  <c r="G50" i="12"/>
  <c r="H50" i="12"/>
  <c r="I50" i="12"/>
  <c r="D51" i="12"/>
  <c r="E51" i="12"/>
  <c r="F51" i="12"/>
  <c r="G51" i="12"/>
  <c r="H51" i="12"/>
  <c r="I51" i="12"/>
  <c r="D52" i="12"/>
  <c r="E52" i="12"/>
  <c r="F52" i="12"/>
  <c r="G52" i="12"/>
  <c r="H52" i="12"/>
  <c r="I52" i="12"/>
  <c r="D53" i="12"/>
  <c r="E53" i="12"/>
  <c r="F53" i="12"/>
  <c r="G53" i="12"/>
  <c r="D54" i="12"/>
  <c r="E54" i="12"/>
  <c r="F54" i="12"/>
  <c r="G54" i="12"/>
  <c r="H54" i="12"/>
  <c r="I54" i="12"/>
  <c r="D55" i="12"/>
  <c r="E55" i="12"/>
  <c r="F55" i="12"/>
  <c r="G55" i="12"/>
  <c r="H55" i="12"/>
  <c r="I55" i="12"/>
  <c r="N55" i="12"/>
  <c r="O55" i="12"/>
  <c r="D56" i="12"/>
  <c r="E56" i="12"/>
  <c r="F56" i="12"/>
  <c r="G56" i="12"/>
  <c r="H56" i="12"/>
  <c r="I56" i="12"/>
  <c r="D57" i="12"/>
  <c r="E57" i="12"/>
  <c r="F57" i="12"/>
  <c r="G57" i="12"/>
  <c r="H57" i="12"/>
  <c r="I57" i="12"/>
  <c r="D58" i="12"/>
  <c r="E58" i="12"/>
  <c r="F58" i="12"/>
  <c r="G58" i="12"/>
  <c r="H58" i="12"/>
  <c r="I58" i="12"/>
  <c r="N58" i="12"/>
  <c r="O58" i="12"/>
  <c r="D59" i="12"/>
  <c r="E59" i="12"/>
  <c r="F59" i="12"/>
  <c r="G59" i="12"/>
  <c r="H59" i="12"/>
  <c r="I59" i="12"/>
  <c r="D60" i="12"/>
  <c r="E60" i="12"/>
  <c r="F60" i="12"/>
  <c r="G60" i="12"/>
  <c r="H60" i="12"/>
  <c r="I60" i="12"/>
  <c r="D61" i="12"/>
  <c r="E61" i="12"/>
  <c r="F61" i="12"/>
  <c r="G61" i="12"/>
  <c r="H61" i="12"/>
  <c r="I61" i="12"/>
  <c r="D62" i="12"/>
  <c r="E62" i="12"/>
  <c r="F62" i="12"/>
  <c r="G62" i="12"/>
  <c r="H62" i="12"/>
  <c r="I62" i="12"/>
  <c r="D63" i="12"/>
  <c r="E63" i="12"/>
  <c r="F63" i="12"/>
  <c r="G63" i="12"/>
  <c r="H63" i="12"/>
  <c r="I63" i="12"/>
  <c r="D64" i="12"/>
  <c r="E64" i="12"/>
  <c r="F64" i="12"/>
  <c r="G64" i="12"/>
  <c r="H64" i="12"/>
  <c r="I64" i="12"/>
  <c r="D65" i="12"/>
  <c r="E65" i="12"/>
  <c r="F65" i="12"/>
  <c r="G65" i="12"/>
  <c r="H65" i="12"/>
  <c r="I65" i="12"/>
  <c r="D66" i="12"/>
  <c r="E66" i="12"/>
  <c r="F66" i="12"/>
  <c r="G66" i="12"/>
  <c r="H66" i="12"/>
  <c r="I66" i="12"/>
  <c r="D67" i="12"/>
  <c r="E67" i="12"/>
  <c r="F67" i="12"/>
  <c r="G67" i="12"/>
  <c r="H67" i="12"/>
  <c r="I67" i="12"/>
  <c r="D68" i="12"/>
  <c r="E68" i="12"/>
  <c r="F68" i="12"/>
  <c r="G68" i="12"/>
  <c r="H68" i="12"/>
  <c r="I68" i="12"/>
  <c r="D69" i="12"/>
  <c r="E69" i="12"/>
  <c r="F69" i="12"/>
  <c r="G69" i="12"/>
  <c r="H69" i="12"/>
  <c r="I69" i="12"/>
  <c r="D70" i="12"/>
  <c r="E70" i="12"/>
  <c r="F70" i="12"/>
  <c r="G70" i="12"/>
  <c r="H70" i="12"/>
  <c r="I70" i="12"/>
  <c r="D71" i="12"/>
  <c r="E71" i="12"/>
  <c r="F71" i="12"/>
  <c r="G71" i="12"/>
  <c r="H71" i="12"/>
  <c r="I71" i="12"/>
  <c r="D72" i="12"/>
  <c r="E72" i="12"/>
  <c r="F72" i="12"/>
  <c r="G72" i="12"/>
  <c r="H72" i="12"/>
  <c r="I72" i="12"/>
  <c r="D73" i="12"/>
  <c r="E73" i="12"/>
  <c r="F73" i="12"/>
  <c r="G73" i="12"/>
  <c r="H73" i="12"/>
  <c r="I73" i="12"/>
  <c r="D74" i="12"/>
  <c r="E74" i="12"/>
  <c r="F74" i="12"/>
  <c r="G74" i="12"/>
  <c r="H74" i="12"/>
  <c r="I74" i="12"/>
  <c r="D75" i="12"/>
  <c r="E75" i="12"/>
  <c r="F75" i="12"/>
  <c r="G75" i="12"/>
  <c r="H75" i="12"/>
  <c r="I75" i="12"/>
  <c r="D76" i="12"/>
  <c r="E76" i="12"/>
  <c r="F76" i="12"/>
  <c r="G76" i="12"/>
  <c r="H76" i="12"/>
  <c r="I76" i="12"/>
  <c r="D77" i="12"/>
  <c r="E77" i="12"/>
  <c r="F77" i="12"/>
  <c r="G77" i="12"/>
  <c r="H77" i="12"/>
  <c r="I77" i="12"/>
  <c r="D78" i="12"/>
  <c r="E78" i="12"/>
  <c r="F78" i="12"/>
  <c r="G78" i="12"/>
  <c r="H78" i="12"/>
  <c r="I78" i="12"/>
  <c r="D79" i="12"/>
  <c r="E79" i="12"/>
  <c r="F79" i="12"/>
  <c r="G79" i="12"/>
  <c r="H79" i="12"/>
  <c r="I79" i="12"/>
  <c r="D26" i="12"/>
  <c r="E26" i="12"/>
  <c r="F26" i="12"/>
  <c r="G26" i="12"/>
  <c r="H26" i="12"/>
  <c r="I26" i="12"/>
  <c r="D27" i="12"/>
  <c r="E27" i="12"/>
  <c r="F27" i="12"/>
  <c r="G27" i="12"/>
  <c r="H27" i="12"/>
  <c r="I27" i="12"/>
  <c r="D28" i="12"/>
  <c r="E28" i="12"/>
  <c r="F28" i="12"/>
  <c r="G28" i="12"/>
  <c r="H28" i="12"/>
  <c r="I28" i="12"/>
  <c r="D29" i="12"/>
  <c r="E29" i="12"/>
  <c r="F29" i="12"/>
  <c r="G29" i="12"/>
  <c r="H29" i="12"/>
  <c r="I29" i="12"/>
  <c r="D30" i="12"/>
  <c r="E30" i="12"/>
  <c r="F30" i="12"/>
  <c r="G30" i="12"/>
  <c r="H30" i="12"/>
  <c r="I30" i="12"/>
  <c r="D31" i="12"/>
  <c r="E31" i="12"/>
  <c r="F31" i="12"/>
  <c r="G31" i="12"/>
  <c r="H31" i="12"/>
  <c r="I31" i="12"/>
  <c r="D32" i="12"/>
  <c r="E32" i="12"/>
  <c r="F32" i="12"/>
  <c r="G32" i="12"/>
  <c r="H32" i="12"/>
  <c r="I32" i="12"/>
  <c r="D33" i="12"/>
  <c r="E33" i="12"/>
  <c r="F33" i="12"/>
  <c r="G33" i="12"/>
  <c r="H33" i="12"/>
  <c r="I33" i="12"/>
  <c r="D34" i="12"/>
  <c r="E34" i="12"/>
  <c r="F34" i="12"/>
  <c r="G34" i="12"/>
  <c r="H34" i="12"/>
  <c r="I34" i="12"/>
  <c r="D35" i="12"/>
  <c r="E35" i="12"/>
  <c r="F35" i="12"/>
  <c r="G35" i="12"/>
  <c r="H35" i="12"/>
  <c r="I35" i="12"/>
  <c r="D36" i="12"/>
  <c r="E36" i="12"/>
  <c r="G36" i="12"/>
  <c r="H36" i="12"/>
  <c r="I36" i="12"/>
  <c r="D37" i="12"/>
  <c r="E37" i="12"/>
  <c r="F37" i="12"/>
  <c r="G37" i="12"/>
  <c r="H37" i="12"/>
  <c r="I37" i="12"/>
  <c r="D38" i="12"/>
  <c r="E38" i="12"/>
  <c r="F38" i="12"/>
  <c r="G38" i="12"/>
  <c r="H38" i="12"/>
  <c r="I38" i="12"/>
  <c r="D39" i="12"/>
  <c r="E39" i="12"/>
  <c r="F39" i="12"/>
  <c r="G39" i="12"/>
  <c r="H39" i="12"/>
  <c r="I39" i="12"/>
  <c r="D9" i="12"/>
  <c r="E9" i="12"/>
  <c r="F9" i="12"/>
  <c r="G9" i="12"/>
  <c r="H9" i="12"/>
  <c r="I9" i="12"/>
  <c r="D10" i="12"/>
  <c r="E10" i="12"/>
  <c r="F10" i="12"/>
  <c r="G10" i="12"/>
  <c r="H10" i="12"/>
  <c r="I10" i="12"/>
  <c r="D11" i="12"/>
  <c r="E11" i="12"/>
  <c r="F11" i="12"/>
  <c r="G11" i="12"/>
  <c r="H11" i="12"/>
  <c r="I11" i="12"/>
  <c r="D12" i="12"/>
  <c r="E12" i="12"/>
  <c r="F12" i="12"/>
  <c r="G12" i="12"/>
  <c r="H12" i="12"/>
  <c r="I12" i="12"/>
  <c r="D13" i="12"/>
  <c r="E13" i="12"/>
  <c r="F13" i="12"/>
  <c r="G13" i="12"/>
  <c r="H13" i="12"/>
  <c r="I13" i="12"/>
  <c r="D14" i="12"/>
  <c r="E14" i="12"/>
  <c r="F14" i="12"/>
  <c r="G14" i="12"/>
  <c r="H14" i="12"/>
  <c r="I14" i="12"/>
  <c r="D15" i="12"/>
  <c r="E15" i="12"/>
  <c r="F15" i="12"/>
  <c r="G15" i="12"/>
  <c r="H15" i="12"/>
  <c r="I15" i="12"/>
  <c r="D16" i="12"/>
  <c r="E16" i="12"/>
  <c r="F16" i="12"/>
  <c r="G16" i="12"/>
  <c r="H16" i="12"/>
  <c r="I16" i="12"/>
  <c r="D17" i="12"/>
  <c r="E17" i="12"/>
  <c r="F17" i="12"/>
  <c r="G17" i="12"/>
  <c r="H17" i="12"/>
  <c r="I17" i="12"/>
  <c r="D18" i="12"/>
  <c r="E18" i="12"/>
  <c r="F18" i="12"/>
  <c r="G18" i="12"/>
  <c r="H18" i="12"/>
  <c r="I18" i="12"/>
  <c r="D19" i="12"/>
  <c r="E19" i="12"/>
  <c r="F19" i="12"/>
  <c r="G19" i="12"/>
  <c r="H19" i="12"/>
  <c r="I19" i="12"/>
  <c r="D20" i="12"/>
  <c r="E20" i="12"/>
  <c r="F20" i="12"/>
  <c r="G20" i="12"/>
  <c r="H20" i="12"/>
  <c r="I20" i="12"/>
  <c r="D21" i="12"/>
  <c r="E21" i="12"/>
  <c r="G21" i="12"/>
  <c r="D22" i="12"/>
  <c r="E22" i="12"/>
  <c r="F22" i="12"/>
  <c r="G22" i="12"/>
  <c r="H22" i="12"/>
  <c r="I22" i="12"/>
  <c r="D23" i="12"/>
  <c r="E23" i="12"/>
  <c r="F23" i="12"/>
  <c r="G23" i="12"/>
  <c r="H23" i="12"/>
  <c r="I23" i="12"/>
  <c r="D24" i="12"/>
  <c r="E24" i="12"/>
  <c r="F24" i="12"/>
  <c r="G24" i="12"/>
  <c r="H24" i="12"/>
  <c r="I24" i="12"/>
  <c r="D25" i="12"/>
  <c r="E25" i="12"/>
  <c r="I7" i="12"/>
  <c r="I8" i="12"/>
  <c r="H7" i="12"/>
  <c r="H8" i="12"/>
  <c r="G7" i="12"/>
  <c r="G8" i="12"/>
  <c r="F7" i="12"/>
  <c r="D8" i="12"/>
  <c r="E8" i="12"/>
  <c r="F8" i="12"/>
  <c r="E7" i="12"/>
  <c r="D7" i="12"/>
  <c r="E29" i="25" l="1"/>
  <c r="E30" i="25" l="1"/>
  <c r="N7" i="20"/>
  <c r="O7" i="20"/>
  <c r="P7" i="20"/>
  <c r="N8" i="20"/>
  <c r="O8" i="20"/>
  <c r="P8" i="20"/>
  <c r="N9" i="20"/>
  <c r="O9" i="20"/>
  <c r="P9" i="20"/>
  <c r="N10" i="20"/>
  <c r="O10" i="20"/>
  <c r="P10" i="20"/>
  <c r="N11" i="20"/>
  <c r="O11" i="20"/>
  <c r="P11" i="20"/>
  <c r="N12" i="20"/>
  <c r="O12" i="20"/>
  <c r="P12" i="20"/>
  <c r="N13" i="20"/>
  <c r="O13" i="20"/>
  <c r="P13" i="20"/>
  <c r="N14" i="20"/>
  <c r="O14" i="20"/>
  <c r="P14" i="20"/>
  <c r="N15" i="20"/>
  <c r="O15" i="20"/>
  <c r="P15" i="20"/>
  <c r="N16" i="20"/>
  <c r="O16" i="20"/>
  <c r="P16" i="20"/>
  <c r="N17" i="20"/>
  <c r="O17" i="20"/>
  <c r="P17" i="20"/>
  <c r="N18" i="20"/>
  <c r="O18" i="20"/>
  <c r="P18" i="20"/>
  <c r="N19" i="20"/>
  <c r="O19" i="20"/>
  <c r="P19" i="20"/>
  <c r="N20" i="20"/>
  <c r="O20" i="20"/>
  <c r="P20" i="20"/>
  <c r="N21" i="20"/>
  <c r="O21" i="20"/>
  <c r="P21" i="20"/>
  <c r="N22" i="20"/>
  <c r="O22" i="20"/>
  <c r="P22" i="20"/>
  <c r="N23" i="20"/>
  <c r="O23" i="20"/>
  <c r="P23" i="20"/>
  <c r="N24" i="20"/>
  <c r="O24" i="20"/>
  <c r="P24" i="20"/>
  <c r="N25" i="20"/>
  <c r="O25" i="20"/>
  <c r="P25" i="20"/>
  <c r="N26" i="20"/>
  <c r="O26" i="20"/>
  <c r="P26" i="20"/>
  <c r="N27" i="20"/>
  <c r="O27" i="20"/>
  <c r="P27" i="20"/>
  <c r="N28" i="20"/>
  <c r="O28" i="20"/>
  <c r="P28" i="20"/>
  <c r="N29" i="20"/>
  <c r="O29" i="20"/>
  <c r="P29" i="20"/>
  <c r="N30" i="20"/>
  <c r="O30" i="20"/>
  <c r="P30" i="20"/>
  <c r="N31" i="20"/>
  <c r="O31" i="20"/>
  <c r="P31" i="20"/>
  <c r="N32" i="20"/>
  <c r="O32" i="20"/>
  <c r="P32" i="20"/>
  <c r="N33" i="20"/>
  <c r="O33" i="20"/>
  <c r="P33" i="20"/>
  <c r="N34" i="20"/>
  <c r="O34" i="20"/>
  <c r="P34" i="20"/>
  <c r="N35" i="20"/>
  <c r="O35" i="20"/>
  <c r="P35" i="20"/>
  <c r="N36" i="20"/>
  <c r="O36" i="20"/>
  <c r="P36" i="20"/>
  <c r="N37" i="20"/>
  <c r="O37" i="20"/>
  <c r="P37" i="20"/>
  <c r="N38" i="20"/>
  <c r="O38" i="20"/>
  <c r="P38" i="20"/>
  <c r="N39" i="20"/>
  <c r="O39" i="20"/>
  <c r="P39" i="20"/>
  <c r="N40" i="20"/>
  <c r="O40" i="20"/>
  <c r="P40" i="20"/>
  <c r="N41" i="20"/>
  <c r="O41" i="20"/>
  <c r="P41" i="20"/>
  <c r="N42" i="20"/>
  <c r="O42" i="20"/>
  <c r="P42" i="20"/>
  <c r="N43" i="20"/>
  <c r="O43" i="20"/>
  <c r="P43" i="20"/>
  <c r="N44" i="20"/>
  <c r="O44" i="20"/>
  <c r="P44" i="20"/>
  <c r="N45" i="20"/>
  <c r="O45" i="20"/>
  <c r="P45" i="20"/>
  <c r="N46" i="20"/>
  <c r="O46" i="20"/>
  <c r="P46" i="20"/>
  <c r="N47" i="20"/>
  <c r="O47" i="20"/>
  <c r="P47" i="20"/>
  <c r="N48" i="20"/>
  <c r="O48" i="20"/>
  <c r="P48" i="20"/>
  <c r="N49" i="20"/>
  <c r="O49" i="20"/>
  <c r="P49" i="20"/>
  <c r="N50" i="20"/>
  <c r="O50" i="20"/>
  <c r="P50" i="20"/>
  <c r="N51" i="20"/>
  <c r="O51" i="20"/>
  <c r="P51" i="20"/>
  <c r="N52" i="20"/>
  <c r="O52" i="20"/>
  <c r="P52" i="20"/>
  <c r="N53" i="20"/>
  <c r="O53" i="20"/>
  <c r="P53" i="20"/>
  <c r="N54" i="20"/>
  <c r="O54" i="20"/>
  <c r="P54" i="20"/>
  <c r="N55" i="20"/>
  <c r="O55" i="20"/>
  <c r="P55" i="20"/>
  <c r="N56" i="20"/>
  <c r="O56" i="20"/>
  <c r="P56" i="20"/>
  <c r="N57" i="20"/>
  <c r="O57" i="20"/>
  <c r="P57" i="20"/>
  <c r="N58" i="20"/>
  <c r="O58" i="20"/>
  <c r="P58" i="20"/>
  <c r="N59" i="20"/>
  <c r="O59" i="20"/>
  <c r="P59" i="20"/>
  <c r="N60" i="20"/>
  <c r="O60" i="20"/>
  <c r="P60" i="20"/>
  <c r="N61" i="20"/>
  <c r="O61" i="20"/>
  <c r="P61" i="20"/>
  <c r="N62" i="20"/>
  <c r="O62" i="20"/>
  <c r="P62" i="20"/>
  <c r="N63" i="20"/>
  <c r="O63" i="20"/>
  <c r="P63" i="20"/>
  <c r="N64" i="20"/>
  <c r="O64" i="20"/>
  <c r="P64" i="20"/>
  <c r="N65" i="20"/>
  <c r="O65" i="20"/>
  <c r="P65" i="20"/>
  <c r="N66" i="20"/>
  <c r="O66" i="20"/>
  <c r="P66" i="20"/>
  <c r="N67" i="20"/>
  <c r="O67" i="20"/>
  <c r="P67" i="20"/>
  <c r="N68" i="20"/>
  <c r="O68" i="20"/>
  <c r="P68" i="20"/>
  <c r="N69" i="20"/>
  <c r="O69" i="20"/>
  <c r="P69" i="20"/>
  <c r="N70" i="20"/>
  <c r="O70" i="20"/>
  <c r="P70" i="20"/>
  <c r="N71" i="20"/>
  <c r="O71" i="20"/>
  <c r="P71" i="20"/>
  <c r="N72" i="20"/>
  <c r="O72" i="20"/>
  <c r="P72" i="20"/>
  <c r="N73" i="20"/>
  <c r="O73" i="20"/>
  <c r="P73" i="20"/>
  <c r="N74" i="20"/>
  <c r="O74" i="20"/>
  <c r="P74" i="20"/>
  <c r="N75" i="20"/>
  <c r="O75" i="20"/>
  <c r="P75" i="20"/>
  <c r="N76" i="20"/>
  <c r="O76" i="20"/>
  <c r="P76" i="20"/>
  <c r="N77" i="20"/>
  <c r="O77" i="20"/>
  <c r="P77" i="20"/>
  <c r="N78" i="20"/>
  <c r="O78" i="20"/>
  <c r="P78" i="20"/>
  <c r="N79" i="20"/>
  <c r="O79" i="20"/>
  <c r="P79" i="20"/>
  <c r="N80" i="20"/>
  <c r="O80" i="20"/>
  <c r="P80" i="20"/>
  <c r="N81" i="20"/>
  <c r="O81" i="20"/>
  <c r="P81" i="20"/>
  <c r="N82" i="20"/>
  <c r="O82" i="20"/>
  <c r="P82" i="20"/>
  <c r="N83" i="20"/>
  <c r="O83" i="20"/>
  <c r="P83" i="20"/>
  <c r="N84" i="20"/>
  <c r="O84" i="20"/>
  <c r="P84" i="20"/>
  <c r="N85" i="20"/>
  <c r="O85" i="20"/>
  <c r="P85" i="20"/>
  <c r="N86" i="20"/>
  <c r="O86" i="20"/>
  <c r="P86" i="20"/>
  <c r="N87" i="20"/>
  <c r="O87" i="20"/>
  <c r="P87" i="20"/>
  <c r="N88" i="20"/>
  <c r="O88" i="20"/>
  <c r="P88" i="20"/>
  <c r="N89" i="20"/>
  <c r="O89" i="20"/>
  <c r="P89" i="20"/>
  <c r="N90" i="20"/>
  <c r="O90" i="20"/>
  <c r="P90" i="20"/>
  <c r="N91" i="20"/>
  <c r="O91" i="20"/>
  <c r="P91" i="20"/>
  <c r="N92" i="20"/>
  <c r="O92" i="20"/>
  <c r="P92" i="20"/>
  <c r="N93" i="20"/>
  <c r="O93" i="20"/>
  <c r="P93" i="20"/>
  <c r="N94" i="20"/>
  <c r="O94" i="20"/>
  <c r="P94" i="20"/>
  <c r="N95" i="20"/>
  <c r="O95" i="20"/>
  <c r="P95" i="20"/>
  <c r="N96" i="20"/>
  <c r="O96" i="20"/>
  <c r="P96" i="20"/>
  <c r="N97" i="20"/>
  <c r="O97" i="20"/>
  <c r="P97" i="20"/>
  <c r="N98" i="20"/>
  <c r="O98" i="20"/>
  <c r="P98" i="20"/>
  <c r="N99" i="20"/>
  <c r="O99" i="20"/>
  <c r="P99" i="20"/>
  <c r="N100" i="20"/>
  <c r="O100" i="20"/>
  <c r="P100" i="20"/>
  <c r="N101" i="20"/>
  <c r="O101" i="20"/>
  <c r="P101" i="20"/>
  <c r="N102" i="20"/>
  <c r="O102" i="20"/>
  <c r="P102" i="20"/>
  <c r="N103" i="20"/>
  <c r="O103" i="20"/>
  <c r="P103" i="20"/>
  <c r="N104" i="20"/>
  <c r="O104" i="20"/>
  <c r="P104" i="20"/>
  <c r="N105" i="20"/>
  <c r="O105" i="20"/>
  <c r="P105" i="20"/>
  <c r="N106" i="20"/>
  <c r="O106" i="20"/>
  <c r="P106" i="20"/>
  <c r="N107" i="20"/>
  <c r="O107" i="20"/>
  <c r="P107" i="20"/>
  <c r="N108" i="20"/>
  <c r="O108" i="20"/>
  <c r="P108" i="20"/>
  <c r="N109" i="20"/>
  <c r="O109" i="20"/>
  <c r="P109" i="20"/>
  <c r="N110" i="20"/>
  <c r="O110" i="20"/>
  <c r="P110" i="20"/>
  <c r="N111" i="20"/>
  <c r="O111" i="20"/>
  <c r="P111" i="20"/>
  <c r="N112" i="20"/>
  <c r="O112" i="20"/>
  <c r="P112" i="20"/>
  <c r="N113" i="20"/>
  <c r="O113" i="20"/>
  <c r="P113" i="20"/>
  <c r="N114" i="20"/>
  <c r="O114" i="20"/>
  <c r="P114" i="20"/>
  <c r="N115" i="20"/>
  <c r="O115" i="20"/>
  <c r="P115" i="20"/>
  <c r="N116" i="20"/>
  <c r="O116" i="20"/>
  <c r="P116" i="20"/>
  <c r="N117" i="20"/>
  <c r="O117" i="20"/>
  <c r="P117" i="20"/>
  <c r="N118" i="20"/>
  <c r="O118" i="20"/>
  <c r="P118" i="20"/>
  <c r="N119" i="20"/>
  <c r="O119" i="20"/>
  <c r="P119" i="20"/>
  <c r="N120" i="20"/>
  <c r="O120" i="20"/>
  <c r="P120" i="20"/>
  <c r="N121" i="20"/>
  <c r="O121" i="20"/>
  <c r="P121" i="20"/>
  <c r="N122" i="20"/>
  <c r="O122" i="20"/>
  <c r="P122" i="20"/>
  <c r="N123" i="20"/>
  <c r="O123" i="20"/>
  <c r="P123" i="20"/>
  <c r="N124" i="20"/>
  <c r="O124" i="20"/>
  <c r="P124" i="20"/>
  <c r="N125" i="20"/>
  <c r="O125" i="20"/>
  <c r="P125" i="20"/>
  <c r="N126" i="20"/>
  <c r="O126" i="20"/>
  <c r="P126" i="20"/>
  <c r="N127" i="20"/>
  <c r="O127" i="20"/>
  <c r="P127" i="20"/>
  <c r="N128" i="20"/>
  <c r="O128" i="20"/>
  <c r="P128" i="20"/>
  <c r="N129" i="20"/>
  <c r="O129" i="20"/>
  <c r="P129" i="20"/>
  <c r="N130" i="20"/>
  <c r="O130" i="20"/>
  <c r="P130" i="20"/>
  <c r="N131" i="20"/>
  <c r="O131" i="20"/>
  <c r="P131" i="20"/>
  <c r="N132" i="20"/>
  <c r="O132" i="20"/>
  <c r="P132" i="20"/>
  <c r="N133" i="20"/>
  <c r="O133" i="20"/>
  <c r="P133" i="20"/>
  <c r="N134" i="20"/>
  <c r="O134" i="20"/>
  <c r="P134" i="20"/>
  <c r="N135" i="20"/>
  <c r="O135" i="20"/>
  <c r="P135" i="20"/>
  <c r="N136" i="20"/>
  <c r="O136" i="20"/>
  <c r="P136" i="20"/>
  <c r="N137" i="20"/>
  <c r="O137" i="20"/>
  <c r="P137" i="20"/>
  <c r="N138" i="20"/>
  <c r="O138" i="20"/>
  <c r="P138" i="20"/>
  <c r="N139" i="20"/>
  <c r="O139" i="20"/>
  <c r="P139" i="20"/>
  <c r="N140" i="20"/>
  <c r="O140" i="20"/>
  <c r="P140" i="20"/>
  <c r="N141" i="20"/>
  <c r="O141" i="20"/>
  <c r="P141" i="20"/>
  <c r="N142" i="20"/>
  <c r="O142" i="20"/>
  <c r="P142" i="20"/>
  <c r="N143" i="20"/>
  <c r="O143" i="20"/>
  <c r="P143" i="20"/>
  <c r="N144" i="20"/>
  <c r="O144" i="20"/>
  <c r="P144" i="20"/>
  <c r="N145" i="20"/>
  <c r="O145" i="20"/>
  <c r="P145" i="20"/>
  <c r="N146" i="20"/>
  <c r="O146" i="20"/>
  <c r="P146" i="20"/>
  <c r="N147" i="20"/>
  <c r="O147" i="20"/>
  <c r="P147" i="20"/>
  <c r="N148" i="20"/>
  <c r="O148" i="20"/>
  <c r="P148" i="20"/>
  <c r="N149" i="20"/>
  <c r="O149" i="20"/>
  <c r="P149" i="20"/>
  <c r="N150" i="20"/>
  <c r="O150" i="20"/>
  <c r="P150" i="20"/>
  <c r="N151" i="20"/>
  <c r="O151" i="20"/>
  <c r="P151" i="20"/>
  <c r="N152" i="20"/>
  <c r="O152" i="20"/>
  <c r="P152" i="20"/>
  <c r="N153" i="20"/>
  <c r="O153" i="20"/>
  <c r="P153" i="20"/>
  <c r="N154" i="20"/>
  <c r="O154" i="20"/>
  <c r="P154" i="20"/>
  <c r="N155" i="20"/>
  <c r="O155" i="20"/>
  <c r="P155" i="20"/>
  <c r="N156" i="20"/>
  <c r="O156" i="20"/>
  <c r="P156" i="20"/>
  <c r="N157" i="20"/>
  <c r="O157" i="20"/>
  <c r="P157" i="20"/>
  <c r="N158" i="20"/>
  <c r="O158" i="20"/>
  <c r="P158" i="20"/>
  <c r="N159" i="20"/>
  <c r="O159" i="20"/>
  <c r="P159" i="20"/>
  <c r="N160" i="20"/>
  <c r="O160" i="20"/>
  <c r="P160" i="20"/>
  <c r="N161" i="20"/>
  <c r="O161" i="20"/>
  <c r="P161" i="20"/>
  <c r="N162" i="20"/>
  <c r="O162" i="20"/>
  <c r="P162" i="20"/>
  <c r="N163" i="20"/>
  <c r="O163" i="20"/>
  <c r="P163" i="20"/>
  <c r="N164" i="20"/>
  <c r="O164" i="20"/>
  <c r="P164" i="20"/>
  <c r="N165" i="20"/>
  <c r="O165" i="20"/>
  <c r="P165" i="20"/>
  <c r="N166" i="20"/>
  <c r="O166" i="20"/>
  <c r="P166" i="20"/>
  <c r="N167" i="20"/>
  <c r="O167" i="20"/>
  <c r="P167" i="20"/>
  <c r="N168" i="20"/>
  <c r="O168" i="20"/>
  <c r="P168" i="20"/>
  <c r="N169" i="20"/>
  <c r="O169" i="20"/>
  <c r="P169" i="20"/>
  <c r="N170" i="20"/>
  <c r="O170" i="20"/>
  <c r="P170" i="20"/>
  <c r="N171" i="20"/>
  <c r="O171" i="20"/>
  <c r="P171" i="20"/>
  <c r="N172" i="20"/>
  <c r="O172" i="20"/>
  <c r="P172" i="20"/>
  <c r="N173" i="20"/>
  <c r="O173" i="20"/>
  <c r="P173" i="20"/>
  <c r="N174" i="20"/>
  <c r="O174" i="20"/>
  <c r="P174" i="20"/>
  <c r="N175" i="20"/>
  <c r="O175" i="20"/>
  <c r="P175" i="20"/>
  <c r="N176" i="20"/>
  <c r="O176" i="20"/>
  <c r="P176" i="20"/>
  <c r="N177" i="20"/>
  <c r="O177" i="20"/>
  <c r="P177" i="20"/>
  <c r="N178" i="20"/>
  <c r="O178" i="20"/>
  <c r="P178" i="20"/>
  <c r="N179" i="20"/>
  <c r="O179" i="20"/>
  <c r="P179" i="20"/>
  <c r="N180" i="20"/>
  <c r="O180" i="20"/>
  <c r="P180" i="20"/>
  <c r="N181" i="20"/>
  <c r="O181" i="20"/>
  <c r="P181" i="20"/>
  <c r="N182" i="20"/>
  <c r="O182" i="20"/>
  <c r="P182" i="20"/>
  <c r="N183" i="20"/>
  <c r="O183" i="20"/>
  <c r="P183" i="20"/>
  <c r="N184" i="20"/>
  <c r="O184" i="20"/>
  <c r="P184" i="20"/>
  <c r="N185" i="20"/>
  <c r="O185" i="20"/>
  <c r="P185" i="20"/>
  <c r="N186" i="20"/>
  <c r="O186" i="20"/>
  <c r="P186" i="20"/>
  <c r="N187" i="20"/>
  <c r="O187" i="20"/>
  <c r="P187" i="20"/>
  <c r="N188" i="20"/>
  <c r="O188" i="20"/>
  <c r="P188" i="20"/>
  <c r="N189" i="20"/>
  <c r="O189" i="20"/>
  <c r="P189" i="20"/>
  <c r="N190" i="20"/>
  <c r="O190" i="20"/>
  <c r="P190" i="20"/>
  <c r="N191" i="20"/>
  <c r="O191" i="20"/>
  <c r="P191" i="20"/>
  <c r="N192" i="20"/>
  <c r="O192" i="20"/>
  <c r="P192" i="20"/>
  <c r="N193" i="20"/>
  <c r="O193" i="20"/>
  <c r="P193" i="20"/>
  <c r="N194" i="20"/>
  <c r="O194" i="20"/>
  <c r="P194" i="20"/>
  <c r="N195" i="20"/>
  <c r="O195" i="20"/>
  <c r="P195" i="20"/>
  <c r="N196" i="20"/>
  <c r="O196" i="20"/>
  <c r="P196" i="20"/>
  <c r="N197" i="20"/>
  <c r="O197" i="20"/>
  <c r="P197" i="20"/>
  <c r="N198" i="20"/>
  <c r="O198" i="20"/>
  <c r="P198" i="20"/>
  <c r="N199" i="20"/>
  <c r="O199" i="20"/>
  <c r="P199" i="20"/>
  <c r="N200" i="20"/>
  <c r="O200" i="20"/>
  <c r="P200" i="20"/>
  <c r="N201" i="20"/>
  <c r="O201" i="20"/>
  <c r="P201" i="20"/>
  <c r="N202" i="20"/>
  <c r="O202" i="20"/>
  <c r="P202" i="20"/>
  <c r="N203" i="20"/>
  <c r="O203" i="20"/>
  <c r="P203" i="20"/>
  <c r="N204" i="20"/>
  <c r="O204" i="20"/>
  <c r="P204" i="20"/>
  <c r="N205" i="20"/>
  <c r="O205" i="20"/>
  <c r="P205" i="20"/>
  <c r="N206" i="20"/>
  <c r="O206" i="20"/>
  <c r="P206" i="20"/>
  <c r="N207" i="20"/>
  <c r="O207" i="20"/>
  <c r="P207" i="20"/>
  <c r="N208" i="20"/>
  <c r="O208" i="20"/>
  <c r="P208" i="20"/>
  <c r="N209" i="20"/>
  <c r="O209" i="20"/>
  <c r="P209" i="20"/>
  <c r="N210" i="20"/>
  <c r="O210" i="20"/>
  <c r="P210" i="20"/>
  <c r="N211" i="20"/>
  <c r="O211" i="20"/>
  <c r="P211" i="20"/>
  <c r="N212" i="20"/>
  <c r="O212" i="20"/>
  <c r="P212" i="20"/>
  <c r="N213" i="20"/>
  <c r="O213" i="20"/>
  <c r="P213" i="20"/>
  <c r="N214" i="20"/>
  <c r="O214" i="20"/>
  <c r="P214" i="20"/>
  <c r="N215" i="20"/>
  <c r="O215" i="20"/>
  <c r="P215" i="20"/>
  <c r="N216" i="20"/>
  <c r="O216" i="20"/>
  <c r="P216" i="20"/>
  <c r="N217" i="20"/>
  <c r="O217" i="20"/>
  <c r="P217" i="20"/>
  <c r="N218" i="20"/>
  <c r="O218" i="20"/>
  <c r="P218" i="20"/>
  <c r="N219" i="20"/>
  <c r="O219" i="20"/>
  <c r="P219" i="20"/>
  <c r="N220" i="20"/>
  <c r="O220" i="20"/>
  <c r="P220" i="20"/>
  <c r="N221" i="20"/>
  <c r="O221" i="20"/>
  <c r="P221" i="20"/>
  <c r="N222" i="20"/>
  <c r="O222" i="20"/>
  <c r="P222" i="20"/>
  <c r="N223" i="20"/>
  <c r="O223" i="20"/>
  <c r="P223" i="20"/>
  <c r="N224" i="20"/>
  <c r="O224" i="20"/>
  <c r="P224" i="20"/>
  <c r="N225" i="20"/>
  <c r="O225" i="20"/>
  <c r="P225" i="20"/>
  <c r="N226" i="20"/>
  <c r="O226" i="20"/>
  <c r="P226" i="20"/>
  <c r="N227" i="20"/>
  <c r="O227" i="20"/>
  <c r="P227" i="20"/>
  <c r="N228" i="20"/>
  <c r="O228" i="20"/>
  <c r="P228" i="20"/>
  <c r="N229" i="20"/>
  <c r="O229" i="20"/>
  <c r="P229" i="20"/>
  <c r="N230" i="20"/>
  <c r="O230" i="20"/>
  <c r="P230" i="20"/>
  <c r="N231" i="20"/>
  <c r="O231" i="20"/>
  <c r="P231" i="20"/>
  <c r="N232" i="20"/>
  <c r="O232" i="20"/>
  <c r="P232" i="20"/>
  <c r="N233" i="20"/>
  <c r="O233" i="20"/>
  <c r="P233" i="20"/>
  <c r="N234" i="20"/>
  <c r="O234" i="20"/>
  <c r="P234" i="20"/>
  <c r="N235" i="20"/>
  <c r="O235" i="20"/>
  <c r="P235" i="20"/>
  <c r="N236" i="20"/>
  <c r="O236" i="20"/>
  <c r="P236" i="20"/>
  <c r="N237" i="20"/>
  <c r="O237" i="20"/>
  <c r="P237" i="20"/>
  <c r="N238" i="20"/>
  <c r="O238" i="20"/>
  <c r="P238" i="20"/>
  <c r="N239" i="20"/>
  <c r="O239" i="20"/>
  <c r="P239" i="20"/>
  <c r="N240" i="20"/>
  <c r="O240" i="20"/>
  <c r="P240" i="20"/>
  <c r="N241" i="20"/>
  <c r="O241" i="20"/>
  <c r="P241" i="20"/>
  <c r="N242" i="20"/>
  <c r="O242" i="20"/>
  <c r="P242" i="20"/>
  <c r="N243" i="20"/>
  <c r="O243" i="20"/>
  <c r="P243" i="20"/>
  <c r="N244" i="20"/>
  <c r="O244" i="20"/>
  <c r="P244" i="20"/>
  <c r="N245" i="20"/>
  <c r="O245" i="20"/>
  <c r="P245" i="20"/>
  <c r="N246" i="20"/>
  <c r="O246" i="20"/>
  <c r="P246" i="20"/>
  <c r="N247" i="20"/>
  <c r="O247" i="20"/>
  <c r="P247" i="20"/>
  <c r="N248" i="20"/>
  <c r="O248" i="20"/>
  <c r="P248" i="20"/>
  <c r="N249" i="20"/>
  <c r="O249" i="20"/>
  <c r="P249" i="20"/>
  <c r="N250" i="20"/>
  <c r="O250" i="20"/>
  <c r="P250" i="20"/>
  <c r="N251" i="20"/>
  <c r="O251" i="20"/>
  <c r="P251" i="20"/>
  <c r="N252" i="20"/>
  <c r="O252" i="20"/>
  <c r="P252" i="20"/>
  <c r="N253" i="20"/>
  <c r="O253" i="20"/>
  <c r="P253" i="20"/>
  <c r="N254" i="20"/>
  <c r="O254" i="20"/>
  <c r="P254" i="20"/>
  <c r="N255" i="20"/>
  <c r="O255" i="20"/>
  <c r="P255" i="20"/>
  <c r="N256" i="20"/>
  <c r="O256" i="20"/>
  <c r="P256" i="20"/>
  <c r="N257" i="20"/>
  <c r="O257" i="20"/>
  <c r="P257" i="20"/>
  <c r="N258" i="20"/>
  <c r="O258" i="20"/>
  <c r="P258" i="20"/>
  <c r="N259" i="20"/>
  <c r="O259" i="20"/>
  <c r="P259" i="20"/>
  <c r="N260" i="20"/>
  <c r="O260" i="20"/>
  <c r="P260" i="20"/>
  <c r="N261" i="20"/>
  <c r="O261" i="20"/>
  <c r="P261" i="20"/>
  <c r="N262" i="20"/>
  <c r="O262" i="20"/>
  <c r="P262" i="20"/>
  <c r="N263" i="20"/>
  <c r="O263" i="20"/>
  <c r="P263" i="20"/>
  <c r="N264" i="20"/>
  <c r="O264" i="20"/>
  <c r="P264" i="20"/>
  <c r="N265" i="20"/>
  <c r="O265" i="20"/>
  <c r="P265" i="20"/>
  <c r="N266" i="20"/>
  <c r="O266" i="20"/>
  <c r="P266" i="20"/>
  <c r="N267" i="20"/>
  <c r="O267" i="20"/>
  <c r="P267" i="20"/>
  <c r="N268" i="20"/>
  <c r="O268" i="20"/>
  <c r="P268" i="20"/>
  <c r="N269" i="20"/>
  <c r="O269" i="20"/>
  <c r="P269" i="20"/>
  <c r="N270" i="20"/>
  <c r="O270" i="20"/>
  <c r="P270" i="20"/>
  <c r="N271" i="20"/>
  <c r="O271" i="20"/>
  <c r="P271" i="20"/>
  <c r="N272" i="20"/>
  <c r="O272" i="20"/>
  <c r="P272" i="20"/>
  <c r="N273" i="20"/>
  <c r="O273" i="20"/>
  <c r="P273" i="20"/>
  <c r="N274" i="20"/>
  <c r="O274" i="20"/>
  <c r="P274" i="20"/>
  <c r="N275" i="20"/>
  <c r="O275" i="20"/>
  <c r="P275" i="20"/>
  <c r="N276" i="20"/>
  <c r="O276" i="20"/>
  <c r="P276" i="20"/>
  <c r="N277" i="20"/>
  <c r="O277" i="20"/>
  <c r="P277" i="20"/>
  <c r="N278" i="20"/>
  <c r="O278" i="20"/>
  <c r="P278" i="20"/>
  <c r="N279" i="20"/>
  <c r="O279" i="20"/>
  <c r="P279" i="20"/>
  <c r="N280" i="20"/>
  <c r="O280" i="20"/>
  <c r="P280" i="20"/>
  <c r="N281" i="20"/>
  <c r="O281" i="20"/>
  <c r="P281" i="20"/>
  <c r="N282" i="20"/>
  <c r="O282" i="20"/>
  <c r="P282" i="20"/>
  <c r="N283" i="20"/>
  <c r="O283" i="20"/>
  <c r="P283" i="20"/>
  <c r="N284" i="20"/>
  <c r="O284" i="20"/>
  <c r="P284" i="20"/>
  <c r="N285" i="20"/>
  <c r="O285" i="20"/>
  <c r="P285" i="20"/>
  <c r="N286" i="20"/>
  <c r="O286" i="20"/>
  <c r="P286" i="20"/>
  <c r="N287" i="20"/>
  <c r="O287" i="20"/>
  <c r="P287" i="20"/>
  <c r="N288" i="20"/>
  <c r="O288" i="20"/>
  <c r="P288" i="20"/>
  <c r="N289" i="20"/>
  <c r="O289" i="20"/>
  <c r="P289" i="20"/>
  <c r="N290" i="20"/>
  <c r="O290" i="20"/>
  <c r="P290" i="20"/>
  <c r="N291" i="20"/>
  <c r="O291" i="20"/>
  <c r="P291" i="20"/>
  <c r="N292" i="20"/>
  <c r="O292" i="20"/>
  <c r="P292" i="20"/>
  <c r="N293" i="20"/>
  <c r="O293" i="20"/>
  <c r="P293" i="20"/>
  <c r="N294" i="20"/>
  <c r="O294" i="20"/>
  <c r="P294" i="20"/>
  <c r="N295" i="20"/>
  <c r="O295" i="20"/>
  <c r="P295" i="20"/>
  <c r="N296" i="20"/>
  <c r="O296" i="20"/>
  <c r="P296" i="20"/>
  <c r="N297" i="20"/>
  <c r="O297" i="20"/>
  <c r="P297" i="20"/>
  <c r="N298" i="20"/>
  <c r="O298" i="20"/>
  <c r="P298" i="20"/>
  <c r="N299" i="20"/>
  <c r="O299" i="20"/>
  <c r="P299" i="20"/>
  <c r="N300" i="20"/>
  <c r="O300" i="20"/>
  <c r="P300" i="20"/>
  <c r="N301" i="20"/>
  <c r="O301" i="20"/>
  <c r="P301" i="20"/>
  <c r="N302" i="20"/>
  <c r="O302" i="20"/>
  <c r="P302" i="20"/>
  <c r="N303" i="20"/>
  <c r="O303" i="20"/>
  <c r="P303" i="20"/>
  <c r="N304" i="20"/>
  <c r="O304" i="20"/>
  <c r="P304" i="20"/>
  <c r="N305" i="20"/>
  <c r="O305" i="20"/>
  <c r="P305" i="20"/>
  <c r="N306" i="20"/>
  <c r="O306" i="20"/>
  <c r="P306" i="20"/>
  <c r="N307" i="20"/>
  <c r="O307" i="20"/>
  <c r="P307" i="20"/>
  <c r="N308" i="20"/>
  <c r="O308" i="20"/>
  <c r="P308" i="20"/>
  <c r="N309" i="20"/>
  <c r="O309" i="20"/>
  <c r="P309" i="20"/>
  <c r="N310" i="20"/>
  <c r="O310" i="20"/>
  <c r="P310" i="20"/>
  <c r="N311" i="20"/>
  <c r="O311" i="20"/>
  <c r="P311" i="20"/>
  <c r="N312" i="20"/>
  <c r="O312" i="20"/>
  <c r="P312" i="20"/>
  <c r="N313" i="20"/>
  <c r="O313" i="20"/>
  <c r="P313" i="20"/>
  <c r="N314" i="20"/>
  <c r="O314" i="20"/>
  <c r="P314" i="20"/>
  <c r="N315" i="20"/>
  <c r="O315" i="20"/>
  <c r="P315" i="20"/>
  <c r="N316" i="20"/>
  <c r="O316" i="20"/>
  <c r="P316" i="20"/>
  <c r="N317" i="20"/>
  <c r="O317" i="20"/>
  <c r="P317" i="20"/>
  <c r="N318" i="20"/>
  <c r="O318" i="20"/>
  <c r="P318" i="20"/>
  <c r="N319" i="20"/>
  <c r="O319" i="20"/>
  <c r="P319" i="20"/>
  <c r="N320" i="20"/>
  <c r="O320" i="20"/>
  <c r="P320" i="20"/>
  <c r="N321" i="20"/>
  <c r="O321" i="20"/>
  <c r="P321" i="20"/>
  <c r="N322" i="20"/>
  <c r="O322" i="20"/>
  <c r="P322" i="20"/>
  <c r="N323" i="20"/>
  <c r="O323" i="20"/>
  <c r="P323" i="20"/>
  <c r="N324" i="20"/>
  <c r="O324" i="20"/>
  <c r="P324" i="20"/>
  <c r="N325" i="20"/>
  <c r="O325" i="20"/>
  <c r="P325" i="20"/>
  <c r="N326" i="20"/>
  <c r="O326" i="20"/>
  <c r="P326" i="20"/>
  <c r="N327" i="20"/>
  <c r="O327" i="20"/>
  <c r="P327" i="20"/>
  <c r="N328" i="20"/>
  <c r="O328" i="20"/>
  <c r="P328" i="20"/>
  <c r="N329" i="20"/>
  <c r="O329" i="20"/>
  <c r="P329" i="20"/>
  <c r="N330" i="20"/>
  <c r="O330" i="20"/>
  <c r="P330" i="20"/>
  <c r="N331" i="20"/>
  <c r="O331" i="20"/>
  <c r="P331" i="20"/>
  <c r="N332" i="20"/>
  <c r="O332" i="20"/>
  <c r="P332" i="20"/>
  <c r="N333" i="20"/>
  <c r="O333" i="20"/>
  <c r="P333" i="20"/>
  <c r="N334" i="20"/>
  <c r="O334" i="20"/>
  <c r="P334" i="20"/>
  <c r="N335" i="20"/>
  <c r="O335" i="20"/>
  <c r="P335" i="20"/>
  <c r="N336" i="20"/>
  <c r="O336" i="20"/>
  <c r="P336" i="20"/>
  <c r="N337" i="20"/>
  <c r="O337" i="20"/>
  <c r="P337" i="20"/>
  <c r="N338" i="20"/>
  <c r="O338" i="20"/>
  <c r="P338" i="20"/>
  <c r="N339" i="20"/>
  <c r="O339" i="20"/>
  <c r="P339" i="20"/>
  <c r="N340" i="20"/>
  <c r="O340" i="20"/>
  <c r="P340" i="20"/>
  <c r="N341" i="20"/>
  <c r="O341" i="20"/>
  <c r="P341" i="20"/>
  <c r="N342" i="20"/>
  <c r="O342" i="20"/>
  <c r="P342" i="20"/>
  <c r="N343" i="20"/>
  <c r="O343" i="20"/>
  <c r="P343" i="20"/>
  <c r="N344" i="20"/>
  <c r="O344" i="20"/>
  <c r="P344" i="20"/>
  <c r="N345" i="20"/>
  <c r="O345" i="20"/>
  <c r="P345" i="20"/>
  <c r="N346" i="20"/>
  <c r="O346" i="20"/>
  <c r="P346" i="20"/>
  <c r="N347" i="20"/>
  <c r="O347" i="20"/>
  <c r="P347" i="20"/>
  <c r="N348" i="20"/>
  <c r="O348" i="20"/>
  <c r="P348" i="20"/>
  <c r="N349" i="20"/>
  <c r="O349" i="20"/>
  <c r="P349" i="20"/>
  <c r="N350" i="20"/>
  <c r="O350" i="20"/>
  <c r="P350" i="20"/>
  <c r="N351" i="20"/>
  <c r="O351" i="20"/>
  <c r="P351" i="20"/>
  <c r="N352" i="20"/>
  <c r="O352" i="20"/>
  <c r="P352" i="20"/>
  <c r="N353" i="20"/>
  <c r="O353" i="20"/>
  <c r="P353" i="20"/>
  <c r="N354" i="20"/>
  <c r="O354" i="20"/>
  <c r="P354" i="20"/>
  <c r="N355" i="20"/>
  <c r="O355" i="20"/>
  <c r="P355" i="20"/>
  <c r="N356" i="20"/>
  <c r="O356" i="20"/>
  <c r="P356" i="20"/>
  <c r="N357" i="20"/>
  <c r="O357" i="20"/>
  <c r="P357" i="20"/>
  <c r="N358" i="20"/>
  <c r="O358" i="20"/>
  <c r="P358" i="20"/>
  <c r="N359" i="20"/>
  <c r="O359" i="20"/>
  <c r="P359" i="20"/>
  <c r="N360" i="20"/>
  <c r="O360" i="20"/>
  <c r="P360" i="20"/>
  <c r="N361" i="20"/>
  <c r="O361" i="20"/>
  <c r="P361" i="20"/>
  <c r="N362" i="20"/>
  <c r="O362" i="20"/>
  <c r="P362" i="20"/>
  <c r="N363" i="20"/>
  <c r="O363" i="20"/>
  <c r="P363" i="20"/>
  <c r="N364" i="20"/>
  <c r="O364" i="20"/>
  <c r="P364" i="20"/>
  <c r="N365" i="20"/>
  <c r="O365" i="20"/>
  <c r="P365" i="20"/>
  <c r="N366" i="20"/>
  <c r="O366" i="20"/>
  <c r="P366" i="20"/>
  <c r="N367" i="20"/>
  <c r="O367" i="20"/>
  <c r="P367" i="20"/>
  <c r="N368" i="20"/>
  <c r="O368" i="20"/>
  <c r="P368" i="20"/>
  <c r="N369" i="20"/>
  <c r="O369" i="20"/>
  <c r="P369" i="20"/>
  <c r="N370" i="20"/>
  <c r="O370" i="20"/>
  <c r="P370" i="20"/>
  <c r="N371" i="20"/>
  <c r="O371" i="20"/>
  <c r="P371" i="20"/>
  <c r="N372" i="20"/>
  <c r="O372" i="20"/>
  <c r="P372" i="20"/>
  <c r="N373" i="20"/>
  <c r="O373" i="20"/>
  <c r="P373" i="20"/>
  <c r="N374" i="20"/>
  <c r="O374" i="20"/>
  <c r="P374" i="20"/>
  <c r="N375" i="20"/>
  <c r="O375" i="20"/>
  <c r="P375" i="20"/>
  <c r="N376" i="20"/>
  <c r="O376" i="20"/>
  <c r="P376" i="20"/>
  <c r="N377" i="20"/>
  <c r="O377" i="20"/>
  <c r="P377" i="20"/>
  <c r="N378" i="20"/>
  <c r="O378" i="20"/>
  <c r="P378" i="20"/>
  <c r="N379" i="20"/>
  <c r="O379" i="20"/>
  <c r="P379" i="20"/>
  <c r="N380" i="20"/>
  <c r="O380" i="20"/>
  <c r="P380" i="20"/>
  <c r="N381" i="20"/>
  <c r="O381" i="20"/>
  <c r="P381" i="20"/>
  <c r="N382" i="20"/>
  <c r="O382" i="20"/>
  <c r="P382" i="20"/>
  <c r="N383" i="20"/>
  <c r="O383" i="20"/>
  <c r="P383" i="20"/>
  <c r="N384" i="20"/>
  <c r="O384" i="20"/>
  <c r="P384" i="20"/>
  <c r="N385" i="20"/>
  <c r="O385" i="20"/>
  <c r="P385" i="20"/>
  <c r="N386" i="20"/>
  <c r="O386" i="20"/>
  <c r="P386" i="20"/>
  <c r="N387" i="20"/>
  <c r="O387" i="20"/>
  <c r="P387" i="20"/>
  <c r="N388" i="20"/>
  <c r="O388" i="20"/>
  <c r="P388" i="20"/>
  <c r="N389" i="20"/>
  <c r="O389" i="20"/>
  <c r="P389" i="20"/>
  <c r="N390" i="20"/>
  <c r="O390" i="20"/>
  <c r="P390" i="20"/>
  <c r="N391" i="20"/>
  <c r="O391" i="20"/>
  <c r="P391" i="20"/>
  <c r="N392" i="20"/>
  <c r="O392" i="20"/>
  <c r="P392" i="20"/>
  <c r="N393" i="20"/>
  <c r="O393" i="20"/>
  <c r="P393" i="20"/>
  <c r="N394" i="20"/>
  <c r="O394" i="20"/>
  <c r="P394" i="20"/>
  <c r="N395" i="20"/>
  <c r="O395" i="20"/>
  <c r="P395" i="20"/>
  <c r="N396" i="20"/>
  <c r="O396" i="20"/>
  <c r="P396" i="20"/>
  <c r="N397" i="20"/>
  <c r="O397" i="20"/>
  <c r="P397" i="20"/>
  <c r="N398" i="20"/>
  <c r="O398" i="20"/>
  <c r="P398" i="20"/>
  <c r="N399" i="20"/>
  <c r="O399" i="20"/>
  <c r="P399" i="20"/>
  <c r="N400" i="20"/>
  <c r="O400" i="20"/>
  <c r="P400" i="20"/>
  <c r="N401" i="20"/>
  <c r="O401" i="20"/>
  <c r="P401" i="20"/>
  <c r="N402" i="20"/>
  <c r="O402" i="20"/>
  <c r="P402" i="20"/>
  <c r="N403" i="20"/>
  <c r="O403" i="20"/>
  <c r="P403" i="20"/>
  <c r="N404" i="20"/>
  <c r="O404" i="20"/>
  <c r="P404" i="20"/>
  <c r="N405" i="20"/>
  <c r="O405" i="20"/>
  <c r="P405" i="20"/>
  <c r="N406" i="20"/>
  <c r="O406" i="20"/>
  <c r="P406" i="20"/>
  <c r="N407" i="20"/>
  <c r="O407" i="20"/>
  <c r="P407" i="20"/>
  <c r="N408" i="20"/>
  <c r="O408" i="20"/>
  <c r="P408" i="20"/>
  <c r="N409" i="20"/>
  <c r="O409" i="20"/>
  <c r="P409" i="20"/>
  <c r="N410" i="20"/>
  <c r="O410" i="20"/>
  <c r="P410" i="20"/>
  <c r="N411" i="20"/>
  <c r="O411" i="20"/>
  <c r="P411" i="20"/>
  <c r="N412" i="20"/>
  <c r="O412" i="20"/>
  <c r="P412" i="20"/>
  <c r="N413" i="20"/>
  <c r="O413" i="20"/>
  <c r="P413" i="20"/>
  <c r="N414" i="20"/>
  <c r="O414" i="20"/>
  <c r="P414" i="20"/>
  <c r="N415" i="20"/>
  <c r="O415" i="20"/>
  <c r="P415" i="20"/>
  <c r="N416" i="20"/>
  <c r="O416" i="20"/>
  <c r="P416" i="20"/>
  <c r="N417" i="20"/>
  <c r="O417" i="20"/>
  <c r="P417" i="20"/>
  <c r="N418" i="20"/>
  <c r="O418" i="20"/>
  <c r="P418" i="20"/>
  <c r="N419" i="20"/>
  <c r="O419" i="20"/>
  <c r="P419" i="20"/>
  <c r="N420" i="20"/>
  <c r="O420" i="20"/>
  <c r="P420" i="20"/>
  <c r="N421" i="20"/>
  <c r="O421" i="20"/>
  <c r="P421" i="20"/>
  <c r="N422" i="20"/>
  <c r="O422" i="20"/>
  <c r="P422" i="20"/>
  <c r="N423" i="20"/>
  <c r="O423" i="20"/>
  <c r="P423" i="20"/>
  <c r="N424" i="20"/>
  <c r="O424" i="20"/>
  <c r="P424" i="20"/>
  <c r="N425" i="20"/>
  <c r="O425" i="20"/>
  <c r="P425" i="20"/>
  <c r="N426" i="20"/>
  <c r="O426" i="20"/>
  <c r="P426" i="20"/>
  <c r="N427" i="20"/>
  <c r="O427" i="20"/>
  <c r="P427" i="20"/>
  <c r="N428" i="20"/>
  <c r="O428" i="20"/>
  <c r="P428" i="20"/>
  <c r="N429" i="20"/>
  <c r="O429" i="20"/>
  <c r="P429" i="20"/>
  <c r="N430" i="20"/>
  <c r="O430" i="20"/>
  <c r="P430" i="20"/>
  <c r="N431" i="20"/>
  <c r="O431" i="20"/>
  <c r="P431" i="20"/>
  <c r="N432" i="20"/>
  <c r="O432" i="20"/>
  <c r="P432" i="20"/>
  <c r="N433" i="20"/>
  <c r="O433" i="20"/>
  <c r="P433" i="20"/>
  <c r="N434" i="20"/>
  <c r="O434" i="20"/>
  <c r="P434" i="20"/>
  <c r="N435" i="20"/>
  <c r="O435" i="20"/>
  <c r="P435" i="20"/>
  <c r="N436" i="20"/>
  <c r="O436" i="20"/>
  <c r="P436" i="20"/>
  <c r="N437" i="20"/>
  <c r="O437" i="20"/>
  <c r="P437" i="20"/>
  <c r="N438" i="20"/>
  <c r="O438" i="20"/>
  <c r="P438" i="20"/>
  <c r="N439" i="20"/>
  <c r="O439" i="20"/>
  <c r="P439" i="20"/>
  <c r="N440" i="20"/>
  <c r="O440" i="20"/>
  <c r="P440" i="20"/>
  <c r="N441" i="20"/>
  <c r="O441" i="20"/>
  <c r="P441" i="20"/>
  <c r="N442" i="20"/>
  <c r="O442" i="20"/>
  <c r="P442" i="20"/>
  <c r="N443" i="20"/>
  <c r="O443" i="20"/>
  <c r="P443" i="20"/>
  <c r="N444" i="20"/>
  <c r="O444" i="20"/>
  <c r="P444" i="20"/>
  <c r="N445" i="20"/>
  <c r="O445" i="20"/>
  <c r="P445" i="20"/>
  <c r="N446" i="20"/>
  <c r="O446" i="20"/>
  <c r="P446" i="20"/>
  <c r="N447" i="20"/>
  <c r="O447" i="20"/>
  <c r="P447" i="20"/>
  <c r="N448" i="20"/>
  <c r="O448" i="20"/>
  <c r="P448" i="20"/>
  <c r="N449" i="20"/>
  <c r="O449" i="20"/>
  <c r="P449" i="20"/>
  <c r="N450" i="20"/>
  <c r="O450" i="20"/>
  <c r="P450" i="20"/>
  <c r="N451" i="20"/>
  <c r="O451" i="20"/>
  <c r="P451" i="20"/>
  <c r="N452" i="20"/>
  <c r="O452" i="20"/>
  <c r="P452" i="20"/>
  <c r="N453" i="20"/>
  <c r="O453" i="20"/>
  <c r="P453" i="20"/>
  <c r="N454" i="20"/>
  <c r="O454" i="20"/>
  <c r="P454" i="20"/>
  <c r="N455" i="20"/>
  <c r="O455" i="20"/>
  <c r="P455" i="20"/>
  <c r="N456" i="20"/>
  <c r="O456" i="20"/>
  <c r="P456" i="20"/>
  <c r="N457" i="20"/>
  <c r="O457" i="20"/>
  <c r="P457" i="20"/>
  <c r="N458" i="20"/>
  <c r="O458" i="20"/>
  <c r="P458" i="20"/>
  <c r="N459" i="20"/>
  <c r="O459" i="20"/>
  <c r="P459" i="20"/>
  <c r="N460" i="20"/>
  <c r="O460" i="20"/>
  <c r="P460" i="20"/>
  <c r="N461" i="20"/>
  <c r="O461" i="20"/>
  <c r="P461" i="20"/>
  <c r="N462" i="20"/>
  <c r="O462" i="20"/>
  <c r="P462" i="20"/>
  <c r="N463" i="20"/>
  <c r="O463" i="20"/>
  <c r="P463" i="20"/>
  <c r="N464" i="20"/>
  <c r="O464" i="20"/>
  <c r="P464" i="20"/>
  <c r="N465" i="20"/>
  <c r="O465" i="20"/>
  <c r="P465" i="20"/>
  <c r="N466" i="20"/>
  <c r="O466" i="20"/>
  <c r="P466" i="20"/>
  <c r="N467" i="20"/>
  <c r="O467" i="20"/>
  <c r="P467" i="20"/>
  <c r="N468" i="20"/>
  <c r="O468" i="20"/>
  <c r="P468" i="20"/>
  <c r="N469" i="20"/>
  <c r="O469" i="20"/>
  <c r="P469" i="20"/>
  <c r="N470" i="20"/>
  <c r="O470" i="20"/>
  <c r="N471" i="20"/>
  <c r="O471" i="20"/>
  <c r="P471" i="20"/>
  <c r="N472" i="20"/>
  <c r="O472" i="20"/>
  <c r="P472" i="20"/>
  <c r="N473" i="20"/>
  <c r="O473" i="20"/>
  <c r="P473" i="20"/>
  <c r="N474" i="20"/>
  <c r="O474" i="20"/>
  <c r="P474" i="20"/>
  <c r="N475" i="20"/>
  <c r="O475" i="20"/>
  <c r="P475" i="20"/>
  <c r="N476" i="20"/>
  <c r="O476" i="20"/>
  <c r="P476" i="20"/>
  <c r="N477" i="20"/>
  <c r="O477" i="20"/>
  <c r="P477" i="20"/>
  <c r="N478" i="20"/>
  <c r="O478" i="20"/>
  <c r="P478" i="20"/>
  <c r="N479" i="20"/>
  <c r="O479" i="20"/>
  <c r="P479" i="20"/>
  <c r="N480" i="20"/>
  <c r="O480" i="20"/>
  <c r="P480" i="20"/>
  <c r="N481" i="20"/>
  <c r="O481" i="20"/>
  <c r="P481" i="20"/>
  <c r="N482" i="20"/>
  <c r="O482" i="20"/>
  <c r="P482" i="20"/>
  <c r="N483" i="20"/>
  <c r="O483" i="20"/>
  <c r="P483" i="20"/>
  <c r="N484" i="20"/>
  <c r="O484" i="20"/>
  <c r="P484" i="20"/>
  <c r="N485" i="20"/>
  <c r="O485" i="20"/>
  <c r="P485" i="20"/>
  <c r="N486" i="20"/>
  <c r="O486" i="20"/>
  <c r="P486" i="20"/>
  <c r="N487" i="20"/>
  <c r="O487" i="20"/>
  <c r="P487" i="20"/>
  <c r="N488" i="20"/>
  <c r="O488" i="20"/>
  <c r="P488" i="20"/>
  <c r="N489" i="20"/>
  <c r="O489" i="20"/>
  <c r="P489" i="20"/>
  <c r="N490" i="20"/>
  <c r="O490" i="20"/>
  <c r="P490" i="20"/>
  <c r="N491" i="20"/>
  <c r="O491" i="20"/>
  <c r="P491" i="20"/>
  <c r="N492" i="20"/>
  <c r="O492" i="20"/>
  <c r="P492" i="20"/>
  <c r="N493" i="20"/>
  <c r="O493" i="20"/>
  <c r="P493" i="20"/>
  <c r="N494" i="20"/>
  <c r="O494" i="20"/>
  <c r="P494" i="20"/>
  <c r="N495" i="20"/>
  <c r="O495" i="20"/>
  <c r="P495" i="20"/>
  <c r="N496" i="20"/>
  <c r="O496" i="20"/>
  <c r="P496" i="20"/>
  <c r="N497" i="20"/>
  <c r="O497" i="20"/>
  <c r="P497" i="20"/>
  <c r="N498" i="20"/>
  <c r="O498" i="20"/>
  <c r="P498" i="20"/>
  <c r="N499" i="20"/>
  <c r="O499" i="20"/>
  <c r="P499" i="20"/>
  <c r="N500" i="20"/>
  <c r="O500" i="20"/>
  <c r="P500" i="20"/>
  <c r="N501" i="20"/>
  <c r="O501" i="20"/>
  <c r="P501" i="20"/>
  <c r="N502" i="20"/>
  <c r="O502" i="20"/>
  <c r="P502" i="20"/>
  <c r="N503" i="20"/>
  <c r="O503" i="20"/>
  <c r="P503" i="20"/>
  <c r="N504" i="20"/>
  <c r="O504" i="20"/>
  <c r="P504" i="20"/>
  <c r="N505" i="20"/>
  <c r="O505" i="20"/>
  <c r="P505" i="20"/>
  <c r="N506" i="20"/>
  <c r="O506" i="20"/>
  <c r="P506" i="20"/>
  <c r="N507" i="20"/>
  <c r="O507" i="20"/>
  <c r="P507" i="20"/>
  <c r="N508" i="20"/>
  <c r="O508" i="20"/>
  <c r="P508" i="20"/>
  <c r="N509" i="20"/>
  <c r="O509" i="20"/>
  <c r="P509" i="20"/>
  <c r="N510" i="20"/>
  <c r="O510" i="20"/>
  <c r="P510" i="20"/>
  <c r="N511" i="20"/>
  <c r="O511" i="20"/>
  <c r="P511" i="20"/>
  <c r="N512" i="20"/>
  <c r="O512" i="20"/>
  <c r="P512" i="20"/>
  <c r="N513" i="20"/>
  <c r="O513" i="20"/>
  <c r="P513" i="20"/>
  <c r="N514" i="20"/>
  <c r="O514" i="20"/>
  <c r="P514" i="20"/>
  <c r="N515" i="20"/>
  <c r="O515" i="20"/>
  <c r="P515" i="20"/>
  <c r="N516" i="20"/>
  <c r="O516" i="20"/>
  <c r="P516" i="20"/>
  <c r="N517" i="20"/>
  <c r="O517" i="20"/>
  <c r="P517" i="20"/>
  <c r="N518" i="20"/>
  <c r="O518" i="20"/>
  <c r="P518" i="20"/>
  <c r="N519" i="20"/>
  <c r="O519" i="20"/>
  <c r="P519" i="20"/>
  <c r="N520" i="20"/>
  <c r="O520" i="20"/>
  <c r="P520" i="20"/>
  <c r="N521" i="20"/>
  <c r="O521" i="20"/>
  <c r="P521" i="20"/>
  <c r="N522" i="20"/>
  <c r="O522" i="20"/>
  <c r="P522" i="20"/>
  <c r="N523" i="20"/>
  <c r="O523" i="20"/>
  <c r="P523" i="20"/>
  <c r="N524" i="20"/>
  <c r="O524" i="20"/>
  <c r="P524" i="20"/>
  <c r="N525" i="20"/>
  <c r="O525" i="20"/>
  <c r="P525" i="20"/>
  <c r="N526" i="20"/>
  <c r="O526" i="20"/>
  <c r="P526" i="20"/>
  <c r="N527" i="20"/>
  <c r="O527" i="20"/>
  <c r="P527" i="20"/>
  <c r="N528" i="20"/>
  <c r="O528" i="20"/>
  <c r="P528" i="20"/>
  <c r="N529" i="20"/>
  <c r="O529" i="20"/>
  <c r="P529" i="20"/>
  <c r="N530" i="20"/>
  <c r="O530" i="20"/>
  <c r="P530" i="20"/>
  <c r="N531" i="20"/>
  <c r="O531" i="20"/>
  <c r="P531" i="20"/>
  <c r="N532" i="20"/>
  <c r="O532" i="20"/>
  <c r="P532" i="20"/>
  <c r="N533" i="20"/>
  <c r="O533" i="20"/>
  <c r="P533" i="20"/>
  <c r="N534" i="20"/>
  <c r="O534" i="20"/>
  <c r="P534" i="20"/>
  <c r="N535" i="20"/>
  <c r="O535" i="20"/>
  <c r="P535" i="20"/>
  <c r="N536" i="20"/>
  <c r="O536" i="20"/>
  <c r="P536" i="20"/>
  <c r="N537" i="20"/>
  <c r="O537" i="20"/>
  <c r="P537" i="20"/>
  <c r="N538" i="20"/>
  <c r="O538" i="20"/>
  <c r="P538" i="20"/>
  <c r="N539" i="20"/>
  <c r="O539" i="20"/>
  <c r="P539" i="20"/>
  <c r="N540" i="20"/>
  <c r="O540" i="20"/>
  <c r="P540" i="20"/>
  <c r="N541" i="20"/>
  <c r="O541" i="20"/>
  <c r="P541" i="20"/>
  <c r="N542" i="20"/>
  <c r="O542" i="20"/>
  <c r="P542" i="20"/>
  <c r="N543" i="20"/>
  <c r="O543" i="20"/>
  <c r="P543" i="20"/>
  <c r="N544" i="20"/>
  <c r="O544" i="20"/>
  <c r="P544" i="20"/>
  <c r="N545" i="20"/>
  <c r="O545" i="20"/>
  <c r="P545" i="20"/>
  <c r="N546" i="20"/>
  <c r="O546" i="20"/>
  <c r="P546" i="20"/>
  <c r="N547" i="20"/>
  <c r="O547" i="20"/>
  <c r="P547" i="20"/>
  <c r="N548" i="20"/>
  <c r="O548" i="20"/>
  <c r="P548" i="20"/>
  <c r="N549" i="20"/>
  <c r="O549" i="20"/>
  <c r="P549" i="20"/>
  <c r="N550" i="20"/>
  <c r="O550" i="20"/>
  <c r="P550" i="20"/>
  <c r="N551" i="20"/>
  <c r="O551" i="20"/>
  <c r="P551" i="20"/>
  <c r="N552" i="20"/>
  <c r="O552" i="20"/>
  <c r="P552" i="20"/>
  <c r="N553" i="20"/>
  <c r="O553" i="20"/>
  <c r="P553" i="20"/>
  <c r="N554" i="20"/>
  <c r="O554" i="20"/>
  <c r="P554" i="20"/>
  <c r="N555" i="20"/>
  <c r="O555" i="20"/>
  <c r="P555" i="20"/>
  <c r="N556" i="20"/>
  <c r="O556" i="20"/>
  <c r="P556" i="20"/>
  <c r="N557" i="20"/>
  <c r="O557" i="20"/>
  <c r="P557" i="20"/>
  <c r="N558" i="20"/>
  <c r="O558" i="20"/>
  <c r="P558" i="20"/>
  <c r="N559" i="20"/>
  <c r="O559" i="20"/>
  <c r="P559" i="20"/>
  <c r="N560" i="20"/>
  <c r="O560" i="20"/>
  <c r="P560" i="20"/>
  <c r="N561" i="20"/>
  <c r="O561" i="20"/>
  <c r="P561" i="20"/>
  <c r="N562" i="20"/>
  <c r="O562" i="20"/>
  <c r="P562" i="20"/>
  <c r="N563" i="20"/>
  <c r="O563" i="20"/>
  <c r="P563" i="20"/>
  <c r="N564" i="20"/>
  <c r="O564" i="20"/>
  <c r="P564" i="20"/>
  <c r="N565" i="20"/>
  <c r="O565" i="20"/>
  <c r="P565" i="20"/>
  <c r="N566" i="20"/>
  <c r="O566" i="20"/>
  <c r="P566" i="20"/>
  <c r="N567" i="20"/>
  <c r="O567" i="20"/>
  <c r="P567" i="20"/>
  <c r="N568" i="20"/>
  <c r="O568" i="20"/>
  <c r="P568" i="20"/>
  <c r="N569" i="20"/>
  <c r="O569" i="20"/>
  <c r="P569" i="20"/>
  <c r="N570" i="20"/>
  <c r="O570" i="20"/>
  <c r="P570" i="20"/>
  <c r="N571" i="20"/>
  <c r="O571" i="20"/>
  <c r="P571" i="20"/>
  <c r="N572" i="20"/>
  <c r="O572" i="20"/>
  <c r="P572" i="20"/>
  <c r="N573" i="20"/>
  <c r="O573" i="20"/>
  <c r="P573" i="20"/>
  <c r="N574" i="20"/>
  <c r="O574" i="20"/>
  <c r="P574" i="20"/>
  <c r="N575" i="20"/>
  <c r="O575" i="20"/>
  <c r="P575" i="20"/>
  <c r="N576" i="20"/>
  <c r="O576" i="20"/>
  <c r="P576" i="20"/>
  <c r="N577" i="20"/>
  <c r="O577" i="20"/>
  <c r="P577" i="20"/>
  <c r="N578" i="20"/>
  <c r="O578" i="20"/>
  <c r="P578" i="20"/>
  <c r="N579" i="20"/>
  <c r="O579" i="20"/>
  <c r="P579" i="20"/>
  <c r="N580" i="20"/>
  <c r="O580" i="20"/>
  <c r="P580" i="20"/>
  <c r="N581" i="20"/>
  <c r="O581" i="20"/>
  <c r="P581" i="20"/>
  <c r="N582" i="20"/>
  <c r="O582" i="20"/>
  <c r="P582" i="20"/>
  <c r="N583" i="20"/>
  <c r="O583" i="20"/>
  <c r="P583" i="20"/>
  <c r="N584" i="20"/>
  <c r="O584" i="20"/>
  <c r="P584" i="20"/>
  <c r="N585" i="20"/>
  <c r="O585" i="20"/>
  <c r="P585" i="20"/>
  <c r="N586" i="20"/>
  <c r="O586" i="20"/>
  <c r="P586" i="20"/>
  <c r="N587" i="20"/>
  <c r="O587" i="20"/>
  <c r="P587" i="20"/>
  <c r="N588" i="20"/>
  <c r="O588" i="20"/>
  <c r="P588" i="20"/>
  <c r="N589" i="20"/>
  <c r="O589" i="20"/>
  <c r="P589" i="20"/>
  <c r="N590" i="20"/>
  <c r="O590" i="20"/>
  <c r="P590" i="20"/>
  <c r="N591" i="20"/>
  <c r="O591" i="20"/>
  <c r="P591" i="20"/>
  <c r="N592" i="20"/>
  <c r="O592" i="20"/>
  <c r="P592" i="20"/>
  <c r="N593" i="20"/>
  <c r="O593" i="20"/>
  <c r="P593" i="20"/>
  <c r="N594" i="20"/>
  <c r="O594" i="20"/>
  <c r="P594" i="20"/>
  <c r="N595" i="20"/>
  <c r="O595" i="20"/>
  <c r="P595" i="20"/>
  <c r="N596" i="20"/>
  <c r="O596" i="20"/>
  <c r="P596" i="20"/>
  <c r="N597" i="20"/>
  <c r="O597" i="20"/>
  <c r="P597" i="20"/>
  <c r="N598" i="20"/>
  <c r="O598" i="20"/>
  <c r="P598" i="20"/>
  <c r="N599" i="20"/>
  <c r="O599" i="20"/>
  <c r="P599" i="20"/>
  <c r="N600" i="20"/>
  <c r="O600" i="20"/>
  <c r="P600" i="20"/>
  <c r="N601" i="20"/>
  <c r="O601" i="20"/>
  <c r="P601" i="20"/>
  <c r="N602" i="20"/>
  <c r="O602" i="20"/>
  <c r="P602" i="20"/>
  <c r="N603" i="20"/>
  <c r="O603" i="20"/>
  <c r="P603" i="20"/>
  <c r="N604" i="20"/>
  <c r="O604" i="20"/>
  <c r="P604" i="20"/>
  <c r="N605" i="20"/>
  <c r="O605" i="20"/>
  <c r="P605" i="20"/>
  <c r="N606" i="20"/>
  <c r="O606" i="20"/>
  <c r="P606" i="20"/>
  <c r="N607" i="20"/>
  <c r="O607" i="20"/>
  <c r="P607" i="20"/>
  <c r="N608" i="20"/>
  <c r="O608" i="20"/>
  <c r="P608" i="20"/>
  <c r="N609" i="20"/>
  <c r="O609" i="20"/>
  <c r="P609" i="20"/>
  <c r="N610" i="20"/>
  <c r="O610" i="20"/>
  <c r="P610" i="20"/>
  <c r="N611" i="20"/>
  <c r="O611" i="20"/>
  <c r="P611" i="20"/>
  <c r="N612" i="20"/>
  <c r="O612" i="20"/>
  <c r="P612" i="20"/>
  <c r="N613" i="20"/>
  <c r="O613" i="20"/>
  <c r="P613" i="20"/>
  <c r="N614" i="20"/>
  <c r="O614" i="20"/>
  <c r="P614" i="20"/>
  <c r="N615" i="20"/>
  <c r="O615" i="20"/>
  <c r="P615" i="20"/>
  <c r="N616" i="20"/>
  <c r="O616" i="20"/>
  <c r="P616" i="20"/>
  <c r="N617" i="20"/>
  <c r="O617" i="20"/>
  <c r="P617" i="20"/>
  <c r="N618" i="20"/>
  <c r="O618" i="20"/>
  <c r="P618" i="20"/>
  <c r="N619" i="20"/>
  <c r="O619" i="20"/>
  <c r="P619" i="20"/>
  <c r="N620" i="20"/>
  <c r="O620" i="20"/>
  <c r="P620" i="20"/>
  <c r="N621" i="20"/>
  <c r="O621" i="20"/>
  <c r="P621" i="20"/>
  <c r="N622" i="20"/>
  <c r="O622" i="20"/>
  <c r="P622" i="20"/>
  <c r="N623" i="20"/>
  <c r="O623" i="20"/>
  <c r="P623" i="20"/>
  <c r="N624" i="20"/>
  <c r="O624" i="20"/>
  <c r="P624" i="20"/>
  <c r="N625" i="20"/>
  <c r="O625" i="20"/>
  <c r="P625" i="20"/>
  <c r="N626" i="20"/>
  <c r="O626" i="20"/>
  <c r="P626" i="20"/>
  <c r="N627" i="20"/>
  <c r="O627" i="20"/>
  <c r="P627" i="20"/>
  <c r="N628" i="20"/>
  <c r="O628" i="20"/>
  <c r="P628" i="20"/>
  <c r="N629" i="20"/>
  <c r="O629" i="20"/>
  <c r="P629" i="20"/>
  <c r="N630" i="20"/>
  <c r="O630" i="20"/>
  <c r="P630" i="20"/>
  <c r="N631" i="20"/>
  <c r="O631" i="20"/>
  <c r="P631" i="20"/>
  <c r="N632" i="20"/>
  <c r="O632" i="20"/>
  <c r="P632" i="20"/>
  <c r="N633" i="20"/>
  <c r="O633" i="20"/>
  <c r="P633" i="20"/>
  <c r="N634" i="20"/>
  <c r="O634" i="20"/>
  <c r="P634" i="20"/>
  <c r="N635" i="20"/>
  <c r="O635" i="20"/>
  <c r="P635" i="20"/>
  <c r="N636" i="20"/>
  <c r="O636" i="20"/>
  <c r="P636" i="20"/>
  <c r="N637" i="20"/>
  <c r="O637" i="20"/>
  <c r="P637" i="20"/>
  <c r="N638" i="20"/>
  <c r="O638" i="20"/>
  <c r="P638" i="20"/>
  <c r="N639" i="20"/>
  <c r="O639" i="20"/>
  <c r="P639" i="20"/>
  <c r="N640" i="20"/>
  <c r="O640" i="20"/>
  <c r="P640" i="20"/>
  <c r="N641" i="20"/>
  <c r="O641" i="20"/>
  <c r="P641" i="20"/>
  <c r="N642" i="20"/>
  <c r="O642" i="20"/>
  <c r="P642" i="20"/>
  <c r="N643" i="20"/>
  <c r="O643" i="20"/>
  <c r="P643" i="20"/>
  <c r="N644" i="20"/>
  <c r="O644" i="20"/>
  <c r="P644" i="20"/>
  <c r="N645" i="20"/>
  <c r="O645" i="20"/>
  <c r="P645" i="20"/>
  <c r="N646" i="20"/>
  <c r="O646" i="20"/>
  <c r="P646" i="20"/>
  <c r="N647" i="20"/>
  <c r="O647" i="20"/>
  <c r="P647" i="20"/>
  <c r="N648" i="20"/>
  <c r="O648" i="20"/>
  <c r="P648" i="20"/>
  <c r="N649" i="20"/>
  <c r="O649" i="20"/>
  <c r="P649" i="20"/>
  <c r="N650" i="20"/>
  <c r="O650" i="20"/>
  <c r="P650" i="20"/>
  <c r="N651" i="20"/>
  <c r="O651" i="20"/>
  <c r="P651" i="20"/>
  <c r="N652" i="20"/>
  <c r="O652" i="20"/>
  <c r="P652" i="20"/>
  <c r="N653" i="20"/>
  <c r="O653" i="20"/>
  <c r="P653" i="20"/>
  <c r="N654" i="20"/>
  <c r="O654" i="20"/>
  <c r="P654" i="20"/>
  <c r="N655" i="20"/>
  <c r="O655" i="20"/>
  <c r="P655" i="20"/>
  <c r="N656" i="20"/>
  <c r="O656" i="20"/>
  <c r="P656" i="20"/>
  <c r="N657" i="20"/>
  <c r="O657" i="20"/>
  <c r="P657" i="20"/>
  <c r="N658" i="20"/>
  <c r="O658" i="20"/>
  <c r="P658" i="20"/>
  <c r="N659" i="20"/>
  <c r="O659" i="20"/>
  <c r="P659" i="20"/>
  <c r="N660" i="20"/>
  <c r="O660" i="20"/>
  <c r="P660" i="20"/>
  <c r="N661" i="20"/>
  <c r="O661" i="20"/>
  <c r="P661" i="20"/>
  <c r="N662" i="20"/>
  <c r="O662" i="20"/>
  <c r="P662" i="20"/>
  <c r="N663" i="20"/>
  <c r="O663" i="20"/>
  <c r="P663" i="20"/>
  <c r="N664" i="20"/>
  <c r="O664" i="20"/>
  <c r="P664" i="20"/>
  <c r="N665" i="20"/>
  <c r="O665" i="20"/>
  <c r="P665" i="20"/>
  <c r="N666" i="20"/>
  <c r="O666" i="20"/>
  <c r="P666" i="20"/>
  <c r="N667" i="20"/>
  <c r="O667" i="20"/>
  <c r="P667" i="20"/>
  <c r="N668" i="20"/>
  <c r="O668" i="20"/>
  <c r="P668" i="20"/>
  <c r="N669" i="20"/>
  <c r="O669" i="20"/>
  <c r="P669" i="20"/>
  <c r="N670" i="20"/>
  <c r="O670" i="20"/>
  <c r="P670" i="20"/>
  <c r="N671" i="20"/>
  <c r="O671" i="20"/>
  <c r="P671" i="20"/>
  <c r="N672" i="20"/>
  <c r="O672" i="20"/>
  <c r="P672" i="20"/>
  <c r="N673" i="20"/>
  <c r="O673" i="20"/>
  <c r="P673" i="20"/>
  <c r="N674" i="20"/>
  <c r="O674" i="20"/>
  <c r="P674" i="20"/>
  <c r="N675" i="20"/>
  <c r="O675" i="20"/>
  <c r="P675" i="20"/>
  <c r="N676" i="20"/>
  <c r="O676" i="20"/>
  <c r="P676" i="20"/>
  <c r="N677" i="20"/>
  <c r="O677" i="20"/>
  <c r="P677" i="20"/>
  <c r="N678" i="20"/>
  <c r="O678" i="20"/>
  <c r="P678" i="20"/>
  <c r="N679" i="20"/>
  <c r="O679" i="20"/>
  <c r="P679" i="20"/>
  <c r="N680" i="20"/>
  <c r="O680" i="20"/>
  <c r="P680" i="20"/>
  <c r="N681" i="20"/>
  <c r="O681" i="20"/>
  <c r="P681" i="20"/>
  <c r="N682" i="20"/>
  <c r="O682" i="20"/>
  <c r="P682" i="20"/>
  <c r="N683" i="20"/>
  <c r="O683" i="20"/>
  <c r="P683" i="20"/>
  <c r="N684" i="20"/>
  <c r="O684" i="20"/>
  <c r="P684" i="20"/>
  <c r="N685" i="20"/>
  <c r="O685" i="20"/>
  <c r="P685" i="20"/>
  <c r="N686" i="20"/>
  <c r="O686" i="20"/>
  <c r="P686" i="20"/>
  <c r="N687" i="20"/>
  <c r="O687" i="20"/>
  <c r="P687" i="20"/>
  <c r="N688" i="20"/>
  <c r="O688" i="20"/>
  <c r="P688" i="20"/>
  <c r="N689" i="20"/>
  <c r="O689" i="20"/>
  <c r="P689" i="20"/>
  <c r="N690" i="20"/>
  <c r="O690" i="20"/>
  <c r="P690" i="20"/>
  <c r="N691" i="20"/>
  <c r="O691" i="20"/>
  <c r="P691" i="20"/>
  <c r="N692" i="20"/>
  <c r="O692" i="20"/>
  <c r="P692" i="20"/>
  <c r="N693" i="20"/>
  <c r="O693" i="20"/>
  <c r="P693" i="20"/>
  <c r="N694" i="20"/>
  <c r="O694" i="20"/>
  <c r="P694" i="20"/>
  <c r="N695" i="20"/>
  <c r="O695" i="20"/>
  <c r="P695" i="20"/>
  <c r="N696" i="20"/>
  <c r="O696" i="20"/>
  <c r="P696" i="20"/>
  <c r="N697" i="20"/>
  <c r="O697" i="20"/>
  <c r="P697" i="20"/>
  <c r="N698" i="20"/>
  <c r="O698" i="20"/>
  <c r="P698" i="20"/>
  <c r="N699" i="20"/>
  <c r="O699" i="20"/>
  <c r="P699" i="20"/>
  <c r="N700" i="20"/>
  <c r="O700" i="20"/>
  <c r="P700" i="20"/>
  <c r="N701" i="20"/>
  <c r="O701" i="20"/>
  <c r="P701" i="20"/>
  <c r="N702" i="20"/>
  <c r="O702" i="20"/>
  <c r="P702" i="20"/>
  <c r="N703" i="20"/>
  <c r="O703" i="20"/>
  <c r="P703" i="20"/>
  <c r="N704" i="20"/>
  <c r="O704" i="20"/>
  <c r="P704" i="20"/>
  <c r="N705" i="20"/>
  <c r="O705" i="20"/>
  <c r="P705" i="20"/>
  <c r="N706" i="20"/>
  <c r="O706" i="20"/>
  <c r="P706" i="20"/>
  <c r="N707" i="20"/>
  <c r="O707" i="20"/>
  <c r="P707" i="20"/>
  <c r="N708" i="20"/>
  <c r="O708" i="20"/>
  <c r="P708" i="20"/>
  <c r="N709" i="20"/>
  <c r="O709" i="20"/>
  <c r="P709" i="20"/>
  <c r="N710" i="20"/>
  <c r="O710" i="20"/>
  <c r="P710" i="20"/>
  <c r="N711" i="20"/>
  <c r="O711" i="20"/>
  <c r="P711" i="20"/>
  <c r="N712" i="20"/>
  <c r="O712" i="20"/>
  <c r="P712" i="20"/>
  <c r="N713" i="20"/>
  <c r="O713" i="20"/>
  <c r="P713" i="20"/>
  <c r="N714" i="20"/>
  <c r="O714" i="20"/>
  <c r="P714" i="20"/>
  <c r="N715" i="20"/>
  <c r="O715" i="20"/>
  <c r="P715" i="20"/>
  <c r="N716" i="20"/>
  <c r="O716" i="20"/>
  <c r="P716" i="20"/>
  <c r="N717" i="20"/>
  <c r="O717" i="20"/>
  <c r="P717" i="20"/>
  <c r="N718" i="20"/>
  <c r="O718" i="20"/>
  <c r="P718" i="20"/>
  <c r="N719" i="20"/>
  <c r="O719" i="20"/>
  <c r="P719" i="20"/>
  <c r="N720" i="20"/>
  <c r="O720" i="20"/>
  <c r="P720" i="20"/>
  <c r="N721" i="20"/>
  <c r="O721" i="20"/>
  <c r="P721" i="20"/>
  <c r="N722" i="20"/>
  <c r="O722" i="20"/>
  <c r="P722" i="20"/>
  <c r="N723" i="20"/>
  <c r="O723" i="20"/>
  <c r="P723" i="20"/>
  <c r="N724" i="20"/>
  <c r="O724" i="20"/>
  <c r="P724" i="20"/>
  <c r="N725" i="20"/>
  <c r="O725" i="20"/>
  <c r="P725" i="20"/>
  <c r="N726" i="20"/>
  <c r="O726" i="20"/>
  <c r="P726" i="20"/>
  <c r="N727" i="20"/>
  <c r="O727" i="20"/>
  <c r="P727" i="20"/>
  <c r="N728" i="20"/>
  <c r="O728" i="20"/>
  <c r="P728" i="20"/>
  <c r="N729" i="20"/>
  <c r="O729" i="20"/>
  <c r="P729" i="20"/>
  <c r="N730" i="20"/>
  <c r="O730" i="20"/>
  <c r="P730" i="20"/>
  <c r="N731" i="20"/>
  <c r="O731" i="20"/>
  <c r="P731" i="20"/>
  <c r="N732" i="20"/>
  <c r="O732" i="20"/>
  <c r="P732" i="20"/>
  <c r="N733" i="20"/>
  <c r="O733" i="20"/>
  <c r="P733" i="20"/>
  <c r="N734" i="20"/>
  <c r="O734" i="20"/>
  <c r="P734" i="20"/>
  <c r="N735" i="20"/>
  <c r="O735" i="20"/>
  <c r="P735" i="20"/>
  <c r="N736" i="20"/>
  <c r="O736" i="20"/>
  <c r="P736" i="20"/>
  <c r="N737" i="20"/>
  <c r="O737" i="20"/>
  <c r="P737" i="20"/>
  <c r="N738" i="20"/>
  <c r="O738" i="20"/>
  <c r="P738" i="20"/>
  <c r="N739" i="20"/>
  <c r="O739" i="20"/>
  <c r="P739" i="20"/>
  <c r="N740" i="20"/>
  <c r="O740" i="20"/>
  <c r="P740" i="20"/>
  <c r="N741" i="20"/>
  <c r="O741" i="20"/>
  <c r="P741" i="20"/>
  <c r="N742" i="20"/>
  <c r="O742" i="20"/>
  <c r="P742" i="20"/>
  <c r="N743" i="20"/>
  <c r="O743" i="20"/>
  <c r="P743" i="20"/>
  <c r="N744" i="20"/>
  <c r="O744" i="20"/>
  <c r="P744" i="20"/>
  <c r="N745" i="20"/>
  <c r="O745" i="20"/>
  <c r="P745" i="20"/>
  <c r="N746" i="20"/>
  <c r="O746" i="20"/>
  <c r="P746" i="20"/>
  <c r="N747" i="20"/>
  <c r="O747" i="20"/>
  <c r="P747" i="20"/>
  <c r="N748" i="20"/>
  <c r="O748" i="20"/>
  <c r="P748" i="20"/>
  <c r="N749" i="20"/>
  <c r="O749" i="20"/>
  <c r="P749" i="20"/>
  <c r="N750" i="20"/>
  <c r="O750" i="20"/>
  <c r="P750" i="20"/>
  <c r="N751" i="20"/>
  <c r="O751" i="20"/>
  <c r="P751" i="20"/>
  <c r="N752" i="20"/>
  <c r="O752" i="20"/>
  <c r="P752" i="20"/>
  <c r="N753" i="20"/>
  <c r="O753" i="20"/>
  <c r="P753" i="20"/>
  <c r="N754" i="20"/>
  <c r="O754" i="20"/>
  <c r="P754" i="20"/>
  <c r="N755" i="20"/>
  <c r="O755" i="20"/>
  <c r="P755" i="20"/>
  <c r="N756" i="20"/>
  <c r="O756" i="20"/>
  <c r="P756" i="20"/>
  <c r="N757" i="20"/>
  <c r="O757" i="20"/>
  <c r="P757" i="20"/>
  <c r="N758" i="20"/>
  <c r="O758" i="20"/>
  <c r="P758" i="20"/>
  <c r="N759" i="20"/>
  <c r="O759" i="20"/>
  <c r="P759" i="20"/>
  <c r="N760" i="20"/>
  <c r="O760" i="20"/>
  <c r="P760" i="20"/>
  <c r="N761" i="20"/>
  <c r="O761" i="20"/>
  <c r="P761" i="20"/>
  <c r="N762" i="20"/>
  <c r="O762" i="20"/>
  <c r="P762" i="20"/>
  <c r="N763" i="20"/>
  <c r="O763" i="20"/>
  <c r="P763" i="20"/>
  <c r="N764" i="20"/>
  <c r="O764" i="20"/>
  <c r="P764" i="20"/>
  <c r="N765" i="20"/>
  <c r="O765" i="20"/>
  <c r="P765" i="20"/>
  <c r="N766" i="20"/>
  <c r="O766" i="20"/>
  <c r="P766" i="20"/>
  <c r="N767" i="20"/>
  <c r="O767" i="20"/>
  <c r="P767" i="20"/>
  <c r="N768" i="20"/>
  <c r="O768" i="20"/>
  <c r="P768" i="20"/>
  <c r="N769" i="20"/>
  <c r="O769" i="20"/>
  <c r="P769" i="20"/>
  <c r="N770" i="20"/>
  <c r="O770" i="20"/>
  <c r="P770" i="20"/>
  <c r="N771" i="20"/>
  <c r="O771" i="20"/>
  <c r="P771" i="20"/>
  <c r="N772" i="20"/>
  <c r="O772" i="20"/>
  <c r="P772" i="20"/>
  <c r="N773" i="20"/>
  <c r="O773" i="20"/>
  <c r="P773" i="20"/>
  <c r="N774" i="20"/>
  <c r="O774" i="20"/>
  <c r="P774" i="20"/>
  <c r="N775" i="20"/>
  <c r="O775" i="20"/>
  <c r="P775" i="20"/>
  <c r="N776" i="20"/>
  <c r="O776" i="20"/>
  <c r="P776" i="20"/>
  <c r="N777" i="20"/>
  <c r="O777" i="20"/>
  <c r="P777" i="20"/>
  <c r="N778" i="20"/>
  <c r="O778" i="20"/>
  <c r="P778" i="20"/>
  <c r="N779" i="20"/>
  <c r="O779" i="20"/>
  <c r="P779" i="20"/>
  <c r="N780" i="20"/>
  <c r="O780" i="20"/>
  <c r="P780" i="20"/>
  <c r="N781" i="20"/>
  <c r="O781" i="20"/>
  <c r="P781" i="20"/>
  <c r="N782" i="20"/>
  <c r="O782" i="20"/>
  <c r="P782" i="20"/>
  <c r="N783" i="20"/>
  <c r="O783" i="20"/>
  <c r="P783" i="20"/>
  <c r="N784" i="20"/>
  <c r="O784" i="20"/>
  <c r="P784" i="20"/>
  <c r="N785" i="20"/>
  <c r="O785" i="20"/>
  <c r="P785" i="20"/>
  <c r="N786" i="20"/>
  <c r="O786" i="20"/>
  <c r="P786" i="20"/>
  <c r="N787" i="20"/>
  <c r="O787" i="20"/>
  <c r="P787" i="20"/>
  <c r="N788" i="20"/>
  <c r="O788" i="20"/>
  <c r="P788" i="20"/>
  <c r="N789" i="20"/>
  <c r="O789" i="20"/>
  <c r="P789" i="20"/>
  <c r="N790" i="20"/>
  <c r="O790" i="20"/>
  <c r="P790" i="20"/>
  <c r="N791" i="20"/>
  <c r="O791" i="20"/>
  <c r="P791" i="20"/>
  <c r="N792" i="20"/>
  <c r="O792" i="20"/>
  <c r="P792" i="20"/>
  <c r="N793" i="20"/>
  <c r="O793" i="20"/>
  <c r="P793" i="20"/>
  <c r="N794" i="20"/>
  <c r="O794" i="20"/>
  <c r="P794" i="20"/>
  <c r="N795" i="20"/>
  <c r="O795" i="20"/>
  <c r="P795" i="20"/>
  <c r="N796" i="20"/>
  <c r="O796" i="20"/>
  <c r="P796" i="20"/>
  <c r="N797" i="20"/>
  <c r="O797" i="20"/>
  <c r="P797" i="20"/>
  <c r="N798" i="20"/>
  <c r="O798" i="20"/>
  <c r="P798" i="20"/>
  <c r="N799" i="20"/>
  <c r="O799" i="20"/>
  <c r="P799" i="20"/>
  <c r="N800" i="20"/>
  <c r="O800" i="20"/>
  <c r="P800" i="20"/>
  <c r="N801" i="20"/>
  <c r="O801" i="20"/>
  <c r="P801" i="20"/>
  <c r="N802" i="20"/>
  <c r="O802" i="20"/>
  <c r="P802" i="20"/>
  <c r="N803" i="20"/>
  <c r="O803" i="20"/>
  <c r="P803" i="20"/>
  <c r="N804" i="20"/>
  <c r="O804" i="20"/>
  <c r="P804" i="20"/>
  <c r="N805" i="20"/>
  <c r="O805" i="20"/>
  <c r="P805" i="20"/>
  <c r="N806" i="20"/>
  <c r="O806" i="20"/>
  <c r="P806" i="20"/>
  <c r="N807" i="20"/>
  <c r="O807" i="20"/>
  <c r="P807" i="20"/>
  <c r="N808" i="20"/>
  <c r="O808" i="20"/>
  <c r="P808" i="20"/>
  <c r="N809" i="20"/>
  <c r="O809" i="20"/>
  <c r="P809" i="20"/>
  <c r="N810" i="20"/>
  <c r="O810" i="20"/>
  <c r="P810" i="20"/>
  <c r="N811" i="20"/>
  <c r="O811" i="20"/>
  <c r="P811" i="20"/>
  <c r="N812" i="20"/>
  <c r="O812" i="20"/>
  <c r="P812" i="20"/>
  <c r="N813" i="20"/>
  <c r="O813" i="20"/>
  <c r="P813" i="20"/>
  <c r="N814" i="20"/>
  <c r="O814" i="20"/>
  <c r="P814" i="20"/>
  <c r="N815" i="20"/>
  <c r="O815" i="20"/>
  <c r="P815" i="20"/>
  <c r="N816" i="20"/>
  <c r="O816" i="20"/>
  <c r="P816" i="20"/>
  <c r="N817" i="20"/>
  <c r="O817" i="20"/>
  <c r="P817" i="20"/>
  <c r="N818" i="20"/>
  <c r="O818" i="20"/>
  <c r="P818" i="20"/>
  <c r="N819" i="20"/>
  <c r="O819" i="20"/>
  <c r="P819" i="20"/>
  <c r="N820" i="20"/>
  <c r="O820" i="20"/>
  <c r="P820" i="20"/>
  <c r="N821" i="20"/>
  <c r="O821" i="20"/>
  <c r="P821" i="20"/>
  <c r="N822" i="20"/>
  <c r="O822" i="20"/>
  <c r="P822" i="20"/>
  <c r="N823" i="20"/>
  <c r="O823" i="20"/>
  <c r="P823" i="20"/>
  <c r="N824" i="20"/>
  <c r="O824" i="20"/>
  <c r="P824" i="20"/>
  <c r="N825" i="20"/>
  <c r="O825" i="20"/>
  <c r="P825" i="20"/>
  <c r="N826" i="20"/>
  <c r="O826" i="20"/>
  <c r="P826" i="20"/>
  <c r="N827" i="20"/>
  <c r="O827" i="20"/>
  <c r="P827" i="20"/>
  <c r="N828" i="20"/>
  <c r="O828" i="20"/>
  <c r="P828" i="20"/>
  <c r="N829" i="20"/>
  <c r="O829" i="20"/>
  <c r="P829" i="20"/>
  <c r="N830" i="20"/>
  <c r="O830" i="20"/>
  <c r="P830" i="20"/>
  <c r="N831" i="20"/>
  <c r="O831" i="20"/>
  <c r="P831" i="20"/>
  <c r="N832" i="20"/>
  <c r="O832" i="20"/>
  <c r="P832" i="20"/>
  <c r="N833" i="20"/>
  <c r="O833" i="20"/>
  <c r="P833" i="20"/>
  <c r="N834" i="20"/>
  <c r="O834" i="20"/>
  <c r="P834" i="20"/>
  <c r="N835" i="20"/>
  <c r="O835" i="20"/>
  <c r="P835" i="20"/>
  <c r="N836" i="20"/>
  <c r="O836" i="20"/>
  <c r="P836" i="20"/>
  <c r="N837" i="20"/>
  <c r="O837" i="20"/>
  <c r="P837" i="20"/>
  <c r="N838" i="20"/>
  <c r="O838" i="20"/>
  <c r="P838" i="20"/>
  <c r="N839" i="20"/>
  <c r="O839" i="20"/>
  <c r="P839" i="20"/>
  <c r="N840" i="20"/>
  <c r="O840" i="20"/>
  <c r="P840" i="20"/>
  <c r="N841" i="20"/>
  <c r="O841" i="20"/>
  <c r="P841" i="20"/>
  <c r="N842" i="20"/>
  <c r="O842" i="20"/>
  <c r="P842" i="20"/>
  <c r="N843" i="20"/>
  <c r="O843" i="20"/>
  <c r="P843" i="20"/>
  <c r="N844" i="20"/>
  <c r="O844" i="20"/>
  <c r="P844" i="20"/>
  <c r="N845" i="20"/>
  <c r="O845" i="20"/>
  <c r="P845" i="20"/>
  <c r="N846" i="20"/>
  <c r="O846" i="20"/>
  <c r="P846" i="20"/>
  <c r="N847" i="20"/>
  <c r="O847" i="20"/>
  <c r="P847" i="20"/>
  <c r="N848" i="20"/>
  <c r="O848" i="20"/>
  <c r="P848" i="20"/>
  <c r="N849" i="20"/>
  <c r="O849" i="20"/>
  <c r="P849" i="20"/>
  <c r="N850" i="20"/>
  <c r="O850" i="20"/>
  <c r="P850" i="20"/>
  <c r="N851" i="20"/>
  <c r="O851" i="20"/>
  <c r="P851" i="20"/>
  <c r="N852" i="20"/>
  <c r="O852" i="20"/>
  <c r="P852" i="20"/>
  <c r="N853" i="20"/>
  <c r="O853" i="20"/>
  <c r="P853" i="20"/>
  <c r="N854" i="20"/>
  <c r="O854" i="20"/>
  <c r="P854" i="20"/>
  <c r="N855" i="20"/>
  <c r="O855" i="20"/>
  <c r="P855" i="20"/>
  <c r="N856" i="20"/>
  <c r="O856" i="20"/>
  <c r="P856" i="20"/>
  <c r="N857" i="20"/>
  <c r="O857" i="20"/>
  <c r="P857" i="20"/>
  <c r="N858" i="20"/>
  <c r="O858" i="20"/>
  <c r="P858" i="20"/>
  <c r="N859" i="20"/>
  <c r="O859" i="20"/>
  <c r="P859" i="20"/>
  <c r="N860" i="20"/>
  <c r="O860" i="20"/>
  <c r="P860" i="20"/>
  <c r="N861" i="20"/>
  <c r="O861" i="20"/>
  <c r="P861" i="20"/>
  <c r="N862" i="20"/>
  <c r="O862" i="20"/>
  <c r="P862" i="20"/>
  <c r="N863" i="20"/>
  <c r="O863" i="20"/>
  <c r="P863" i="20"/>
  <c r="N864" i="20"/>
  <c r="O864" i="20"/>
  <c r="P864" i="20"/>
  <c r="N865" i="20"/>
  <c r="O865" i="20"/>
  <c r="P865" i="20"/>
  <c r="N866" i="20"/>
  <c r="O866" i="20"/>
  <c r="P866" i="20"/>
  <c r="N867" i="20"/>
  <c r="O867" i="20"/>
  <c r="P867" i="20"/>
  <c r="N868" i="20"/>
  <c r="O868" i="20"/>
  <c r="P868" i="20"/>
  <c r="N869" i="20"/>
  <c r="O869" i="20"/>
  <c r="P869" i="20"/>
  <c r="N870" i="20"/>
  <c r="O870" i="20"/>
  <c r="P870" i="20"/>
  <c r="N871" i="20"/>
  <c r="O871" i="20"/>
  <c r="P871" i="20"/>
  <c r="N872" i="20"/>
  <c r="O872" i="20"/>
  <c r="P872" i="20"/>
  <c r="N873" i="20"/>
  <c r="O873" i="20"/>
  <c r="P873" i="20"/>
  <c r="N874" i="20"/>
  <c r="O874" i="20"/>
  <c r="P874" i="20"/>
  <c r="N875" i="20"/>
  <c r="O875" i="20"/>
  <c r="P875" i="20"/>
  <c r="N876" i="20"/>
  <c r="O876" i="20"/>
  <c r="P876" i="20"/>
  <c r="N877" i="20"/>
  <c r="O877" i="20"/>
  <c r="P877" i="20"/>
  <c r="N878" i="20"/>
  <c r="O878" i="20"/>
  <c r="P878" i="20"/>
  <c r="N879" i="20"/>
  <c r="O879" i="20"/>
  <c r="P879" i="20"/>
  <c r="N880" i="20"/>
  <c r="O880" i="20"/>
  <c r="P880" i="20"/>
  <c r="N881" i="20"/>
  <c r="O881" i="20"/>
  <c r="P881" i="20"/>
  <c r="N882" i="20"/>
  <c r="O882" i="20"/>
  <c r="P882" i="20"/>
  <c r="N883" i="20"/>
  <c r="O883" i="20"/>
  <c r="P883" i="20"/>
  <c r="N884" i="20"/>
  <c r="O884" i="20"/>
  <c r="P884" i="20"/>
  <c r="N885" i="20"/>
  <c r="O885" i="20"/>
  <c r="P885" i="20"/>
  <c r="N886" i="20"/>
  <c r="O886" i="20"/>
  <c r="P886" i="20"/>
  <c r="N887" i="20"/>
  <c r="O887" i="20"/>
  <c r="P887" i="20"/>
  <c r="N888" i="20"/>
  <c r="O888" i="20"/>
  <c r="P888" i="20"/>
  <c r="N889" i="20"/>
  <c r="O889" i="20"/>
  <c r="P889" i="20"/>
  <c r="N890" i="20"/>
  <c r="O890" i="20"/>
  <c r="P890" i="20"/>
  <c r="N891" i="20"/>
  <c r="O891" i="20"/>
  <c r="P891" i="20"/>
  <c r="N892" i="20"/>
  <c r="O892" i="20"/>
  <c r="P892" i="20"/>
  <c r="N893" i="20"/>
  <c r="O893" i="20"/>
  <c r="P893" i="20"/>
  <c r="N894" i="20"/>
  <c r="O894" i="20"/>
  <c r="P894" i="20"/>
  <c r="N895" i="20"/>
  <c r="O895" i="20"/>
  <c r="P895" i="20"/>
  <c r="N896" i="20"/>
  <c r="O896" i="20"/>
  <c r="P896" i="20"/>
  <c r="N897" i="20"/>
  <c r="O897" i="20"/>
  <c r="P897" i="20"/>
  <c r="N898" i="20"/>
  <c r="O898" i="20"/>
  <c r="P898" i="20"/>
  <c r="N899" i="20"/>
  <c r="O899" i="20"/>
  <c r="P899" i="20"/>
  <c r="N900" i="20"/>
  <c r="O900" i="20"/>
  <c r="P900" i="20"/>
  <c r="N901" i="20"/>
  <c r="O901" i="20"/>
  <c r="P901" i="20"/>
  <c r="N902" i="20"/>
  <c r="O902" i="20"/>
  <c r="P902" i="20"/>
  <c r="N903" i="20"/>
  <c r="O903" i="20"/>
  <c r="P903" i="20"/>
  <c r="N904" i="20"/>
  <c r="O904" i="20"/>
  <c r="P904" i="20"/>
  <c r="N905" i="20"/>
  <c r="O905" i="20"/>
  <c r="P905" i="20"/>
  <c r="N906" i="20"/>
  <c r="O906" i="20"/>
  <c r="P906" i="20"/>
  <c r="N907" i="20"/>
  <c r="O907" i="20"/>
  <c r="P907" i="20"/>
  <c r="N908" i="20"/>
  <c r="O908" i="20"/>
  <c r="P908" i="20"/>
  <c r="N909" i="20"/>
  <c r="O909" i="20"/>
  <c r="P909" i="20"/>
  <c r="N910" i="20"/>
  <c r="O910" i="20"/>
  <c r="P910" i="20"/>
  <c r="N911" i="20"/>
  <c r="O911" i="20"/>
  <c r="P911" i="20"/>
  <c r="N912" i="20"/>
  <c r="O912" i="20"/>
  <c r="P912" i="20"/>
  <c r="N913" i="20"/>
  <c r="O913" i="20"/>
  <c r="P913" i="20"/>
  <c r="N914" i="20"/>
  <c r="O914" i="20"/>
  <c r="P914" i="20"/>
  <c r="N915" i="20"/>
  <c r="O915" i="20"/>
  <c r="P915" i="20"/>
  <c r="N916" i="20"/>
  <c r="O916" i="20"/>
  <c r="P916" i="20"/>
  <c r="N917" i="20"/>
  <c r="O917" i="20"/>
  <c r="P917" i="20"/>
  <c r="N918" i="20"/>
  <c r="O918" i="20"/>
  <c r="P918" i="20"/>
  <c r="N919" i="20"/>
  <c r="O919" i="20"/>
  <c r="P919" i="20"/>
  <c r="N920" i="20"/>
  <c r="O920" i="20"/>
  <c r="P920" i="20"/>
  <c r="N921" i="20"/>
  <c r="O921" i="20"/>
  <c r="P921" i="20"/>
  <c r="N922" i="20"/>
  <c r="O922" i="20"/>
  <c r="P922" i="20"/>
  <c r="N923" i="20"/>
  <c r="O923" i="20"/>
  <c r="P923" i="20"/>
  <c r="N924" i="20"/>
  <c r="O924" i="20"/>
  <c r="P924" i="20"/>
  <c r="N925" i="20"/>
  <c r="O925" i="20"/>
  <c r="P925" i="20"/>
  <c r="N926" i="20"/>
  <c r="O926" i="20"/>
  <c r="P926" i="20"/>
  <c r="N927" i="20"/>
  <c r="O927" i="20"/>
  <c r="P927" i="20"/>
  <c r="N928" i="20"/>
  <c r="O928" i="20"/>
  <c r="P928" i="20"/>
  <c r="N929" i="20"/>
  <c r="O929" i="20"/>
  <c r="P929" i="20"/>
  <c r="N930" i="20"/>
  <c r="O930" i="20"/>
  <c r="P930" i="20"/>
  <c r="N931" i="20"/>
  <c r="O931" i="20"/>
  <c r="P931" i="20"/>
  <c r="N932" i="20"/>
  <c r="O932" i="20"/>
  <c r="P932" i="20"/>
  <c r="N933" i="20"/>
  <c r="O933" i="20"/>
  <c r="P933" i="20"/>
  <c r="N934" i="20"/>
  <c r="O934" i="20"/>
  <c r="P934" i="20"/>
  <c r="N935" i="20"/>
  <c r="O935" i="20"/>
  <c r="P935" i="20"/>
  <c r="N936" i="20"/>
  <c r="O936" i="20"/>
  <c r="P936" i="20"/>
  <c r="N937" i="20"/>
  <c r="O937" i="20"/>
  <c r="P937" i="20"/>
  <c r="N938" i="20"/>
  <c r="O938" i="20"/>
  <c r="P938" i="20"/>
  <c r="N939" i="20"/>
  <c r="O939" i="20"/>
  <c r="P939" i="20"/>
  <c r="N940" i="20"/>
  <c r="O940" i="20"/>
  <c r="P940" i="20"/>
  <c r="N941" i="20"/>
  <c r="O941" i="20"/>
  <c r="P941" i="20"/>
  <c r="N942" i="20"/>
  <c r="O942" i="20"/>
  <c r="P942" i="20"/>
  <c r="N943" i="20"/>
  <c r="O943" i="20"/>
  <c r="P943" i="20"/>
  <c r="N944" i="20"/>
  <c r="O944" i="20"/>
  <c r="P944" i="20"/>
  <c r="N945" i="20"/>
  <c r="O945" i="20"/>
  <c r="P945" i="20"/>
  <c r="N946" i="20"/>
  <c r="O946" i="20"/>
  <c r="P946" i="20"/>
  <c r="N947" i="20"/>
  <c r="O947" i="20"/>
  <c r="P947" i="20"/>
  <c r="N948" i="20"/>
  <c r="O948" i="20"/>
  <c r="P948" i="20"/>
  <c r="N949" i="20"/>
  <c r="O949" i="20"/>
  <c r="P949" i="20"/>
  <c r="N950" i="20"/>
  <c r="O950" i="20"/>
  <c r="P950" i="20"/>
  <c r="N951" i="20"/>
  <c r="O951" i="20"/>
  <c r="P951" i="20"/>
  <c r="N952" i="20"/>
  <c r="O952" i="20"/>
  <c r="P952" i="20"/>
  <c r="N953" i="20"/>
  <c r="O953" i="20"/>
  <c r="P953" i="20"/>
  <c r="N954" i="20"/>
  <c r="O954" i="20"/>
  <c r="P954" i="20"/>
  <c r="N955" i="20"/>
  <c r="O955" i="20"/>
  <c r="P955" i="20"/>
  <c r="N956" i="20"/>
  <c r="O956" i="20"/>
  <c r="P956" i="20"/>
  <c r="N957" i="20"/>
  <c r="O957" i="20"/>
  <c r="P957" i="20"/>
  <c r="N958" i="20"/>
  <c r="O958" i="20"/>
  <c r="P958" i="20"/>
  <c r="N959" i="20"/>
  <c r="O959" i="20"/>
  <c r="P959" i="20"/>
  <c r="N960" i="20"/>
  <c r="O960" i="20"/>
  <c r="P960" i="20"/>
  <c r="N961" i="20"/>
  <c r="O961" i="20"/>
  <c r="P961" i="20"/>
  <c r="N962" i="20"/>
  <c r="O962" i="20"/>
  <c r="P962" i="20"/>
  <c r="N963" i="20"/>
  <c r="O963" i="20"/>
  <c r="P963" i="20"/>
  <c r="N964" i="20"/>
  <c r="O964" i="20"/>
  <c r="P964" i="20"/>
  <c r="N965" i="20"/>
  <c r="O965" i="20"/>
  <c r="P965" i="20"/>
  <c r="N966" i="20"/>
  <c r="O966" i="20"/>
  <c r="P966" i="20"/>
  <c r="N967" i="20"/>
  <c r="O967" i="20"/>
  <c r="P967" i="20"/>
  <c r="N968" i="20"/>
  <c r="O968" i="20"/>
  <c r="P968" i="20"/>
  <c r="N969" i="20"/>
  <c r="O969" i="20"/>
  <c r="P969" i="20"/>
  <c r="N970" i="20"/>
  <c r="O970" i="20"/>
  <c r="P970" i="20"/>
  <c r="N971" i="20"/>
  <c r="O971" i="20"/>
  <c r="P971" i="20"/>
  <c r="N972" i="20"/>
  <c r="O972" i="20"/>
  <c r="P972" i="20"/>
  <c r="N973" i="20"/>
  <c r="O973" i="20"/>
  <c r="P973" i="20"/>
  <c r="N974" i="20"/>
  <c r="O974" i="20"/>
  <c r="P974" i="20"/>
  <c r="N975" i="20"/>
  <c r="O975" i="20"/>
  <c r="P975" i="20"/>
  <c r="N976" i="20"/>
  <c r="O976" i="20"/>
  <c r="P976" i="20"/>
  <c r="N977" i="20"/>
  <c r="O977" i="20"/>
  <c r="P977" i="20"/>
  <c r="N978" i="20"/>
  <c r="O978" i="20"/>
  <c r="P978" i="20"/>
  <c r="N979" i="20"/>
  <c r="O979" i="20"/>
  <c r="P979" i="20"/>
  <c r="N980" i="20"/>
  <c r="O980" i="20"/>
  <c r="P980" i="20"/>
  <c r="N981" i="20"/>
  <c r="O981" i="20"/>
  <c r="P981" i="20"/>
  <c r="N982" i="20"/>
  <c r="O982" i="20"/>
  <c r="P982" i="20"/>
  <c r="N983" i="20"/>
  <c r="O983" i="20"/>
  <c r="P983" i="20"/>
  <c r="N984" i="20"/>
  <c r="O984" i="20"/>
  <c r="P984" i="20"/>
  <c r="N985" i="20"/>
  <c r="O985" i="20"/>
  <c r="P985" i="20"/>
  <c r="N986" i="20"/>
  <c r="O986" i="20"/>
  <c r="P986" i="20"/>
  <c r="N987" i="20"/>
  <c r="O987" i="20"/>
  <c r="P987" i="20"/>
  <c r="N988" i="20"/>
  <c r="O988" i="20"/>
  <c r="P988" i="20"/>
  <c r="N989" i="20"/>
  <c r="O989" i="20"/>
  <c r="P989" i="20"/>
  <c r="N990" i="20"/>
  <c r="O990" i="20"/>
  <c r="P990" i="20"/>
  <c r="N991" i="20"/>
  <c r="O991" i="20"/>
  <c r="P991" i="20"/>
  <c r="N992" i="20"/>
  <c r="O992" i="20"/>
  <c r="P992" i="20"/>
  <c r="N993" i="20"/>
  <c r="O993" i="20"/>
  <c r="P993" i="20"/>
  <c r="N994" i="20"/>
  <c r="O994" i="20"/>
  <c r="P994" i="20"/>
  <c r="N995" i="20"/>
  <c r="O995" i="20"/>
  <c r="P995" i="20"/>
  <c r="N996" i="20"/>
  <c r="O996" i="20"/>
  <c r="P996" i="20"/>
  <c r="N997" i="20"/>
  <c r="O997" i="20"/>
  <c r="P997" i="20"/>
  <c r="N998" i="20"/>
  <c r="O998" i="20"/>
  <c r="P998" i="20"/>
  <c r="N999" i="20"/>
  <c r="O999" i="20"/>
  <c r="P999" i="20"/>
  <c r="N1000" i="20"/>
  <c r="O1000" i="20"/>
  <c r="P1000" i="20"/>
  <c r="N1001" i="20"/>
  <c r="O1001" i="20"/>
  <c r="P1001" i="20"/>
  <c r="N1002" i="20"/>
  <c r="O1002" i="20"/>
  <c r="P1002" i="20"/>
  <c r="N1003" i="20"/>
  <c r="O1003" i="20"/>
  <c r="P1003" i="20"/>
  <c r="N1004" i="20"/>
  <c r="O1004" i="20"/>
  <c r="P1004" i="20"/>
  <c r="N1005" i="20"/>
  <c r="O1005" i="20"/>
  <c r="P1005" i="20"/>
  <c r="N1006" i="20"/>
  <c r="O1006" i="20"/>
  <c r="P1006" i="20"/>
  <c r="N1008" i="20"/>
  <c r="O1008" i="20"/>
  <c r="P1008" i="20"/>
  <c r="N1009" i="20"/>
  <c r="O1009" i="20"/>
  <c r="P1009" i="20"/>
  <c r="N1010" i="20"/>
  <c r="O1010" i="20"/>
  <c r="P1010" i="20"/>
  <c r="N1011" i="20"/>
  <c r="O1011" i="20"/>
  <c r="P1011" i="20"/>
  <c r="N1012" i="20"/>
  <c r="O1012" i="20"/>
  <c r="P1012" i="20"/>
  <c r="N1013" i="20"/>
  <c r="O1013" i="20"/>
  <c r="P1013" i="20"/>
  <c r="N1014" i="20"/>
  <c r="O1014" i="20"/>
  <c r="P1014" i="20"/>
  <c r="N1015" i="20"/>
  <c r="O1015" i="20"/>
  <c r="P1015" i="20"/>
  <c r="N1016" i="20"/>
  <c r="O1016" i="20"/>
  <c r="P1016" i="20"/>
  <c r="N1017" i="20"/>
  <c r="O1017" i="20"/>
  <c r="P1017" i="20"/>
  <c r="N1018" i="20"/>
  <c r="O1018" i="20"/>
  <c r="P1018" i="20"/>
  <c r="N1019" i="20"/>
  <c r="O1019" i="20"/>
  <c r="P1019" i="20"/>
  <c r="N1020" i="20"/>
  <c r="O1020" i="20"/>
  <c r="P1020" i="20"/>
  <c r="N1021" i="20"/>
  <c r="O1021" i="20"/>
  <c r="P1021" i="20"/>
  <c r="N1022" i="20"/>
  <c r="O1022" i="20"/>
  <c r="P1022" i="20"/>
  <c r="N1023" i="20"/>
  <c r="O1023" i="20"/>
  <c r="P1023" i="20"/>
  <c r="N1024" i="20"/>
  <c r="O1024" i="20"/>
  <c r="P1024" i="20"/>
  <c r="N1025" i="20"/>
  <c r="O1025" i="20"/>
  <c r="P1025" i="20"/>
  <c r="N1026" i="20"/>
  <c r="O1026" i="20"/>
  <c r="P1026" i="20"/>
  <c r="N1027" i="20"/>
  <c r="O1027" i="20"/>
  <c r="P1027" i="20"/>
  <c r="N1028" i="20"/>
  <c r="O1028" i="20"/>
  <c r="P1028" i="20"/>
  <c r="N1029" i="20"/>
  <c r="O1029" i="20"/>
  <c r="P1029" i="20"/>
  <c r="N1030" i="20"/>
  <c r="O1030" i="20"/>
  <c r="P1030" i="20"/>
  <c r="N1031" i="20"/>
  <c r="O1031" i="20"/>
  <c r="P1031" i="20"/>
  <c r="N1032" i="20"/>
  <c r="O1032" i="20"/>
  <c r="P1032" i="20"/>
  <c r="N1033" i="20"/>
  <c r="O1033" i="20"/>
  <c r="P1033" i="20"/>
  <c r="N1034" i="20"/>
  <c r="O1034" i="20"/>
  <c r="P1034" i="20"/>
  <c r="N1035" i="20"/>
  <c r="O1035" i="20"/>
  <c r="P1035" i="20"/>
  <c r="N1036" i="20"/>
  <c r="O1036" i="20"/>
  <c r="P1036" i="20"/>
  <c r="N1037" i="20"/>
  <c r="O1037" i="20"/>
  <c r="P1037" i="20"/>
  <c r="N1038" i="20"/>
  <c r="O1038" i="20"/>
  <c r="P1038" i="20"/>
  <c r="N1039" i="20"/>
  <c r="O1039" i="20"/>
  <c r="P1039" i="20"/>
  <c r="N1040" i="20"/>
  <c r="O1040" i="20"/>
  <c r="P1040" i="20"/>
  <c r="N1041" i="20"/>
  <c r="O1041" i="20"/>
  <c r="P1041" i="20"/>
  <c r="N1042" i="20"/>
  <c r="O1042" i="20"/>
  <c r="P1042" i="20"/>
  <c r="N1043" i="20"/>
  <c r="O1043" i="20"/>
  <c r="P1043" i="20"/>
  <c r="N1044" i="20"/>
  <c r="O1044" i="20"/>
  <c r="P1044" i="20"/>
  <c r="N1045" i="20"/>
  <c r="O1045" i="20"/>
  <c r="P1045" i="20"/>
  <c r="N1046" i="20"/>
  <c r="O1046" i="20"/>
  <c r="P1046" i="20"/>
  <c r="N1047" i="20"/>
  <c r="O1047" i="20"/>
  <c r="P1047" i="20"/>
  <c r="N1048" i="20"/>
  <c r="O1048" i="20"/>
  <c r="P1048" i="20"/>
  <c r="N1049" i="20"/>
  <c r="O1049" i="20"/>
  <c r="P1049" i="20"/>
  <c r="N1050" i="20"/>
  <c r="O1050" i="20"/>
  <c r="P1050" i="20"/>
  <c r="N1051" i="20"/>
  <c r="O1051" i="20"/>
  <c r="P1051" i="20"/>
  <c r="N1052" i="20"/>
  <c r="O1052" i="20"/>
  <c r="P1052" i="20"/>
  <c r="N1053" i="20"/>
  <c r="O1053" i="20"/>
  <c r="P1053" i="20"/>
  <c r="N1054" i="20"/>
  <c r="O1054" i="20"/>
  <c r="P1054" i="20"/>
  <c r="N1055" i="20"/>
  <c r="O1055" i="20"/>
  <c r="P1055" i="20"/>
  <c r="N1056" i="20"/>
  <c r="O1056" i="20"/>
  <c r="P1056" i="20"/>
  <c r="N1057" i="20"/>
  <c r="O1057" i="20"/>
  <c r="P1057" i="20"/>
  <c r="N1058" i="20"/>
  <c r="O1058" i="20"/>
  <c r="P1058" i="20"/>
  <c r="N1059" i="20"/>
  <c r="O1059" i="20"/>
  <c r="P1059" i="20"/>
  <c r="N1060" i="20"/>
  <c r="O1060" i="20"/>
  <c r="P1060" i="20"/>
  <c r="N1061" i="20"/>
  <c r="O1061" i="20"/>
  <c r="P1061" i="20"/>
  <c r="N1062" i="20"/>
  <c r="O1062" i="20"/>
  <c r="P1062" i="20"/>
  <c r="N1063" i="20"/>
  <c r="O1063" i="20"/>
  <c r="P1063" i="20"/>
  <c r="N1064" i="20"/>
  <c r="O1064" i="20"/>
  <c r="P1064" i="20"/>
  <c r="N1065" i="20"/>
  <c r="O1065" i="20"/>
  <c r="P1065" i="20"/>
  <c r="N1066" i="20"/>
  <c r="O1066" i="20"/>
  <c r="P1066" i="20"/>
  <c r="N1067" i="20"/>
  <c r="O1067" i="20"/>
  <c r="P1067" i="20"/>
  <c r="N1068" i="20"/>
  <c r="O1068" i="20"/>
  <c r="P1068" i="20"/>
  <c r="N1069" i="20"/>
  <c r="O1069" i="20"/>
  <c r="P1069" i="20"/>
  <c r="N1070" i="20"/>
  <c r="O1070" i="20"/>
  <c r="P1070" i="20"/>
  <c r="N1071" i="20"/>
  <c r="O1071" i="20"/>
  <c r="P1071" i="20"/>
  <c r="N1072" i="20"/>
  <c r="O1072" i="20"/>
  <c r="P1072" i="20"/>
  <c r="N1073" i="20"/>
  <c r="O1073" i="20"/>
  <c r="P1073" i="20"/>
  <c r="N1074" i="20"/>
  <c r="O1074" i="20"/>
  <c r="P1074" i="20"/>
  <c r="N1075" i="20"/>
  <c r="O1075" i="20"/>
  <c r="P1075" i="20"/>
  <c r="N1076" i="20"/>
  <c r="O1076" i="20"/>
  <c r="P1076" i="20"/>
  <c r="N1077" i="20"/>
  <c r="O1077" i="20"/>
  <c r="P1077" i="20"/>
  <c r="N1078" i="20"/>
  <c r="O1078" i="20"/>
  <c r="P1078" i="20"/>
  <c r="N1079" i="20"/>
  <c r="O1079" i="20"/>
  <c r="P1079" i="20"/>
  <c r="N1080" i="20"/>
  <c r="O1080" i="20"/>
  <c r="P1080" i="20"/>
  <c r="N1081" i="20"/>
  <c r="O1081" i="20"/>
  <c r="P1081" i="20"/>
  <c r="N1082" i="20"/>
  <c r="O1082" i="20"/>
  <c r="P1082" i="20"/>
  <c r="N1083" i="20"/>
  <c r="O1083" i="20"/>
  <c r="P1083" i="20"/>
  <c r="N1084" i="20"/>
  <c r="O1084" i="20"/>
  <c r="P1084" i="20"/>
  <c r="N1085" i="20"/>
  <c r="O1085" i="20"/>
  <c r="P1085" i="20"/>
  <c r="N1086" i="20"/>
  <c r="O1086" i="20"/>
  <c r="P1086" i="20"/>
  <c r="N1087" i="20"/>
  <c r="O1087" i="20"/>
  <c r="P1087" i="20"/>
  <c r="N1088" i="20"/>
  <c r="O1088" i="20"/>
  <c r="P1088" i="20"/>
  <c r="N1089" i="20"/>
  <c r="O1089" i="20"/>
  <c r="P1089" i="20"/>
  <c r="N1090" i="20"/>
  <c r="O1090" i="20"/>
  <c r="P1090" i="20"/>
  <c r="N1091" i="20"/>
  <c r="O1091" i="20"/>
  <c r="P1091" i="20"/>
  <c r="N1092" i="20"/>
  <c r="O1092" i="20"/>
  <c r="P1092" i="20"/>
  <c r="N1093" i="20"/>
  <c r="O1093" i="20"/>
  <c r="P1093" i="20"/>
  <c r="N1094" i="20"/>
  <c r="O1094" i="20"/>
  <c r="P1094" i="20"/>
  <c r="N1095" i="20"/>
  <c r="O1095" i="20"/>
  <c r="P1095" i="20"/>
  <c r="N1096" i="20"/>
  <c r="O1096" i="20"/>
  <c r="P1096" i="20"/>
  <c r="N1097" i="20"/>
  <c r="O1097" i="20"/>
  <c r="P1097" i="20"/>
  <c r="N1098" i="20"/>
  <c r="O1098" i="20"/>
  <c r="P1098" i="20"/>
  <c r="N1099" i="20"/>
  <c r="O1099" i="20"/>
  <c r="P1099" i="20"/>
  <c r="N1100" i="20"/>
  <c r="O1100" i="20"/>
  <c r="P1100" i="20"/>
  <c r="N1101" i="20"/>
  <c r="O1101" i="20"/>
  <c r="P1101" i="20"/>
  <c r="N1102" i="20"/>
  <c r="O1102" i="20"/>
  <c r="P1102" i="20"/>
  <c r="N1103" i="20"/>
  <c r="O1103" i="20"/>
  <c r="P1103" i="20"/>
  <c r="N1104" i="20"/>
  <c r="O1104" i="20"/>
  <c r="P1104" i="20"/>
  <c r="N1105" i="20"/>
  <c r="O1105" i="20"/>
  <c r="P1105" i="20"/>
  <c r="N1106" i="20"/>
  <c r="O1106" i="20"/>
  <c r="P1106" i="20"/>
  <c r="N1107" i="20"/>
  <c r="O1107" i="20"/>
  <c r="P1107" i="20"/>
  <c r="N1108" i="20"/>
  <c r="O1108" i="20"/>
  <c r="P1108" i="20"/>
  <c r="N1109" i="20"/>
  <c r="O1109" i="20"/>
  <c r="P1109" i="20"/>
  <c r="N1110" i="20"/>
  <c r="O1110" i="20"/>
  <c r="P1110" i="20"/>
  <c r="N1111" i="20"/>
  <c r="O1111" i="20"/>
  <c r="P1111" i="20"/>
  <c r="N1112" i="20"/>
  <c r="O1112" i="20"/>
  <c r="P1112" i="20"/>
  <c r="N1113" i="20"/>
  <c r="O1113" i="20"/>
  <c r="P1113" i="20"/>
  <c r="N1114" i="20"/>
  <c r="O1114" i="20"/>
  <c r="P1114" i="20"/>
  <c r="N1115" i="20"/>
  <c r="O1115" i="20"/>
  <c r="P1115" i="20"/>
  <c r="N1116" i="20"/>
  <c r="O1116" i="20"/>
  <c r="P1116" i="20"/>
  <c r="N1117" i="20"/>
  <c r="O1117" i="20"/>
  <c r="P1117" i="20"/>
  <c r="N1118" i="20"/>
  <c r="O1118" i="20"/>
  <c r="P1118" i="20"/>
  <c r="N1119" i="20"/>
  <c r="O1119" i="20"/>
  <c r="P1119" i="20"/>
  <c r="N1120" i="20"/>
  <c r="O1120" i="20"/>
  <c r="P1120" i="20"/>
  <c r="N1121" i="20"/>
  <c r="O1121" i="20"/>
  <c r="P1121" i="20"/>
  <c r="N1122" i="20"/>
  <c r="O1122" i="20"/>
  <c r="P1122" i="20"/>
  <c r="N1123" i="20"/>
  <c r="O1123" i="20"/>
  <c r="P1123" i="20"/>
  <c r="N1124" i="20"/>
  <c r="O1124" i="20"/>
  <c r="P1124" i="20"/>
  <c r="N1125" i="20"/>
  <c r="O1125" i="20"/>
  <c r="P1125" i="20"/>
  <c r="N1126" i="20"/>
  <c r="O1126" i="20"/>
  <c r="P1126" i="20"/>
  <c r="N1127" i="20"/>
  <c r="O1127" i="20"/>
  <c r="P1127" i="20"/>
  <c r="N1128" i="20"/>
  <c r="O1128" i="20"/>
  <c r="P1128" i="20"/>
  <c r="N1129" i="20"/>
  <c r="O1129" i="20"/>
  <c r="P1129" i="20"/>
  <c r="N1130" i="20"/>
  <c r="O1130" i="20"/>
  <c r="P1130" i="20"/>
  <c r="N1131" i="20"/>
  <c r="O1131" i="20"/>
  <c r="P1131" i="20"/>
  <c r="N1132" i="20"/>
  <c r="O1132" i="20"/>
  <c r="P1132" i="20"/>
  <c r="N1133" i="20"/>
  <c r="O1133" i="20"/>
  <c r="P1133" i="20"/>
  <c r="N1134" i="20"/>
  <c r="O1134" i="20"/>
  <c r="P1134" i="20"/>
  <c r="N1135" i="20"/>
  <c r="O1135" i="20"/>
  <c r="P1135" i="20"/>
  <c r="N1136" i="20"/>
  <c r="O1136" i="20"/>
  <c r="P1136" i="20"/>
  <c r="N1137" i="20"/>
  <c r="O1137" i="20"/>
  <c r="P1137" i="20"/>
  <c r="N1138" i="20"/>
  <c r="O1138" i="20"/>
  <c r="P1138" i="20"/>
  <c r="N1139" i="20"/>
  <c r="O1139" i="20"/>
  <c r="P1139" i="20"/>
  <c r="N1140" i="20"/>
  <c r="O1140" i="20"/>
  <c r="P1140" i="20"/>
  <c r="N1141" i="20"/>
  <c r="O1141" i="20"/>
  <c r="P1141" i="20"/>
  <c r="N1142" i="20"/>
  <c r="O1142" i="20"/>
  <c r="P1142" i="20"/>
  <c r="N1143" i="20"/>
  <c r="O1143" i="20"/>
  <c r="P1143" i="20"/>
  <c r="N1144" i="20"/>
  <c r="O1144" i="20"/>
  <c r="P1144" i="20"/>
  <c r="N1145" i="20"/>
  <c r="O1145" i="20"/>
  <c r="P1145" i="20"/>
  <c r="N1146" i="20"/>
  <c r="O1146" i="20"/>
  <c r="P1146" i="20"/>
  <c r="N1147" i="20"/>
  <c r="O1147" i="20"/>
  <c r="P1147" i="20"/>
  <c r="N1148" i="20"/>
  <c r="O1148" i="20"/>
  <c r="P1148" i="20"/>
  <c r="N1149" i="20"/>
  <c r="O1149" i="20"/>
  <c r="P1149" i="20"/>
  <c r="N1150" i="20"/>
  <c r="O1150" i="20"/>
  <c r="P1150" i="20"/>
  <c r="N1151" i="20"/>
  <c r="O1151" i="20"/>
  <c r="P1151" i="20"/>
  <c r="N1152" i="20"/>
  <c r="O1152" i="20"/>
  <c r="P1152" i="20"/>
  <c r="N1153" i="20"/>
  <c r="O1153" i="20"/>
  <c r="P1153" i="20"/>
  <c r="N1154" i="20"/>
  <c r="O1154" i="20"/>
  <c r="P1154" i="20"/>
  <c r="N1155" i="20"/>
  <c r="O1155" i="20"/>
  <c r="P1155" i="20"/>
  <c r="N1156" i="20"/>
  <c r="O1156" i="20"/>
  <c r="P1156" i="20"/>
  <c r="N1157" i="20"/>
  <c r="O1157" i="20"/>
  <c r="P1157" i="20"/>
  <c r="N1158" i="20"/>
  <c r="O1158" i="20"/>
  <c r="P1158" i="20"/>
  <c r="N1159" i="20"/>
  <c r="O1159" i="20"/>
  <c r="P1159" i="20"/>
  <c r="N1160" i="20"/>
  <c r="O1160" i="20"/>
  <c r="P1160" i="20"/>
  <c r="N1161" i="20"/>
  <c r="O1161" i="20"/>
  <c r="P1161" i="20"/>
  <c r="N1162" i="20"/>
  <c r="O1162" i="20"/>
  <c r="P1162" i="20"/>
  <c r="N1163" i="20"/>
  <c r="O1163" i="20"/>
  <c r="P1163" i="20"/>
  <c r="N1164" i="20"/>
  <c r="O1164" i="20"/>
  <c r="P1164" i="20"/>
  <c r="N1165" i="20"/>
  <c r="O1165" i="20"/>
  <c r="P1165" i="20"/>
  <c r="N1166" i="20"/>
  <c r="O1166" i="20"/>
  <c r="P1166" i="20"/>
  <c r="N1167" i="20"/>
  <c r="O1167" i="20"/>
  <c r="P1167" i="20"/>
  <c r="N1168" i="20"/>
  <c r="O1168" i="20"/>
  <c r="P1168" i="20"/>
  <c r="N1169" i="20"/>
  <c r="O1169" i="20"/>
  <c r="P1169" i="20"/>
  <c r="N1170" i="20"/>
  <c r="O1170" i="20"/>
  <c r="P1170" i="20"/>
  <c r="N1171" i="20"/>
  <c r="O1171" i="20"/>
  <c r="P1171" i="20"/>
  <c r="N1172" i="20"/>
  <c r="O1172" i="20"/>
  <c r="P1172" i="20"/>
  <c r="N1173" i="20"/>
  <c r="O1173" i="20"/>
  <c r="P1173" i="20"/>
  <c r="N1174" i="20"/>
  <c r="O1174" i="20"/>
  <c r="P1174" i="20"/>
  <c r="N1175" i="20"/>
  <c r="O1175" i="20"/>
  <c r="P1175" i="20"/>
  <c r="N1176" i="20"/>
  <c r="O1176" i="20"/>
  <c r="P1176" i="20"/>
  <c r="N1177" i="20"/>
  <c r="O1177" i="20"/>
  <c r="P1177" i="20"/>
  <c r="N1178" i="20"/>
  <c r="O1178" i="20"/>
  <c r="P1178" i="20"/>
  <c r="N1179" i="20"/>
  <c r="O1179" i="20"/>
  <c r="P1179" i="20"/>
  <c r="N1180" i="20"/>
  <c r="O1180" i="20"/>
  <c r="P1180" i="20"/>
  <c r="N1181" i="20"/>
  <c r="O1181" i="20"/>
  <c r="P1181" i="20"/>
  <c r="N1182" i="20"/>
  <c r="O1182" i="20"/>
  <c r="P1182" i="20"/>
  <c r="N1183" i="20"/>
  <c r="O1183" i="20"/>
  <c r="P1183" i="20"/>
  <c r="N1184" i="20"/>
  <c r="O1184" i="20"/>
  <c r="P1184" i="20"/>
  <c r="N1185" i="20"/>
  <c r="O1185" i="20"/>
  <c r="P1185" i="20"/>
  <c r="N1186" i="20"/>
  <c r="O1186" i="20"/>
  <c r="P1186" i="20"/>
  <c r="N1187" i="20"/>
  <c r="O1187" i="20"/>
  <c r="P1187" i="20"/>
  <c r="N1188" i="20"/>
  <c r="O1188" i="20"/>
  <c r="P1188" i="20"/>
  <c r="N1189" i="20"/>
  <c r="O1189" i="20"/>
  <c r="P1189" i="20"/>
  <c r="N1190" i="20"/>
  <c r="O1190" i="20"/>
  <c r="P1190" i="20"/>
  <c r="N1191" i="20"/>
  <c r="O1191" i="20"/>
  <c r="P1191" i="20"/>
  <c r="N1192" i="20"/>
  <c r="O1192" i="20"/>
  <c r="P1192" i="20"/>
  <c r="N1193" i="20"/>
  <c r="O1193" i="20"/>
  <c r="P1193" i="20"/>
  <c r="N1194" i="20"/>
  <c r="O1194" i="20"/>
  <c r="P1194" i="20"/>
  <c r="N1195" i="20"/>
  <c r="O1195" i="20"/>
  <c r="P1195" i="20"/>
  <c r="N1196" i="20"/>
  <c r="O1196" i="20"/>
  <c r="P1196" i="20"/>
  <c r="N1197" i="20"/>
  <c r="O1197" i="20"/>
  <c r="P1197" i="20"/>
  <c r="N1198" i="20"/>
  <c r="O1198" i="20"/>
  <c r="P1198" i="20"/>
  <c r="N1199" i="20"/>
  <c r="O1199" i="20"/>
  <c r="P1199" i="20"/>
  <c r="N1200" i="20"/>
  <c r="O1200" i="20"/>
  <c r="P1200" i="20"/>
  <c r="N1201" i="20"/>
  <c r="O1201" i="20"/>
  <c r="P1201" i="20"/>
  <c r="N1202" i="20"/>
  <c r="O1202" i="20"/>
  <c r="P1202" i="20"/>
  <c r="N1203" i="20"/>
  <c r="O1203" i="20"/>
  <c r="P1203" i="20"/>
  <c r="N1204" i="20"/>
  <c r="O1204" i="20"/>
  <c r="P1204" i="20"/>
  <c r="N1205" i="20"/>
  <c r="O1205" i="20"/>
  <c r="P1205" i="20"/>
  <c r="N1206" i="20"/>
  <c r="O1206" i="20"/>
  <c r="P1206" i="20"/>
  <c r="N1207" i="20"/>
  <c r="O1207" i="20"/>
  <c r="P1207" i="20"/>
  <c r="N1208" i="20"/>
  <c r="O1208" i="20"/>
  <c r="P1208" i="20"/>
  <c r="N1209" i="20"/>
  <c r="O1209" i="20"/>
  <c r="P1209" i="20"/>
  <c r="N1210" i="20"/>
  <c r="O1210" i="20"/>
  <c r="P1210" i="20"/>
  <c r="N1211" i="20"/>
  <c r="O1211" i="20"/>
  <c r="P1211" i="20"/>
  <c r="N1212" i="20"/>
  <c r="O1212" i="20"/>
  <c r="P1212" i="20"/>
  <c r="N1213" i="20"/>
  <c r="O1213" i="20"/>
  <c r="P1213" i="20"/>
  <c r="N1214" i="20"/>
  <c r="O1214" i="20"/>
  <c r="P1214" i="20"/>
  <c r="N1215" i="20"/>
  <c r="O1215" i="20"/>
  <c r="P1215" i="20"/>
  <c r="N1216" i="20"/>
  <c r="O1216" i="20"/>
  <c r="P1216" i="20"/>
  <c r="N1217" i="20"/>
  <c r="O1217" i="20"/>
  <c r="P1217" i="20"/>
  <c r="N1218" i="20"/>
  <c r="O1218" i="20"/>
  <c r="P1218" i="20"/>
  <c r="N1219" i="20"/>
  <c r="O1219" i="20"/>
  <c r="P1219" i="20"/>
  <c r="N1220" i="20"/>
  <c r="O1220" i="20"/>
  <c r="P1220" i="20"/>
  <c r="N1221" i="20"/>
  <c r="O1221" i="20"/>
  <c r="P1221" i="20"/>
  <c r="N1222" i="20"/>
  <c r="O1222" i="20"/>
  <c r="P1222" i="20"/>
  <c r="N1223" i="20"/>
  <c r="O1223" i="20"/>
  <c r="P1223" i="20"/>
  <c r="N1224" i="20"/>
  <c r="O1224" i="20"/>
  <c r="P1224" i="20"/>
  <c r="N1225" i="20"/>
  <c r="O1225" i="20"/>
  <c r="P1225" i="20"/>
  <c r="N1226" i="20"/>
  <c r="O1226" i="20"/>
  <c r="P1226" i="20"/>
  <c r="N1227" i="20"/>
  <c r="O1227" i="20"/>
  <c r="P1227" i="20"/>
  <c r="N1228" i="20"/>
  <c r="O1228" i="20"/>
  <c r="P1228" i="20"/>
  <c r="N1229" i="20"/>
  <c r="O1229" i="20"/>
  <c r="P1229" i="20"/>
  <c r="N1230" i="20"/>
  <c r="O1230" i="20"/>
  <c r="P1230" i="20"/>
  <c r="N1231" i="20"/>
  <c r="O1231" i="20"/>
  <c r="P1231" i="20"/>
  <c r="N1232" i="20"/>
  <c r="O1232" i="20"/>
  <c r="P1232" i="20"/>
  <c r="N1233" i="20"/>
  <c r="O1233" i="20"/>
  <c r="P1233" i="20"/>
  <c r="N1234" i="20"/>
  <c r="O1234" i="20"/>
  <c r="P1234" i="20"/>
  <c r="N1235" i="20"/>
  <c r="O1235" i="20"/>
  <c r="P1235" i="20"/>
  <c r="N1236" i="20"/>
  <c r="O1236" i="20"/>
  <c r="P1236" i="20"/>
  <c r="N1237" i="20"/>
  <c r="O1237" i="20"/>
  <c r="P1237" i="20"/>
  <c r="N1238" i="20"/>
  <c r="O1238" i="20"/>
  <c r="P1238" i="20"/>
  <c r="N1239" i="20"/>
  <c r="O1239" i="20"/>
  <c r="P1239" i="20"/>
  <c r="N1240" i="20"/>
  <c r="O1240" i="20"/>
  <c r="P1240" i="20"/>
  <c r="N1241" i="20"/>
  <c r="O1241" i="20"/>
  <c r="P1241" i="20"/>
  <c r="N1242" i="20"/>
  <c r="O1242" i="20"/>
  <c r="P1242" i="20"/>
  <c r="N1243" i="20"/>
  <c r="O1243" i="20"/>
  <c r="P1243" i="20"/>
  <c r="N1244" i="20"/>
  <c r="O1244" i="20"/>
  <c r="P1244" i="20"/>
  <c r="N1245" i="20"/>
  <c r="O1245" i="20"/>
  <c r="P1245" i="20"/>
  <c r="N1246" i="20"/>
  <c r="O1246" i="20"/>
  <c r="P1246" i="20"/>
  <c r="N1247" i="20"/>
  <c r="O1247" i="20"/>
  <c r="P1247" i="20"/>
  <c r="N1248" i="20"/>
  <c r="O1248" i="20"/>
  <c r="P1248" i="20"/>
  <c r="N1249" i="20"/>
  <c r="O1249" i="20"/>
  <c r="P1249" i="20"/>
  <c r="N1250" i="20"/>
  <c r="O1250" i="20"/>
  <c r="P1250" i="20"/>
  <c r="N1251" i="20"/>
  <c r="O1251" i="20"/>
  <c r="P1251" i="20"/>
  <c r="N1252" i="20"/>
  <c r="O1252" i="20"/>
  <c r="P1252" i="20"/>
  <c r="N1253" i="20"/>
  <c r="O1253" i="20"/>
  <c r="P1253" i="20"/>
  <c r="N1254" i="20"/>
  <c r="O1254" i="20"/>
  <c r="P1254" i="20"/>
  <c r="N1255" i="20"/>
  <c r="O1255" i="20"/>
  <c r="P1255" i="20"/>
  <c r="N1256" i="20"/>
  <c r="O1256" i="20"/>
  <c r="P1256" i="20"/>
  <c r="N1257" i="20"/>
  <c r="O1257" i="20"/>
  <c r="P1257" i="20"/>
  <c r="N1258" i="20"/>
  <c r="O1258" i="20"/>
  <c r="P1258" i="20"/>
  <c r="N1259" i="20"/>
  <c r="O1259" i="20"/>
  <c r="P1259" i="20"/>
  <c r="N1260" i="20"/>
  <c r="O1260" i="20"/>
  <c r="P1260" i="20"/>
  <c r="N1261" i="20"/>
  <c r="O1261" i="20"/>
  <c r="P1261" i="20"/>
  <c r="N1262" i="20"/>
  <c r="O1262" i="20"/>
  <c r="P1262" i="20"/>
  <c r="N1263" i="20"/>
  <c r="O1263" i="20"/>
  <c r="P1263" i="20"/>
  <c r="N1264" i="20"/>
  <c r="O1264" i="20"/>
  <c r="P1264" i="20"/>
  <c r="N1265" i="20"/>
  <c r="O1265" i="20"/>
  <c r="P1265" i="20"/>
  <c r="N1266" i="20"/>
  <c r="O1266" i="20"/>
  <c r="P1266" i="20"/>
  <c r="N1267" i="20"/>
  <c r="O1267" i="20"/>
  <c r="P1267" i="20"/>
  <c r="N1268" i="20"/>
  <c r="O1268" i="20"/>
  <c r="P1268" i="20"/>
  <c r="N1269" i="20"/>
  <c r="O1269" i="20"/>
  <c r="P1269" i="20"/>
  <c r="N1270" i="20"/>
  <c r="O1270" i="20"/>
  <c r="P1270" i="20"/>
  <c r="N1271" i="20"/>
  <c r="O1271" i="20"/>
  <c r="P1271" i="20"/>
  <c r="N1272" i="20"/>
  <c r="O1272" i="20"/>
  <c r="P1272" i="20"/>
  <c r="N1273" i="20"/>
  <c r="O1273" i="20"/>
  <c r="P1273" i="20"/>
  <c r="N1274" i="20"/>
  <c r="O1274" i="20"/>
  <c r="P1274" i="20"/>
  <c r="N1275" i="20"/>
  <c r="O1275" i="20"/>
  <c r="P1275" i="20"/>
  <c r="N1276" i="20"/>
  <c r="O1276" i="20"/>
  <c r="P1276" i="20"/>
  <c r="N1277" i="20"/>
  <c r="O1277" i="20"/>
  <c r="P1277" i="20"/>
  <c r="N1278" i="20"/>
  <c r="O1278" i="20"/>
  <c r="P1278" i="20"/>
  <c r="N1279" i="20"/>
  <c r="O1279" i="20"/>
  <c r="P1279" i="20"/>
  <c r="N1280" i="20"/>
  <c r="O1280" i="20"/>
  <c r="P1280" i="20"/>
  <c r="N1281" i="20"/>
  <c r="O1281" i="20"/>
  <c r="P1281" i="20"/>
  <c r="N1282" i="20"/>
  <c r="O1282" i="20"/>
  <c r="P1282" i="20"/>
  <c r="N1283" i="20"/>
  <c r="O1283" i="20"/>
  <c r="P1283" i="20"/>
  <c r="N1284" i="20"/>
  <c r="O1284" i="20"/>
  <c r="P1284" i="20"/>
  <c r="N1285" i="20"/>
  <c r="O1285" i="20"/>
  <c r="P1285" i="20"/>
  <c r="N1286" i="20"/>
  <c r="O1286" i="20"/>
  <c r="P1286" i="20"/>
  <c r="N1287" i="20"/>
  <c r="O1287" i="20"/>
  <c r="P1287" i="20"/>
  <c r="N1288" i="20"/>
  <c r="O1288" i="20"/>
  <c r="P1288" i="20"/>
  <c r="N1289" i="20"/>
  <c r="O1289" i="20"/>
  <c r="P1289" i="20"/>
  <c r="N1290" i="20"/>
  <c r="O1290" i="20"/>
  <c r="P1290" i="20"/>
  <c r="N1291" i="20"/>
  <c r="O1291" i="20"/>
  <c r="P1291" i="20"/>
  <c r="N1292" i="20"/>
  <c r="O1292" i="20"/>
  <c r="P1292" i="20"/>
  <c r="N1293" i="20"/>
  <c r="O1293" i="20"/>
  <c r="P1293" i="20"/>
  <c r="N1294" i="20"/>
  <c r="O1294" i="20"/>
  <c r="P1294" i="20"/>
  <c r="N1295" i="20"/>
  <c r="O1295" i="20"/>
  <c r="P1295" i="20"/>
  <c r="N1296" i="20"/>
  <c r="O1296" i="20"/>
  <c r="P1296" i="20"/>
  <c r="N1297" i="20"/>
  <c r="O1297" i="20"/>
  <c r="P1297" i="20"/>
  <c r="N1298" i="20"/>
  <c r="O1298" i="20"/>
  <c r="P1298" i="20"/>
  <c r="N1299" i="20"/>
  <c r="O1299" i="20"/>
  <c r="P1299" i="20"/>
  <c r="N1300" i="20"/>
  <c r="O1300" i="20"/>
  <c r="P1300" i="20"/>
  <c r="N1301" i="20"/>
  <c r="O1301" i="20"/>
  <c r="P1301" i="20"/>
  <c r="N1302" i="20"/>
  <c r="O1302" i="20"/>
  <c r="P1302" i="20"/>
  <c r="N1303" i="20"/>
  <c r="O1303" i="20"/>
  <c r="P1303" i="20"/>
  <c r="N1304" i="20"/>
  <c r="O1304" i="20"/>
  <c r="P1304" i="20"/>
  <c r="N1305" i="20"/>
  <c r="O1305" i="20"/>
  <c r="P1305" i="20"/>
  <c r="N1306" i="20"/>
  <c r="O1306" i="20"/>
  <c r="P1306" i="20"/>
  <c r="N1307" i="20"/>
  <c r="O1307" i="20"/>
  <c r="P1307" i="20"/>
  <c r="N1308" i="20"/>
  <c r="O1308" i="20"/>
  <c r="P1308" i="20"/>
  <c r="N1309" i="20"/>
  <c r="O1309" i="20"/>
  <c r="P1309" i="20"/>
  <c r="N1310" i="20"/>
  <c r="O1310" i="20"/>
  <c r="P1310" i="20"/>
  <c r="N1311" i="20"/>
  <c r="O1311" i="20"/>
  <c r="P1311" i="20"/>
  <c r="N1312" i="20"/>
  <c r="O1312" i="20"/>
  <c r="P1312" i="20"/>
  <c r="N1313" i="20"/>
  <c r="O1313" i="20"/>
  <c r="P1313" i="20"/>
  <c r="N1314" i="20"/>
  <c r="O1314" i="20"/>
  <c r="P1314" i="20"/>
  <c r="N1315" i="20"/>
  <c r="O1315" i="20"/>
  <c r="P1315" i="20"/>
  <c r="N1316" i="20"/>
  <c r="O1316" i="20"/>
  <c r="P1316" i="20"/>
  <c r="N1317" i="20"/>
  <c r="O1317" i="20"/>
  <c r="P1317" i="20"/>
  <c r="N1318" i="20"/>
  <c r="O1318" i="20"/>
  <c r="P1318" i="20"/>
  <c r="N1319" i="20"/>
  <c r="O1319" i="20"/>
  <c r="P1319" i="20"/>
  <c r="N1320" i="20"/>
  <c r="O1320" i="20"/>
  <c r="P1320" i="20"/>
  <c r="N1321" i="20"/>
  <c r="O1321" i="20"/>
  <c r="P1321" i="20"/>
  <c r="N1322" i="20"/>
  <c r="O1322" i="20"/>
  <c r="P1322" i="20"/>
  <c r="N1323" i="20"/>
  <c r="O1323" i="20"/>
  <c r="P1323" i="20"/>
  <c r="N1324" i="20"/>
  <c r="O1324" i="20"/>
  <c r="P1324" i="20"/>
  <c r="N1325" i="20"/>
  <c r="O1325" i="20"/>
  <c r="P1325" i="20"/>
  <c r="N1326" i="20"/>
  <c r="O1326" i="20"/>
  <c r="P1326" i="20"/>
  <c r="N1327" i="20"/>
  <c r="O1327" i="20"/>
  <c r="P1327" i="20"/>
  <c r="N1328" i="20"/>
  <c r="O1328" i="20"/>
  <c r="P1328" i="20"/>
  <c r="N1329" i="20"/>
  <c r="O1329" i="20"/>
  <c r="P1329" i="20"/>
  <c r="N1330" i="20"/>
  <c r="O1330" i="20"/>
  <c r="P1330" i="20"/>
  <c r="N1331" i="20"/>
  <c r="O1331" i="20"/>
  <c r="P1331" i="20"/>
  <c r="N1332" i="20"/>
  <c r="O1332" i="20"/>
  <c r="P1332" i="20"/>
  <c r="N1333" i="20"/>
  <c r="O1333" i="20"/>
  <c r="P1333" i="20"/>
  <c r="N1334" i="20"/>
  <c r="O1334" i="20"/>
  <c r="P1334" i="20"/>
  <c r="N1335" i="20"/>
  <c r="O1335" i="20"/>
  <c r="P1335" i="20"/>
  <c r="N1336" i="20"/>
  <c r="O1336" i="20"/>
  <c r="P1336" i="20"/>
  <c r="N1337" i="20"/>
  <c r="O1337" i="20"/>
  <c r="P1337" i="20"/>
  <c r="N1338" i="20"/>
  <c r="O1338" i="20"/>
  <c r="P1338" i="20"/>
  <c r="N1339" i="20"/>
  <c r="O1339" i="20"/>
  <c r="P1339" i="20"/>
  <c r="N1340" i="20"/>
  <c r="O1340" i="20"/>
  <c r="P1340" i="20"/>
  <c r="N1341" i="20"/>
  <c r="O1341" i="20"/>
  <c r="P1341" i="20"/>
  <c r="N1342" i="20"/>
  <c r="O1342" i="20"/>
  <c r="P1342" i="20"/>
  <c r="N1343" i="20"/>
  <c r="O1343" i="20"/>
  <c r="P1343" i="20"/>
  <c r="N1344" i="20"/>
  <c r="O1344" i="20"/>
  <c r="P1344" i="20"/>
  <c r="N1345" i="20"/>
  <c r="O1345" i="20"/>
  <c r="P1345" i="20"/>
  <c r="N1346" i="20"/>
  <c r="O1346" i="20"/>
  <c r="P1346" i="20"/>
  <c r="N1347" i="20"/>
  <c r="O1347" i="20"/>
  <c r="P1347" i="20"/>
  <c r="N1348" i="20"/>
  <c r="O1348" i="20"/>
  <c r="P1348" i="20"/>
  <c r="N1349" i="20"/>
  <c r="O1349" i="20"/>
  <c r="P1349" i="20"/>
  <c r="N1350" i="20"/>
  <c r="O1350" i="20"/>
  <c r="P1350" i="20"/>
  <c r="N1351" i="20"/>
  <c r="O1351" i="20"/>
  <c r="P1351" i="20"/>
  <c r="N1352" i="20"/>
  <c r="O1352" i="20"/>
  <c r="P1352" i="20"/>
  <c r="N1353" i="20"/>
  <c r="O1353" i="20"/>
  <c r="P1353" i="20"/>
  <c r="N1354" i="20"/>
  <c r="O1354" i="20"/>
  <c r="P1354" i="20"/>
  <c r="N1355" i="20"/>
  <c r="O1355" i="20"/>
  <c r="P1355" i="20"/>
  <c r="N1356" i="20"/>
  <c r="O1356" i="20"/>
  <c r="P1356" i="20"/>
  <c r="N1357" i="20"/>
  <c r="O1357" i="20"/>
  <c r="P1357" i="20"/>
  <c r="N1358" i="20"/>
  <c r="O1358" i="20"/>
  <c r="P1358" i="20"/>
  <c r="N1359" i="20"/>
  <c r="O1359" i="20"/>
  <c r="P1359" i="20"/>
  <c r="N1360" i="20"/>
  <c r="O1360" i="20"/>
  <c r="P1360" i="20"/>
  <c r="N1361" i="20"/>
  <c r="O1361" i="20"/>
  <c r="P1361" i="20"/>
  <c r="N1362" i="20"/>
  <c r="O1362" i="20"/>
  <c r="P1362" i="20"/>
  <c r="N1363" i="20"/>
  <c r="O1363" i="20"/>
  <c r="P1363" i="20"/>
  <c r="N1364" i="20"/>
  <c r="O1364" i="20"/>
  <c r="P1364" i="20"/>
  <c r="N1365" i="20"/>
  <c r="O1365" i="20"/>
  <c r="P1365" i="20"/>
  <c r="N1366" i="20"/>
  <c r="O1366" i="20"/>
  <c r="P1366" i="20"/>
  <c r="N1367" i="20"/>
  <c r="O1367" i="20"/>
  <c r="P1367" i="20"/>
  <c r="N1368" i="20"/>
  <c r="O1368" i="20"/>
  <c r="P1368" i="20"/>
  <c r="N1369" i="20"/>
  <c r="O1369" i="20"/>
  <c r="P1369" i="20"/>
  <c r="N1370" i="20"/>
  <c r="O1370" i="20"/>
  <c r="P1370" i="20"/>
  <c r="N1371" i="20"/>
  <c r="O1371" i="20"/>
  <c r="P1371" i="20"/>
  <c r="N1372" i="20"/>
  <c r="O1372" i="20"/>
  <c r="P1372" i="20"/>
  <c r="N1373" i="20"/>
  <c r="O1373" i="20"/>
  <c r="P1373" i="20"/>
  <c r="N1374" i="20"/>
  <c r="O1374" i="20"/>
  <c r="P1374" i="20"/>
  <c r="N1375" i="20"/>
  <c r="O1375" i="20"/>
  <c r="P1375" i="20"/>
  <c r="N1376" i="20"/>
  <c r="O1376" i="20"/>
  <c r="P1376" i="20"/>
  <c r="N1377" i="20"/>
  <c r="O1377" i="20"/>
  <c r="P1377" i="20"/>
  <c r="N1378" i="20"/>
  <c r="O1378" i="20"/>
  <c r="P1378" i="20"/>
  <c r="N1379" i="20"/>
  <c r="O1379" i="20"/>
  <c r="P1379" i="20"/>
  <c r="N1380" i="20"/>
  <c r="O1380" i="20"/>
  <c r="P1380" i="20"/>
  <c r="N1381" i="20"/>
  <c r="O1381" i="20"/>
  <c r="P1381" i="20"/>
  <c r="N1382" i="20"/>
  <c r="O1382" i="20"/>
  <c r="P1382" i="20"/>
  <c r="N1383" i="20"/>
  <c r="O1383" i="20"/>
  <c r="P1383" i="20"/>
  <c r="N1384" i="20"/>
  <c r="O1384" i="20"/>
  <c r="P1384" i="20"/>
  <c r="N1385" i="20"/>
  <c r="O1385" i="20"/>
  <c r="P1385" i="20"/>
  <c r="N1386" i="20"/>
  <c r="O1386" i="20"/>
  <c r="P1386" i="20"/>
  <c r="N1387" i="20"/>
  <c r="O1387" i="20"/>
  <c r="P1387" i="20"/>
  <c r="N1388" i="20"/>
  <c r="O1388" i="20"/>
  <c r="P1388" i="20"/>
  <c r="N1389" i="20"/>
  <c r="O1389" i="20"/>
  <c r="P1389" i="20"/>
  <c r="N1390" i="20"/>
  <c r="O1390" i="20"/>
  <c r="P1390" i="20"/>
  <c r="N1391" i="20"/>
  <c r="O1391" i="20"/>
  <c r="P1391" i="20"/>
  <c r="N1392" i="20"/>
  <c r="O1392" i="20"/>
  <c r="P1392" i="20"/>
  <c r="N1393" i="20"/>
  <c r="O1393" i="20"/>
  <c r="P1393" i="20"/>
  <c r="N1394" i="20"/>
  <c r="O1394" i="20"/>
  <c r="P1394" i="20"/>
  <c r="N1395" i="20"/>
  <c r="O1395" i="20"/>
  <c r="P1395" i="20"/>
  <c r="N1396" i="20"/>
  <c r="O1396" i="20"/>
  <c r="P1396" i="20"/>
  <c r="N1397" i="20"/>
  <c r="O1397" i="20"/>
  <c r="P1397" i="20"/>
  <c r="N1398" i="20"/>
  <c r="O1398" i="20"/>
  <c r="P1398" i="20"/>
  <c r="N1399" i="20"/>
  <c r="O1399" i="20"/>
  <c r="P1399" i="20"/>
  <c r="N1400" i="20"/>
  <c r="O1400" i="20"/>
  <c r="P1400" i="20"/>
  <c r="N1401" i="20"/>
  <c r="O1401" i="20"/>
  <c r="P1401" i="20"/>
  <c r="N1402" i="20"/>
  <c r="O1402" i="20"/>
  <c r="P1402" i="20"/>
  <c r="N1403" i="20"/>
  <c r="O1403" i="20"/>
  <c r="P1403" i="20"/>
  <c r="N1404" i="20"/>
  <c r="O1404" i="20"/>
  <c r="P1404" i="20"/>
  <c r="N1405" i="20"/>
  <c r="O1405" i="20"/>
  <c r="P1405" i="20"/>
  <c r="N1406" i="20"/>
  <c r="O1406" i="20"/>
  <c r="P1406" i="20"/>
  <c r="N1407" i="20"/>
  <c r="O1407" i="20"/>
  <c r="P1407" i="20"/>
  <c r="N1408" i="20"/>
  <c r="O1408" i="20"/>
  <c r="P1408" i="20"/>
  <c r="N1409" i="20"/>
  <c r="O1409" i="20"/>
  <c r="P1409" i="20"/>
  <c r="N1410" i="20"/>
  <c r="O1410" i="20"/>
  <c r="P1410" i="20"/>
  <c r="N1411" i="20"/>
  <c r="O1411" i="20"/>
  <c r="P1411" i="20"/>
  <c r="N1412" i="20"/>
  <c r="O1412" i="20"/>
  <c r="P1412" i="20"/>
  <c r="N1413" i="20"/>
  <c r="O1413" i="20"/>
  <c r="P1413" i="20"/>
  <c r="N1414" i="20"/>
  <c r="O1414" i="20"/>
  <c r="P1414" i="20"/>
  <c r="N1415" i="20"/>
  <c r="O1415" i="20"/>
  <c r="P1415" i="20"/>
  <c r="N1416" i="20"/>
  <c r="O1416" i="20"/>
  <c r="P1416" i="20"/>
  <c r="N1417" i="20"/>
  <c r="O1417" i="20"/>
  <c r="P1417" i="20"/>
  <c r="N1418" i="20"/>
  <c r="O1418" i="20"/>
  <c r="P1418" i="20"/>
  <c r="N1419" i="20"/>
  <c r="O1419" i="20"/>
  <c r="P1419" i="20"/>
  <c r="N1420" i="20"/>
  <c r="O1420" i="20"/>
  <c r="P1420" i="20"/>
  <c r="N1421" i="20"/>
  <c r="O1421" i="20"/>
  <c r="P1421" i="20"/>
  <c r="N1422" i="20"/>
  <c r="O1422" i="20"/>
  <c r="P1422" i="20"/>
  <c r="N1423" i="20"/>
  <c r="O1423" i="20"/>
  <c r="P1423" i="20"/>
  <c r="N1424" i="20"/>
  <c r="O1424" i="20"/>
  <c r="P1424" i="20"/>
  <c r="N1425" i="20"/>
  <c r="O1425" i="20"/>
  <c r="P1425" i="20"/>
  <c r="N1426" i="20"/>
  <c r="O1426" i="20"/>
  <c r="P1426" i="20"/>
  <c r="N1427" i="20"/>
  <c r="O1427" i="20"/>
  <c r="P1427" i="20"/>
  <c r="N1428" i="20"/>
  <c r="O1428" i="20"/>
  <c r="P1428" i="20"/>
  <c r="N1429" i="20"/>
  <c r="O1429" i="20"/>
  <c r="P1429" i="20"/>
  <c r="N1430" i="20"/>
  <c r="O1430" i="20"/>
  <c r="P1430" i="20"/>
  <c r="N1431" i="20"/>
  <c r="O1431" i="20"/>
  <c r="P1431" i="20"/>
  <c r="N1432" i="20"/>
  <c r="O1432" i="20"/>
  <c r="P1432" i="20"/>
  <c r="N1433" i="20"/>
  <c r="O1433" i="20"/>
  <c r="P1433" i="20"/>
  <c r="N1434" i="20"/>
  <c r="O1434" i="20"/>
  <c r="P1434" i="20"/>
  <c r="N1435" i="20"/>
  <c r="O1435" i="20"/>
  <c r="P1435" i="20"/>
  <c r="N1436" i="20"/>
  <c r="O1436" i="20"/>
  <c r="P1436" i="20"/>
  <c r="N1437" i="20"/>
  <c r="O1437" i="20"/>
  <c r="P1437" i="20"/>
  <c r="N1438" i="20"/>
  <c r="O1438" i="20"/>
  <c r="P1438" i="20"/>
  <c r="N1439" i="20"/>
  <c r="O1439" i="20"/>
  <c r="P1439" i="20"/>
  <c r="N1440" i="20"/>
  <c r="O1440" i="20"/>
  <c r="P1440" i="20"/>
  <c r="N1441" i="20"/>
  <c r="O1441" i="20"/>
  <c r="P1441" i="20"/>
  <c r="N1442" i="20"/>
  <c r="O1442" i="20"/>
  <c r="P1442" i="20"/>
  <c r="N1443" i="20"/>
  <c r="O1443" i="20"/>
  <c r="P1443" i="20"/>
  <c r="N1444" i="20"/>
  <c r="O1444" i="20"/>
  <c r="P1444" i="20"/>
  <c r="N1445" i="20"/>
  <c r="O1445" i="20"/>
  <c r="P1445" i="20"/>
  <c r="N1446" i="20"/>
  <c r="O1446" i="20"/>
  <c r="P1446" i="20"/>
  <c r="N1447" i="20"/>
  <c r="O1447" i="20"/>
  <c r="P1447" i="20"/>
  <c r="N1448" i="20"/>
  <c r="O1448" i="20"/>
  <c r="P1448" i="20"/>
  <c r="N1449" i="20"/>
  <c r="O1449" i="20"/>
  <c r="P1449" i="20"/>
  <c r="N1450" i="20"/>
  <c r="O1450" i="20"/>
  <c r="P1450" i="20"/>
  <c r="N1451" i="20"/>
  <c r="O1451" i="20"/>
  <c r="P1451" i="20"/>
  <c r="N1452" i="20"/>
  <c r="O1452" i="20"/>
  <c r="P1452" i="20"/>
  <c r="N1453" i="20"/>
  <c r="O1453" i="20"/>
  <c r="P1453" i="20"/>
  <c r="N1454" i="20"/>
  <c r="O1454" i="20"/>
  <c r="P1454" i="20"/>
  <c r="N1455" i="20"/>
  <c r="O1455" i="20"/>
  <c r="P1455" i="20"/>
  <c r="N1456" i="20"/>
  <c r="O1456" i="20"/>
  <c r="P1456" i="20"/>
  <c r="N1457" i="20"/>
  <c r="O1457" i="20"/>
  <c r="P1457" i="20"/>
  <c r="N1458" i="20"/>
  <c r="O1458" i="20"/>
  <c r="P1458" i="20"/>
  <c r="N1459" i="20"/>
  <c r="O1459" i="20"/>
  <c r="P1459" i="20"/>
  <c r="N1460" i="20"/>
  <c r="O1460" i="20"/>
  <c r="P1460" i="20"/>
  <c r="N1461" i="20"/>
  <c r="O1461" i="20"/>
  <c r="P1461" i="20"/>
  <c r="N1462" i="20"/>
  <c r="O1462" i="20"/>
  <c r="P1462" i="20"/>
  <c r="N1463" i="20"/>
  <c r="O1463" i="20"/>
  <c r="P1463" i="20"/>
  <c r="N1464" i="20"/>
  <c r="O1464" i="20"/>
  <c r="P1464" i="20"/>
  <c r="N1465" i="20"/>
  <c r="O1465" i="20"/>
  <c r="P1465" i="20"/>
  <c r="N1466" i="20"/>
  <c r="O1466" i="20"/>
  <c r="P1466" i="20"/>
  <c r="N1467" i="20"/>
  <c r="O1467" i="20"/>
  <c r="P1467" i="20"/>
  <c r="N1468" i="20"/>
  <c r="O1468" i="20"/>
  <c r="P1468" i="20"/>
  <c r="N1469" i="20"/>
  <c r="O1469" i="20"/>
  <c r="P1469" i="20"/>
  <c r="N1470" i="20"/>
  <c r="O1470" i="20"/>
  <c r="P1470" i="20"/>
  <c r="N1471" i="20"/>
  <c r="O1471" i="20"/>
  <c r="P1471" i="20"/>
  <c r="N1472" i="20"/>
  <c r="O1472" i="20"/>
  <c r="P1472" i="20"/>
  <c r="N1473" i="20"/>
  <c r="O1473" i="20"/>
  <c r="P1473" i="20"/>
  <c r="N1474" i="20"/>
  <c r="O1474" i="20"/>
  <c r="P1474" i="20"/>
  <c r="N1475" i="20"/>
  <c r="O1475" i="20"/>
  <c r="P1475" i="20"/>
  <c r="N1476" i="20"/>
  <c r="O1476" i="20"/>
  <c r="P1476" i="20"/>
  <c r="N1477" i="20"/>
  <c r="O1477" i="20"/>
  <c r="P1477" i="20"/>
  <c r="N1478" i="20"/>
  <c r="O1478" i="20"/>
  <c r="P1478" i="20"/>
  <c r="N1479" i="20"/>
  <c r="O1479" i="20"/>
  <c r="P1479" i="20"/>
  <c r="N1480" i="20"/>
  <c r="O1480" i="20"/>
  <c r="P1480" i="20"/>
  <c r="N1481" i="20"/>
  <c r="O1481" i="20"/>
  <c r="P1481" i="20"/>
  <c r="N1482" i="20"/>
  <c r="O1482" i="20"/>
  <c r="P1482" i="20"/>
  <c r="N1483" i="20"/>
  <c r="O1483" i="20"/>
  <c r="P1483" i="20"/>
  <c r="N1484" i="20"/>
  <c r="O1484" i="20"/>
  <c r="P1484" i="20"/>
  <c r="N1485" i="20"/>
  <c r="O1485" i="20"/>
  <c r="P1485" i="20"/>
  <c r="N1486" i="20"/>
  <c r="O1486" i="20"/>
  <c r="P1486" i="20"/>
  <c r="N1487" i="20"/>
  <c r="O1487" i="20"/>
  <c r="P1487" i="20"/>
  <c r="N1488" i="20"/>
  <c r="O1488" i="20"/>
  <c r="P1488" i="20"/>
  <c r="N1489" i="20"/>
  <c r="O1489" i="20"/>
  <c r="P1489" i="20"/>
  <c r="N1490" i="20"/>
  <c r="O1490" i="20"/>
  <c r="P1490" i="20"/>
  <c r="N1491" i="20"/>
  <c r="O1491" i="20"/>
  <c r="P1491" i="20"/>
  <c r="N1492" i="20"/>
  <c r="O1492" i="20"/>
  <c r="P1492" i="20"/>
  <c r="N1493" i="20"/>
  <c r="O1493" i="20"/>
  <c r="P1493" i="20"/>
  <c r="N1494" i="20"/>
  <c r="O1494" i="20"/>
  <c r="P1494" i="20"/>
  <c r="N1495" i="20"/>
  <c r="O1495" i="20"/>
  <c r="P1495" i="20"/>
  <c r="N1496" i="20"/>
  <c r="O1496" i="20"/>
  <c r="P1496" i="20"/>
  <c r="N1497" i="20"/>
  <c r="O1497" i="20"/>
  <c r="P1497" i="20"/>
  <c r="N1498" i="20"/>
  <c r="O1498" i="20"/>
  <c r="P1498" i="20"/>
  <c r="N1499" i="20"/>
  <c r="O1499" i="20"/>
  <c r="P1499" i="20"/>
  <c r="N1500" i="20"/>
  <c r="O1500" i="20"/>
  <c r="P1500" i="20"/>
  <c r="N1501" i="20"/>
  <c r="O1501" i="20"/>
  <c r="P1501" i="20"/>
  <c r="N1502" i="20"/>
  <c r="O1502" i="20"/>
  <c r="P1502" i="20"/>
  <c r="N1503" i="20"/>
  <c r="O1503" i="20"/>
  <c r="P1503" i="20"/>
  <c r="N1504" i="20"/>
  <c r="O1504" i="20"/>
  <c r="P1504" i="20"/>
  <c r="N1505" i="20"/>
  <c r="O1505" i="20"/>
  <c r="P1505" i="20"/>
  <c r="N1506" i="20"/>
  <c r="O1506" i="20"/>
  <c r="P1506" i="20"/>
  <c r="N1507" i="20"/>
  <c r="O1507" i="20"/>
  <c r="P1507" i="20"/>
  <c r="N1508" i="20"/>
  <c r="O1508" i="20"/>
  <c r="P1508" i="20"/>
  <c r="N1509" i="20"/>
  <c r="O1509" i="20"/>
  <c r="P1509" i="20"/>
  <c r="N1510" i="20"/>
  <c r="O1510" i="20"/>
  <c r="P1510" i="20"/>
  <c r="N1511" i="20"/>
  <c r="O1511" i="20"/>
  <c r="P1511" i="20"/>
  <c r="N1512" i="20"/>
  <c r="O1512" i="20"/>
  <c r="P1512" i="20"/>
  <c r="N1513" i="20"/>
  <c r="O1513" i="20"/>
  <c r="P1513" i="20"/>
  <c r="N1514" i="20"/>
  <c r="O1514" i="20"/>
  <c r="P1514" i="20"/>
  <c r="N1515" i="20"/>
  <c r="O1515" i="20"/>
  <c r="P1515" i="20"/>
  <c r="N1516" i="20"/>
  <c r="O1516" i="20"/>
  <c r="P1516" i="20"/>
  <c r="N1517" i="20"/>
  <c r="O1517" i="20"/>
  <c r="P1517" i="20"/>
  <c r="N1518" i="20"/>
  <c r="O1518" i="20"/>
  <c r="P1518" i="20"/>
  <c r="N1519" i="20"/>
  <c r="O1519" i="20"/>
  <c r="P1519" i="20"/>
  <c r="N1520" i="20"/>
  <c r="O1520" i="20"/>
  <c r="P1520" i="20"/>
  <c r="N1521" i="20"/>
  <c r="O1521" i="20"/>
  <c r="P1521" i="20"/>
  <c r="N1522" i="20"/>
  <c r="O1522" i="20"/>
  <c r="P1522" i="20"/>
  <c r="N1523" i="20"/>
  <c r="O1523" i="20"/>
  <c r="P1523" i="20"/>
  <c r="N1524" i="20"/>
  <c r="O1524" i="20"/>
  <c r="P1524" i="20"/>
  <c r="N1525" i="20"/>
  <c r="O1525" i="20"/>
  <c r="P1525" i="20"/>
  <c r="N1526" i="20"/>
  <c r="O1526" i="20"/>
  <c r="P1526" i="20"/>
  <c r="N1527" i="20"/>
  <c r="O1527" i="20"/>
  <c r="P1527" i="20"/>
  <c r="N1528" i="20"/>
  <c r="O1528" i="20"/>
  <c r="P1528" i="20"/>
  <c r="N1529" i="20"/>
  <c r="O1529" i="20"/>
  <c r="P1529" i="20"/>
  <c r="N1530" i="20"/>
  <c r="O1530" i="20"/>
  <c r="P1530" i="20"/>
  <c r="N1531" i="20"/>
  <c r="O1531" i="20"/>
  <c r="P1531" i="20"/>
  <c r="N1532" i="20"/>
  <c r="O1532" i="20"/>
  <c r="P1532" i="20"/>
  <c r="N1533" i="20"/>
  <c r="O1533" i="20"/>
  <c r="P1533" i="20"/>
  <c r="N1534" i="20"/>
  <c r="O1534" i="20"/>
  <c r="P1534" i="20"/>
  <c r="N1535" i="20"/>
  <c r="O1535" i="20"/>
  <c r="P1535" i="20"/>
  <c r="N1536" i="20"/>
  <c r="O1536" i="20"/>
  <c r="P1536" i="20"/>
  <c r="N1537" i="20"/>
  <c r="O1537" i="20"/>
  <c r="P1537" i="20"/>
  <c r="N1538" i="20"/>
  <c r="O1538" i="20"/>
  <c r="P1538" i="20"/>
  <c r="N1539" i="20"/>
  <c r="O1539" i="20"/>
  <c r="P1539" i="20"/>
  <c r="N1540" i="20"/>
  <c r="O1540" i="20"/>
  <c r="P1540" i="20"/>
  <c r="N1541" i="20"/>
  <c r="O1541" i="20"/>
  <c r="P1541" i="20"/>
  <c r="N1542" i="20"/>
  <c r="O1542" i="20"/>
  <c r="P1542" i="20"/>
  <c r="N1543" i="20"/>
  <c r="O1543" i="20"/>
  <c r="P1543" i="20"/>
  <c r="N1544" i="20"/>
  <c r="O1544" i="20"/>
  <c r="P1544" i="20"/>
  <c r="N1545" i="20"/>
  <c r="O1545" i="20"/>
  <c r="P1545" i="20"/>
  <c r="N1546" i="20"/>
  <c r="O1546" i="20"/>
  <c r="P1546" i="20"/>
  <c r="N1547" i="20"/>
  <c r="O1547" i="20"/>
  <c r="P1547" i="20"/>
  <c r="N1548" i="20"/>
  <c r="O1548" i="20"/>
  <c r="P1548" i="20"/>
  <c r="N1549" i="20"/>
  <c r="O1549" i="20"/>
  <c r="P1549" i="20"/>
  <c r="N1550" i="20"/>
  <c r="O1550" i="20"/>
  <c r="P1550" i="20"/>
  <c r="N1551" i="20"/>
  <c r="O1551" i="20"/>
  <c r="P1551" i="20"/>
  <c r="N1552" i="20"/>
  <c r="O1552" i="20"/>
  <c r="P1552" i="20"/>
  <c r="N1553" i="20"/>
  <c r="O1553" i="20"/>
  <c r="P1553" i="20"/>
  <c r="N1554" i="20"/>
  <c r="O1554" i="20"/>
  <c r="P1554" i="20"/>
  <c r="N1555" i="20"/>
  <c r="O1555" i="20"/>
  <c r="P1555" i="20"/>
  <c r="N1556" i="20"/>
  <c r="O1556" i="20"/>
  <c r="P1556" i="20"/>
  <c r="N1557" i="20"/>
  <c r="O1557" i="20"/>
  <c r="P1557" i="20"/>
  <c r="N1558" i="20"/>
  <c r="O1558" i="20"/>
  <c r="P1558" i="20"/>
  <c r="N1559" i="20"/>
  <c r="O1559" i="20"/>
  <c r="P1559" i="20"/>
  <c r="N1560" i="20"/>
  <c r="O1560" i="20"/>
  <c r="P1560" i="20"/>
  <c r="N1561" i="20"/>
  <c r="O1561" i="20"/>
  <c r="P1561" i="20"/>
  <c r="N1562" i="20"/>
  <c r="O1562" i="20"/>
  <c r="P1562" i="20"/>
  <c r="N1563" i="20"/>
  <c r="O1563" i="20"/>
  <c r="P1563" i="20"/>
  <c r="N1564" i="20"/>
  <c r="O1564" i="20"/>
  <c r="P1564" i="20"/>
  <c r="N1565" i="20"/>
  <c r="O1565" i="20"/>
  <c r="P1565" i="20"/>
  <c r="N1566" i="20"/>
  <c r="O1566" i="20"/>
  <c r="P1566" i="20"/>
  <c r="N1567" i="20"/>
  <c r="O1567" i="20"/>
  <c r="P1567" i="20"/>
  <c r="N1568" i="20"/>
  <c r="O1568" i="20"/>
  <c r="P1568" i="20"/>
  <c r="N1569" i="20"/>
  <c r="O1569" i="20"/>
  <c r="P1569" i="20"/>
  <c r="N1570" i="20"/>
  <c r="O1570" i="20"/>
  <c r="P1570" i="20"/>
  <c r="N1571" i="20"/>
  <c r="O1571" i="20"/>
  <c r="P1571" i="20"/>
  <c r="N1572" i="20"/>
  <c r="O1572" i="20"/>
  <c r="P1572" i="20"/>
  <c r="N1573" i="20"/>
  <c r="O1573" i="20"/>
  <c r="P1573" i="20"/>
  <c r="N1574" i="20"/>
  <c r="O1574" i="20"/>
  <c r="P1574" i="20"/>
  <c r="N1575" i="20"/>
  <c r="O1575" i="20"/>
  <c r="P1575" i="20"/>
  <c r="N1576" i="20"/>
  <c r="O1576" i="20"/>
  <c r="P1576" i="20"/>
  <c r="N1577" i="20"/>
  <c r="O1577" i="20"/>
  <c r="P1577" i="20"/>
  <c r="N1578" i="20"/>
  <c r="O1578" i="20"/>
  <c r="P1578" i="20"/>
  <c r="N1579" i="20"/>
  <c r="O1579" i="20"/>
  <c r="P1579" i="20"/>
  <c r="N1580" i="20"/>
  <c r="O1580" i="20"/>
  <c r="P1580" i="20"/>
  <c r="N1581" i="20"/>
  <c r="O1581" i="20"/>
  <c r="P1581" i="20"/>
  <c r="N1582" i="20"/>
  <c r="O1582" i="20"/>
  <c r="P1582" i="20"/>
  <c r="N1583" i="20"/>
  <c r="O1583" i="20"/>
  <c r="P1583" i="20"/>
  <c r="N1584" i="20"/>
  <c r="O1584" i="20"/>
  <c r="P1584" i="20"/>
  <c r="N1585" i="20"/>
  <c r="O1585" i="20"/>
  <c r="P1585" i="20"/>
  <c r="N1586" i="20"/>
  <c r="O1586" i="20"/>
  <c r="P1586" i="20"/>
  <c r="N1587" i="20"/>
  <c r="O1587" i="20"/>
  <c r="P1587" i="20"/>
  <c r="N1588" i="20"/>
  <c r="O1588" i="20"/>
  <c r="P1588" i="20"/>
  <c r="N1589" i="20"/>
  <c r="O1589" i="20"/>
  <c r="P1589" i="20"/>
  <c r="N1590" i="20"/>
  <c r="O1590" i="20"/>
  <c r="P1590" i="20"/>
  <c r="N1591" i="20"/>
  <c r="O1591" i="20"/>
  <c r="P1591" i="20"/>
  <c r="N1592" i="20"/>
  <c r="O1592" i="20"/>
  <c r="P1592" i="20"/>
  <c r="N1593" i="20"/>
  <c r="O1593" i="20"/>
  <c r="P1593" i="20"/>
  <c r="N1594" i="20"/>
  <c r="O1594" i="20"/>
  <c r="P1594" i="20"/>
  <c r="N1595" i="20"/>
  <c r="O1595" i="20"/>
  <c r="P1595" i="20"/>
  <c r="N1596" i="20"/>
  <c r="O1596" i="20"/>
  <c r="P1596" i="20"/>
  <c r="N1597" i="20"/>
  <c r="O1597" i="20"/>
  <c r="P1597" i="20"/>
  <c r="N1598" i="20"/>
  <c r="O1598" i="20"/>
  <c r="P1598" i="20"/>
  <c r="N1599" i="20"/>
  <c r="O1599" i="20"/>
  <c r="P1599" i="20"/>
  <c r="N1600" i="20"/>
  <c r="O1600" i="20"/>
  <c r="P1600" i="20"/>
  <c r="N1601" i="20"/>
  <c r="O1601" i="20"/>
  <c r="P1601" i="20"/>
  <c r="N1602" i="20"/>
  <c r="O1602" i="20"/>
  <c r="P1602" i="20"/>
  <c r="N1603" i="20"/>
  <c r="O1603" i="20"/>
  <c r="P1603" i="20"/>
  <c r="N1604" i="20"/>
  <c r="O1604" i="20"/>
  <c r="P1604" i="20"/>
  <c r="N1605" i="20"/>
  <c r="O1605" i="20"/>
  <c r="P1605" i="20"/>
  <c r="N1606" i="20"/>
  <c r="O1606" i="20"/>
  <c r="P1606" i="20"/>
  <c r="N1607" i="20"/>
  <c r="O1607" i="20"/>
  <c r="P1607" i="20"/>
  <c r="N1608" i="20"/>
  <c r="O1608" i="20"/>
  <c r="P1608" i="20"/>
  <c r="N1609" i="20"/>
  <c r="O1609" i="20"/>
  <c r="P1609" i="20"/>
  <c r="N1610" i="20"/>
  <c r="O1610" i="20"/>
  <c r="P1610" i="20"/>
  <c r="N1611" i="20"/>
  <c r="O1611" i="20"/>
  <c r="P1611" i="20"/>
  <c r="N1612" i="20"/>
  <c r="O1612" i="20"/>
  <c r="P1612" i="20"/>
  <c r="N1613" i="20"/>
  <c r="O1613" i="20"/>
  <c r="P1613" i="20"/>
  <c r="N1614" i="20"/>
  <c r="O1614" i="20"/>
  <c r="P1614" i="20"/>
  <c r="N1615" i="20"/>
  <c r="O1615" i="20"/>
  <c r="P1615" i="20"/>
  <c r="N1616" i="20"/>
  <c r="O1616" i="20"/>
  <c r="P1616" i="20"/>
  <c r="N1617" i="20"/>
  <c r="O1617" i="20"/>
  <c r="P1617" i="20"/>
  <c r="N1618" i="20"/>
  <c r="O1618" i="20"/>
  <c r="P1618" i="20"/>
  <c r="N1619" i="20"/>
  <c r="O1619" i="20"/>
  <c r="P1619" i="20"/>
  <c r="N1620" i="20"/>
  <c r="O1620" i="20"/>
  <c r="P1620" i="20"/>
  <c r="N1621" i="20"/>
  <c r="O1621" i="20"/>
  <c r="P1621" i="20"/>
  <c r="N1622" i="20"/>
  <c r="O1622" i="20"/>
  <c r="P1622" i="20"/>
  <c r="N1623" i="20"/>
  <c r="O1623" i="20"/>
  <c r="P1623" i="20"/>
  <c r="N1624" i="20"/>
  <c r="O1624" i="20"/>
  <c r="P1624" i="20"/>
  <c r="N1625" i="20"/>
  <c r="O1625" i="20"/>
  <c r="P1625" i="20"/>
  <c r="N1626" i="20"/>
  <c r="O1626" i="20"/>
  <c r="P1626" i="20"/>
  <c r="N1627" i="20"/>
  <c r="O1627" i="20"/>
  <c r="P1627" i="20"/>
  <c r="N1628" i="20"/>
  <c r="O1628" i="20"/>
  <c r="P1628" i="20"/>
  <c r="N1629" i="20"/>
  <c r="O1629" i="20"/>
  <c r="P1629" i="20"/>
  <c r="N1630" i="20"/>
  <c r="O1630" i="20"/>
  <c r="P1630" i="20"/>
  <c r="N1631" i="20"/>
  <c r="O1631" i="20"/>
  <c r="P1631" i="20"/>
  <c r="N1632" i="20"/>
  <c r="O1632" i="20"/>
  <c r="P1632" i="20"/>
  <c r="N1633" i="20"/>
  <c r="O1633" i="20"/>
  <c r="P1633" i="20"/>
  <c r="N1634" i="20"/>
  <c r="O1634" i="20"/>
  <c r="P1634" i="20"/>
  <c r="N1635" i="20"/>
  <c r="O1635" i="20"/>
  <c r="P1635" i="20"/>
  <c r="N1636" i="20"/>
  <c r="O1636" i="20"/>
  <c r="P1636" i="20"/>
  <c r="N1637" i="20"/>
  <c r="O1637" i="20"/>
  <c r="P1637" i="20"/>
  <c r="N1638" i="20"/>
  <c r="O1638" i="20"/>
  <c r="P1638" i="20"/>
  <c r="N1639" i="20"/>
  <c r="O1639" i="20"/>
  <c r="P1639" i="20"/>
  <c r="N1640" i="20"/>
  <c r="O1640" i="20"/>
  <c r="P1640" i="20"/>
  <c r="N1641" i="20"/>
  <c r="O1641" i="20"/>
  <c r="P1641" i="20"/>
  <c r="N1642" i="20"/>
  <c r="O1642" i="20"/>
  <c r="P1642" i="20"/>
  <c r="N1643" i="20"/>
  <c r="O1643" i="20"/>
  <c r="P1643" i="20"/>
  <c r="N1644" i="20"/>
  <c r="O1644" i="20"/>
  <c r="P1644" i="20"/>
  <c r="N1645" i="20"/>
  <c r="O1645" i="20"/>
  <c r="P1645" i="20"/>
  <c r="N1646" i="20"/>
  <c r="O1646" i="20"/>
  <c r="P1646" i="20"/>
  <c r="N1647" i="20"/>
  <c r="O1647" i="20"/>
  <c r="P1647" i="20"/>
  <c r="N1648" i="20"/>
  <c r="O1648" i="20"/>
  <c r="P1648" i="20"/>
  <c r="N1649" i="20"/>
  <c r="O1649" i="20"/>
  <c r="P1649" i="20"/>
  <c r="N1650" i="20"/>
  <c r="O1650" i="20"/>
  <c r="P1650" i="20"/>
  <c r="N1651" i="20"/>
  <c r="O1651" i="20"/>
  <c r="P1651" i="20"/>
  <c r="N1652" i="20"/>
  <c r="O1652" i="20"/>
  <c r="P1652" i="20"/>
  <c r="N1653" i="20"/>
  <c r="O1653" i="20"/>
  <c r="P1653" i="20"/>
  <c r="N1654" i="20"/>
  <c r="O1654" i="20"/>
  <c r="P1654" i="20"/>
  <c r="N1655" i="20"/>
  <c r="O1655" i="20"/>
  <c r="P1655" i="20"/>
  <c r="N1656" i="20"/>
  <c r="O1656" i="20"/>
  <c r="P1656" i="20"/>
  <c r="N1657" i="20"/>
  <c r="O1657" i="20"/>
  <c r="P1657" i="20"/>
  <c r="N1658" i="20"/>
  <c r="O1658" i="20"/>
  <c r="P1658" i="20"/>
  <c r="N1659" i="20"/>
  <c r="O1659" i="20"/>
  <c r="P1659" i="20"/>
  <c r="N1660" i="20"/>
  <c r="O1660" i="20"/>
  <c r="P1660" i="20"/>
  <c r="N1661" i="20"/>
  <c r="O1661" i="20"/>
  <c r="P1661" i="20"/>
  <c r="N1662" i="20"/>
  <c r="O1662" i="20"/>
  <c r="P1662" i="20"/>
  <c r="N1663" i="20"/>
  <c r="O1663" i="20"/>
  <c r="P1663" i="20"/>
  <c r="N1664" i="20"/>
  <c r="O1664" i="20"/>
  <c r="P1664" i="20"/>
  <c r="N1665" i="20"/>
  <c r="O1665" i="20"/>
  <c r="P1665" i="20"/>
  <c r="N1666" i="20"/>
  <c r="O1666" i="20"/>
  <c r="P1666" i="20"/>
  <c r="N1667" i="20"/>
  <c r="O1667" i="20"/>
  <c r="P1667" i="20"/>
  <c r="N1668" i="20"/>
  <c r="O1668" i="20"/>
  <c r="P1668" i="20"/>
  <c r="N1669" i="20"/>
  <c r="O1669" i="20"/>
  <c r="P1669" i="20"/>
  <c r="N1670" i="20"/>
  <c r="O1670" i="20"/>
  <c r="P1670" i="20"/>
  <c r="N1671" i="20"/>
  <c r="O1671" i="20"/>
  <c r="P1671" i="20"/>
  <c r="N1672" i="20"/>
  <c r="O1672" i="20"/>
  <c r="P1672" i="20"/>
  <c r="N1673" i="20"/>
  <c r="O1673" i="20"/>
  <c r="P1673" i="20"/>
  <c r="N1674" i="20"/>
  <c r="O1674" i="20"/>
  <c r="P1674" i="20"/>
  <c r="N1675" i="20"/>
  <c r="O1675" i="20"/>
  <c r="P1675" i="20"/>
  <c r="N1676" i="20"/>
  <c r="O1676" i="20"/>
  <c r="P1676" i="20"/>
  <c r="N1677" i="20"/>
  <c r="O1677" i="20"/>
  <c r="P1677" i="20"/>
  <c r="N1678" i="20"/>
  <c r="O1678" i="20"/>
  <c r="P1678" i="20"/>
  <c r="N1679" i="20"/>
  <c r="O1679" i="20"/>
  <c r="P1679" i="20"/>
  <c r="N1680" i="20"/>
  <c r="O1680" i="20"/>
  <c r="P1680" i="20"/>
  <c r="N1681" i="20"/>
  <c r="O1681" i="20"/>
  <c r="P1681" i="20"/>
  <c r="N1682" i="20"/>
  <c r="O1682" i="20"/>
  <c r="P1682" i="20"/>
  <c r="N1683" i="20"/>
  <c r="O1683" i="20"/>
  <c r="P1683" i="20"/>
  <c r="N1684" i="20"/>
  <c r="O1684" i="20"/>
  <c r="P1684" i="20"/>
  <c r="N1685" i="20"/>
  <c r="O1685" i="20"/>
  <c r="P1685" i="20"/>
  <c r="N1686" i="20"/>
  <c r="O1686" i="20"/>
  <c r="P1686" i="20"/>
  <c r="N1687" i="20"/>
  <c r="O1687" i="20"/>
  <c r="P1687" i="20"/>
  <c r="N1688" i="20"/>
  <c r="O1688" i="20"/>
  <c r="P1688" i="20"/>
  <c r="N1689" i="20"/>
  <c r="O1689" i="20"/>
  <c r="P1689" i="20"/>
  <c r="N1690" i="20"/>
  <c r="O1690" i="20"/>
  <c r="P1690" i="20"/>
  <c r="N1691" i="20"/>
  <c r="O1691" i="20"/>
  <c r="P1691" i="20"/>
  <c r="N1692" i="20"/>
  <c r="O1692" i="20"/>
  <c r="P1692" i="20"/>
  <c r="N1693" i="20"/>
  <c r="O1693" i="20"/>
  <c r="P1693" i="20"/>
  <c r="N1694" i="20"/>
  <c r="O1694" i="20"/>
  <c r="P1694" i="20"/>
  <c r="N1695" i="20"/>
  <c r="O1695" i="20"/>
  <c r="P1695" i="20"/>
  <c r="N1696" i="20"/>
  <c r="O1696" i="20"/>
  <c r="P1696" i="20"/>
  <c r="N1697" i="20"/>
  <c r="O1697" i="20"/>
  <c r="P1697" i="20"/>
  <c r="N1698" i="20"/>
  <c r="O1698" i="20"/>
  <c r="P1698" i="20"/>
  <c r="N1699" i="20"/>
  <c r="O1699" i="20"/>
  <c r="P1699" i="20"/>
  <c r="N1700" i="20"/>
  <c r="O1700" i="20"/>
  <c r="P1700" i="20"/>
  <c r="N1701" i="20"/>
  <c r="O1701" i="20"/>
  <c r="P1701" i="20"/>
  <c r="N1702" i="20"/>
  <c r="O1702" i="20"/>
  <c r="P1702" i="20"/>
  <c r="N1703" i="20"/>
  <c r="O1703" i="20"/>
  <c r="P1703" i="20"/>
  <c r="N1704" i="20"/>
  <c r="O1704" i="20"/>
  <c r="P1704" i="20"/>
  <c r="N1705" i="20"/>
  <c r="O1705" i="20"/>
  <c r="P1705" i="20"/>
  <c r="N1706" i="20"/>
  <c r="O1706" i="20"/>
  <c r="P1706" i="20"/>
  <c r="N1707" i="20"/>
  <c r="O1707" i="20"/>
  <c r="P1707" i="20"/>
  <c r="N1708" i="20"/>
  <c r="O1708" i="20"/>
  <c r="P1708" i="20"/>
  <c r="N1709" i="20"/>
  <c r="O1709" i="20"/>
  <c r="P1709" i="20"/>
  <c r="N1710" i="20"/>
  <c r="O1710" i="20"/>
  <c r="P1710" i="20"/>
  <c r="N1711" i="20"/>
  <c r="O1711" i="20"/>
  <c r="P1711" i="20"/>
  <c r="N1712" i="20"/>
  <c r="O1712" i="20"/>
  <c r="P1712" i="20"/>
  <c r="N1713" i="20"/>
  <c r="O1713" i="20"/>
  <c r="P1713" i="20"/>
  <c r="N1714" i="20"/>
  <c r="O1714" i="20"/>
  <c r="P1714" i="20"/>
  <c r="N1715" i="20"/>
  <c r="O1715" i="20"/>
  <c r="P1715" i="20"/>
  <c r="N1716" i="20"/>
  <c r="O1716" i="20"/>
  <c r="P1716" i="20"/>
  <c r="N1717" i="20"/>
  <c r="O1717" i="20"/>
  <c r="P1717" i="20"/>
  <c r="N1718" i="20"/>
  <c r="O1718" i="20"/>
  <c r="P1718" i="20"/>
  <c r="N1719" i="20"/>
  <c r="O1719" i="20"/>
  <c r="P1719" i="20"/>
  <c r="N1720" i="20"/>
  <c r="O1720" i="20"/>
  <c r="P1720" i="20"/>
  <c r="N1721" i="20"/>
  <c r="O1721" i="20"/>
  <c r="P1721" i="20"/>
  <c r="N1722" i="20"/>
  <c r="O1722" i="20"/>
  <c r="P1722" i="20"/>
  <c r="N1723" i="20"/>
  <c r="O1723" i="20"/>
  <c r="P1723" i="20"/>
  <c r="N1724" i="20"/>
  <c r="O1724" i="20"/>
  <c r="P1724" i="20"/>
  <c r="N1725" i="20"/>
  <c r="O1725" i="20"/>
  <c r="P1725" i="20"/>
  <c r="N1726" i="20"/>
  <c r="O1726" i="20"/>
  <c r="P1726" i="20"/>
  <c r="N1727" i="20"/>
  <c r="O1727" i="20"/>
  <c r="P1727" i="20"/>
  <c r="N1728" i="20"/>
  <c r="O1728" i="20"/>
  <c r="P1728" i="20"/>
  <c r="N1729" i="20"/>
  <c r="O1729" i="20"/>
  <c r="P1729" i="20"/>
  <c r="N1730" i="20"/>
  <c r="O1730" i="20"/>
  <c r="P1730" i="20"/>
  <c r="N1731" i="20"/>
  <c r="O1731" i="20"/>
  <c r="P1731" i="20"/>
  <c r="N1732" i="20"/>
  <c r="O1732" i="20"/>
  <c r="P1732" i="20"/>
  <c r="N1733" i="20"/>
  <c r="O1733" i="20"/>
  <c r="P1733" i="20"/>
  <c r="N1734" i="20"/>
  <c r="O1734" i="20"/>
  <c r="P1734" i="20"/>
  <c r="N1735" i="20"/>
  <c r="O1735" i="20"/>
  <c r="P1735" i="20"/>
  <c r="N1736" i="20"/>
  <c r="O1736" i="20"/>
  <c r="P1736" i="20"/>
  <c r="N1737" i="20"/>
  <c r="O1737" i="20"/>
  <c r="P1737" i="20"/>
  <c r="N1738" i="20"/>
  <c r="O1738" i="20"/>
  <c r="P1738" i="20"/>
  <c r="N1739" i="20"/>
  <c r="O1739" i="20"/>
  <c r="P1739" i="20"/>
  <c r="N1740" i="20"/>
  <c r="O1740" i="20"/>
  <c r="P1740" i="20"/>
  <c r="N1741" i="20"/>
  <c r="O1741" i="20"/>
  <c r="P1741" i="20"/>
  <c r="N1742" i="20"/>
  <c r="O1742" i="20"/>
  <c r="P1742" i="20"/>
  <c r="N1743" i="20"/>
  <c r="O1743" i="20"/>
  <c r="P1743" i="20"/>
  <c r="N1744" i="20"/>
  <c r="O1744" i="20"/>
  <c r="P1744" i="20"/>
  <c r="N1745" i="20"/>
  <c r="O1745" i="20"/>
  <c r="P1745" i="20"/>
  <c r="N1746" i="20"/>
  <c r="O1746" i="20"/>
  <c r="P1746" i="20"/>
  <c r="N1747" i="20"/>
  <c r="O1747" i="20"/>
  <c r="P1747" i="20"/>
  <c r="N1748" i="20"/>
  <c r="O1748" i="20"/>
  <c r="P1748" i="20"/>
  <c r="N1749" i="20"/>
  <c r="O1749" i="20"/>
  <c r="P1749" i="20"/>
  <c r="N1750" i="20"/>
  <c r="O1750" i="20"/>
  <c r="P1750" i="20"/>
  <c r="N1751" i="20"/>
  <c r="O1751" i="20"/>
  <c r="P1751" i="20"/>
  <c r="N1752" i="20"/>
  <c r="O1752" i="20"/>
  <c r="P1752" i="20"/>
  <c r="N1753" i="20"/>
  <c r="O1753" i="20"/>
  <c r="P1753" i="20"/>
  <c r="N1754" i="20"/>
  <c r="O1754" i="20"/>
  <c r="P1754" i="20"/>
  <c r="N1755" i="20"/>
  <c r="O1755" i="20"/>
  <c r="P1755" i="20"/>
  <c r="N1756" i="20"/>
  <c r="O1756" i="20"/>
  <c r="P1756" i="20"/>
  <c r="N1757" i="20"/>
  <c r="O1757" i="20"/>
  <c r="P1757" i="20"/>
  <c r="N1758" i="20"/>
  <c r="O1758" i="20"/>
  <c r="P1758" i="20"/>
  <c r="N1759" i="20"/>
  <c r="O1759" i="20"/>
  <c r="P1759" i="20"/>
  <c r="N1760" i="20"/>
  <c r="O1760" i="20"/>
  <c r="P1760" i="20"/>
  <c r="N1761" i="20"/>
  <c r="O1761" i="20"/>
  <c r="P1761" i="20"/>
  <c r="N1762" i="20"/>
  <c r="O1762" i="20"/>
  <c r="P1762" i="20"/>
  <c r="N1763" i="20"/>
  <c r="O1763" i="20"/>
  <c r="P1763" i="20"/>
  <c r="N1764" i="20"/>
  <c r="O1764" i="20"/>
  <c r="P1764" i="20"/>
  <c r="N1765" i="20"/>
  <c r="O1765" i="20"/>
  <c r="P1765" i="20"/>
  <c r="N1766" i="20"/>
  <c r="O1766" i="20"/>
  <c r="P1766" i="20"/>
  <c r="N1767" i="20"/>
  <c r="O1767" i="20"/>
  <c r="P1767" i="20"/>
  <c r="N1768" i="20"/>
  <c r="O1768" i="20"/>
  <c r="P1768" i="20"/>
  <c r="N1769" i="20"/>
  <c r="O1769" i="20"/>
  <c r="P1769" i="20"/>
  <c r="N1770" i="20"/>
  <c r="O1770" i="20"/>
  <c r="P1770" i="20"/>
  <c r="N1771" i="20"/>
  <c r="O1771" i="20"/>
  <c r="P1771" i="20"/>
  <c r="N1772" i="20"/>
  <c r="O1772" i="20"/>
  <c r="P1772" i="20"/>
  <c r="N1773" i="20"/>
  <c r="O1773" i="20"/>
  <c r="P1773" i="20"/>
  <c r="N1774" i="20"/>
  <c r="O1774" i="20"/>
  <c r="P1774" i="20"/>
  <c r="N1775" i="20"/>
  <c r="O1775" i="20"/>
  <c r="P1775" i="20"/>
  <c r="N1776" i="20"/>
  <c r="O1776" i="20"/>
  <c r="P1776" i="20"/>
  <c r="N1777" i="20"/>
  <c r="O1777" i="20"/>
  <c r="P1777" i="20"/>
  <c r="N1778" i="20"/>
  <c r="O1778" i="20"/>
  <c r="P1778" i="20"/>
  <c r="N1779" i="20"/>
  <c r="O1779" i="20"/>
  <c r="P1779" i="20"/>
  <c r="N1780" i="20"/>
  <c r="O1780" i="20"/>
  <c r="P1780" i="20"/>
  <c r="N1781" i="20"/>
  <c r="O1781" i="20"/>
  <c r="P1781" i="20"/>
  <c r="N1782" i="20"/>
  <c r="O1782" i="20"/>
  <c r="P1782" i="20"/>
  <c r="N1783" i="20"/>
  <c r="O1783" i="20"/>
  <c r="P1783" i="20"/>
  <c r="N1784" i="20"/>
  <c r="O1784" i="20"/>
  <c r="P1784" i="20"/>
  <c r="N1785" i="20"/>
  <c r="O1785" i="20"/>
  <c r="P1785" i="20"/>
  <c r="N1786" i="20"/>
  <c r="O1786" i="20"/>
  <c r="P1786" i="20"/>
  <c r="N1787" i="20"/>
  <c r="O1787" i="20"/>
  <c r="P1787" i="20"/>
  <c r="N1788" i="20"/>
  <c r="O1788" i="20"/>
  <c r="P1788" i="20"/>
  <c r="N1789" i="20"/>
  <c r="O1789" i="20"/>
  <c r="P1789" i="20"/>
  <c r="N1790" i="20"/>
  <c r="O1790" i="20"/>
  <c r="P1790" i="20"/>
  <c r="N1791" i="20"/>
  <c r="O1791" i="20"/>
  <c r="P1791" i="20"/>
  <c r="N1792" i="20"/>
  <c r="O1792" i="20"/>
  <c r="P1792" i="20"/>
  <c r="N1793" i="20"/>
  <c r="O1793" i="20"/>
  <c r="P1793" i="20"/>
  <c r="N1794" i="20"/>
  <c r="O1794" i="20"/>
  <c r="P1794" i="20"/>
  <c r="N1795" i="20"/>
  <c r="O1795" i="20"/>
  <c r="P1795" i="20"/>
  <c r="N1796" i="20"/>
  <c r="O1796" i="20"/>
  <c r="P1796" i="20"/>
  <c r="N1797" i="20"/>
  <c r="O1797" i="20"/>
  <c r="P1797" i="20"/>
  <c r="N1798" i="20"/>
  <c r="O1798" i="20"/>
  <c r="P1798" i="20"/>
  <c r="N1799" i="20"/>
  <c r="O1799" i="20"/>
  <c r="P1799" i="20"/>
  <c r="N1800" i="20"/>
  <c r="O1800" i="20"/>
  <c r="P1800" i="20"/>
  <c r="N1801" i="20"/>
  <c r="O1801" i="20"/>
  <c r="P1801" i="20"/>
  <c r="N1802" i="20"/>
  <c r="O1802" i="20"/>
  <c r="P1802" i="20"/>
  <c r="N1803" i="20"/>
  <c r="O1803" i="20"/>
  <c r="P1803" i="20"/>
  <c r="N1804" i="20"/>
  <c r="O1804" i="20"/>
  <c r="P1804" i="20"/>
  <c r="N1805" i="20"/>
  <c r="O1805" i="20"/>
  <c r="P1805" i="20"/>
  <c r="N1806" i="20"/>
  <c r="O1806" i="20"/>
  <c r="P1806" i="20"/>
  <c r="N1807" i="20"/>
  <c r="O1807" i="20"/>
  <c r="P1807" i="20"/>
  <c r="N1808" i="20"/>
  <c r="O1808" i="20"/>
  <c r="P1808" i="20"/>
  <c r="N1809" i="20"/>
  <c r="O1809" i="20"/>
  <c r="P1809" i="20"/>
  <c r="N1810" i="20"/>
  <c r="O1810" i="20"/>
  <c r="P1810" i="20"/>
  <c r="N1811" i="20"/>
  <c r="O1811" i="20"/>
  <c r="P1811" i="20"/>
  <c r="N1812" i="20"/>
  <c r="O1812" i="20"/>
  <c r="P1812" i="20"/>
  <c r="N1813" i="20"/>
  <c r="O1813" i="20"/>
  <c r="P1813" i="20"/>
  <c r="N1814" i="20"/>
  <c r="O1814" i="20"/>
  <c r="P1814" i="20"/>
  <c r="N1815" i="20"/>
  <c r="O1815" i="20"/>
  <c r="P1815" i="20"/>
  <c r="N1816" i="20"/>
  <c r="O1816" i="20"/>
  <c r="P1816" i="20"/>
  <c r="N1817" i="20"/>
  <c r="O1817" i="20"/>
  <c r="P1817" i="20"/>
  <c r="N1818" i="20"/>
  <c r="O1818" i="20"/>
  <c r="P1818" i="20"/>
  <c r="N1819" i="20"/>
  <c r="O1819" i="20"/>
  <c r="P1819" i="20"/>
  <c r="N1820" i="20"/>
  <c r="O1820" i="20"/>
  <c r="P1820" i="20"/>
  <c r="N1821" i="20"/>
  <c r="O1821" i="20"/>
  <c r="P1821" i="20"/>
  <c r="N1822" i="20"/>
  <c r="O1822" i="20"/>
  <c r="P1822" i="20"/>
  <c r="N1823" i="20"/>
  <c r="O1823" i="20"/>
  <c r="P1823" i="20"/>
  <c r="N1824" i="20"/>
  <c r="O1824" i="20"/>
  <c r="P1824" i="20"/>
  <c r="N1825" i="20"/>
  <c r="O1825" i="20"/>
  <c r="P1825" i="20"/>
  <c r="N1826" i="20"/>
  <c r="O1826" i="20"/>
  <c r="P1826" i="20"/>
  <c r="N1827" i="20"/>
  <c r="O1827" i="20"/>
  <c r="P1827" i="20"/>
  <c r="N1828" i="20"/>
  <c r="O1828" i="20"/>
  <c r="P1828" i="20"/>
  <c r="N1829" i="20"/>
  <c r="O1829" i="20"/>
  <c r="P1829" i="20"/>
  <c r="N1830" i="20"/>
  <c r="O1830" i="20"/>
  <c r="P1830" i="20"/>
  <c r="N1831" i="20"/>
  <c r="O1831" i="20"/>
  <c r="P1831" i="20"/>
  <c r="N1832" i="20"/>
  <c r="O1832" i="20"/>
  <c r="P1832" i="20"/>
  <c r="N1833" i="20"/>
  <c r="O1833" i="20"/>
  <c r="P1833" i="20"/>
  <c r="N1834" i="20"/>
  <c r="O1834" i="20"/>
  <c r="P1834" i="20"/>
  <c r="N1835" i="20"/>
  <c r="O1835" i="20"/>
  <c r="P1835" i="20"/>
  <c r="N1836" i="20"/>
  <c r="O1836" i="20"/>
  <c r="P1836" i="20"/>
  <c r="N1837" i="20"/>
  <c r="O1837" i="20"/>
  <c r="P1837" i="20"/>
  <c r="N1838" i="20"/>
  <c r="O1838" i="20"/>
  <c r="P1838" i="20"/>
  <c r="N1839" i="20"/>
  <c r="O1839" i="20"/>
  <c r="P1839" i="20"/>
  <c r="N1840" i="20"/>
  <c r="O1840" i="20"/>
  <c r="P1840" i="20"/>
  <c r="N1841" i="20"/>
  <c r="O1841" i="20"/>
  <c r="P1841" i="20"/>
  <c r="N1842" i="20"/>
  <c r="O1842" i="20"/>
  <c r="P1842" i="20"/>
  <c r="N1843" i="20"/>
  <c r="O1843" i="20"/>
  <c r="P1843" i="20"/>
  <c r="N1844" i="20"/>
  <c r="O1844" i="20"/>
  <c r="P1844" i="20"/>
  <c r="N1845" i="20"/>
  <c r="O1845" i="20"/>
  <c r="P1845" i="20"/>
  <c r="N1846" i="20"/>
  <c r="O1846" i="20"/>
  <c r="P1846" i="20"/>
  <c r="N1847" i="20"/>
  <c r="O1847" i="20"/>
  <c r="P1847" i="20"/>
  <c r="N1848" i="20"/>
  <c r="O1848" i="20"/>
  <c r="P1848" i="20"/>
  <c r="N1849" i="20"/>
  <c r="O1849" i="20"/>
  <c r="P1849" i="20"/>
  <c r="N1850" i="20"/>
  <c r="O1850" i="20"/>
  <c r="P1850" i="20"/>
  <c r="N1851" i="20"/>
  <c r="O1851" i="20"/>
  <c r="P1851" i="20"/>
  <c r="N1852" i="20"/>
  <c r="O1852" i="20"/>
  <c r="P1852" i="20"/>
  <c r="N1853" i="20"/>
  <c r="O1853" i="20"/>
  <c r="P1853" i="20"/>
  <c r="N1854" i="20"/>
  <c r="O1854" i="20"/>
  <c r="P1854" i="20"/>
  <c r="N1855" i="20"/>
  <c r="O1855" i="20"/>
  <c r="P1855" i="20"/>
  <c r="N1856" i="20"/>
  <c r="O1856" i="20"/>
  <c r="P1856" i="20"/>
  <c r="N1857" i="20"/>
  <c r="O1857" i="20"/>
  <c r="P1857" i="20"/>
  <c r="N1858" i="20"/>
  <c r="O1858" i="20"/>
  <c r="P1858" i="20"/>
  <c r="N1859" i="20"/>
  <c r="O1859" i="20"/>
  <c r="P1859" i="20"/>
  <c r="N1860" i="20"/>
  <c r="O1860" i="20"/>
  <c r="P1860" i="20"/>
  <c r="N1861" i="20"/>
  <c r="O1861" i="20"/>
  <c r="P1861" i="20"/>
  <c r="N1862" i="20"/>
  <c r="O1862" i="20"/>
  <c r="P1862" i="20"/>
  <c r="N1863" i="20"/>
  <c r="O1863" i="20"/>
  <c r="P1863" i="20"/>
  <c r="N1864" i="20"/>
  <c r="O1864" i="20"/>
  <c r="P1864" i="20"/>
  <c r="N1865" i="20"/>
  <c r="O1865" i="20"/>
  <c r="P1865" i="20"/>
  <c r="N1866" i="20"/>
  <c r="O1866" i="20"/>
  <c r="P1866" i="20"/>
  <c r="N1867" i="20"/>
  <c r="O1867" i="20"/>
  <c r="P1867" i="20"/>
  <c r="N1868" i="20"/>
  <c r="O1868" i="20"/>
  <c r="P1868" i="20"/>
  <c r="N1869" i="20"/>
  <c r="O1869" i="20"/>
  <c r="P1869" i="20"/>
  <c r="N1870" i="20"/>
  <c r="O1870" i="20"/>
  <c r="P1870" i="20"/>
  <c r="N1871" i="20"/>
  <c r="O1871" i="20"/>
  <c r="P1871" i="20"/>
  <c r="N1872" i="20"/>
  <c r="O1872" i="20"/>
  <c r="P1872" i="20"/>
  <c r="N1873" i="20"/>
  <c r="O1873" i="20"/>
  <c r="P1873" i="20"/>
  <c r="N1874" i="20"/>
  <c r="O1874" i="20"/>
  <c r="P1874" i="20"/>
  <c r="N1875" i="20"/>
  <c r="O1875" i="20"/>
  <c r="P1875" i="20"/>
  <c r="N1876" i="20"/>
  <c r="O1876" i="20"/>
  <c r="P1876" i="20"/>
  <c r="N1877" i="20"/>
  <c r="O1877" i="20"/>
  <c r="P1877" i="20"/>
  <c r="N1878" i="20"/>
  <c r="O1878" i="20"/>
  <c r="P1878" i="20"/>
  <c r="N1879" i="20"/>
  <c r="O1879" i="20"/>
  <c r="P1879" i="20"/>
  <c r="N1880" i="20"/>
  <c r="O1880" i="20"/>
  <c r="P1880" i="20"/>
  <c r="N1881" i="20"/>
  <c r="O1881" i="20"/>
  <c r="P1881" i="20"/>
  <c r="N1882" i="20"/>
  <c r="O1882" i="20"/>
  <c r="P1882" i="20"/>
  <c r="N1883" i="20"/>
  <c r="O1883" i="20"/>
  <c r="P1883" i="20"/>
  <c r="N1884" i="20"/>
  <c r="O1884" i="20"/>
  <c r="P1884" i="20"/>
  <c r="N1885" i="20"/>
  <c r="O1885" i="20"/>
  <c r="P1885" i="20"/>
  <c r="N1886" i="20"/>
  <c r="O1886" i="20"/>
  <c r="P1886" i="20"/>
  <c r="N1887" i="20"/>
  <c r="O1887" i="20"/>
  <c r="P1887" i="20"/>
  <c r="N1888" i="20"/>
  <c r="O1888" i="20"/>
  <c r="P1888" i="20"/>
  <c r="N1889" i="20"/>
  <c r="O1889" i="20"/>
  <c r="P1889" i="20"/>
  <c r="N1890" i="20"/>
  <c r="O1890" i="20"/>
  <c r="P1890" i="20"/>
  <c r="N1891" i="20"/>
  <c r="O1891" i="20"/>
  <c r="P1891" i="20"/>
  <c r="N1892" i="20"/>
  <c r="O1892" i="20"/>
  <c r="P1892" i="20"/>
  <c r="N1893" i="20"/>
  <c r="O1893" i="20"/>
  <c r="P1893" i="20"/>
  <c r="N1894" i="20"/>
  <c r="O1894" i="20"/>
  <c r="P1894" i="20"/>
  <c r="N1895" i="20"/>
  <c r="O1895" i="20"/>
  <c r="P1895" i="20"/>
  <c r="N1896" i="20"/>
  <c r="O1896" i="20"/>
  <c r="P1896" i="20"/>
  <c r="N1897" i="20"/>
  <c r="O1897" i="20"/>
  <c r="P1897" i="20"/>
  <c r="N1898" i="20"/>
  <c r="O1898" i="20"/>
  <c r="P1898" i="20"/>
  <c r="N1899" i="20"/>
  <c r="O1899" i="20"/>
  <c r="P1899" i="20"/>
  <c r="N1900" i="20"/>
  <c r="O1900" i="20"/>
  <c r="P1900" i="20"/>
  <c r="N1901" i="20"/>
  <c r="O1901" i="20"/>
  <c r="P1901" i="20"/>
  <c r="N1902" i="20"/>
  <c r="O1902" i="20"/>
  <c r="P1902" i="20"/>
  <c r="N1903" i="20"/>
  <c r="O1903" i="20"/>
  <c r="P1903" i="20"/>
  <c r="N1904" i="20"/>
  <c r="O1904" i="20"/>
  <c r="P1904" i="20"/>
  <c r="N1905" i="20"/>
  <c r="O1905" i="20"/>
  <c r="P1905" i="20"/>
  <c r="N1906" i="20"/>
  <c r="O1906" i="20"/>
  <c r="P1906" i="20"/>
  <c r="N1907" i="20"/>
  <c r="O1907" i="20"/>
  <c r="P1907" i="20"/>
  <c r="N1908" i="20"/>
  <c r="O1908" i="20"/>
  <c r="P1908" i="20"/>
  <c r="N1909" i="20"/>
  <c r="O1909" i="20"/>
  <c r="P1909" i="20"/>
  <c r="N1910" i="20"/>
  <c r="O1910" i="20"/>
  <c r="P1910" i="20"/>
  <c r="N1911" i="20"/>
  <c r="O1911" i="20"/>
  <c r="P1911" i="20"/>
  <c r="N1912" i="20"/>
  <c r="O1912" i="20"/>
  <c r="P1912" i="20"/>
  <c r="N1913" i="20"/>
  <c r="O1913" i="20"/>
  <c r="P1913" i="20"/>
  <c r="N1914" i="20"/>
  <c r="O1914" i="20"/>
  <c r="P1914" i="20"/>
  <c r="N1915" i="20"/>
  <c r="O1915" i="20"/>
  <c r="P1915" i="20"/>
  <c r="N1916" i="20"/>
  <c r="O1916" i="20"/>
  <c r="P1916" i="20"/>
  <c r="N1917" i="20"/>
  <c r="O1917" i="20"/>
  <c r="P1917" i="20"/>
  <c r="N1918" i="20"/>
  <c r="O1918" i="20"/>
  <c r="P1918" i="20"/>
  <c r="N1919" i="20"/>
  <c r="O1919" i="20"/>
  <c r="P1919" i="20"/>
  <c r="N1920" i="20"/>
  <c r="O1920" i="20"/>
  <c r="P1920" i="20"/>
  <c r="N1921" i="20"/>
  <c r="O1921" i="20"/>
  <c r="P1921" i="20"/>
  <c r="N1922" i="20"/>
  <c r="O1922" i="20"/>
  <c r="P1922" i="20"/>
  <c r="N1923" i="20"/>
  <c r="O1923" i="20"/>
  <c r="P1923" i="20"/>
  <c r="N1924" i="20"/>
  <c r="O1924" i="20"/>
  <c r="P1924" i="20"/>
  <c r="N1925" i="20"/>
  <c r="O1925" i="20"/>
  <c r="P1925" i="20"/>
  <c r="N1926" i="20"/>
  <c r="O1926" i="20"/>
  <c r="P1926" i="20"/>
  <c r="N1927" i="20"/>
  <c r="O1927" i="20"/>
  <c r="P1927" i="20"/>
  <c r="N1928" i="20"/>
  <c r="O1928" i="20"/>
  <c r="P1928" i="20"/>
  <c r="N1929" i="20"/>
  <c r="O1929" i="20"/>
  <c r="P1929" i="20"/>
  <c r="N1930" i="20"/>
  <c r="O1930" i="20"/>
  <c r="P1930" i="20"/>
  <c r="N1931" i="20"/>
  <c r="O1931" i="20"/>
  <c r="P1931" i="20"/>
  <c r="N1932" i="20"/>
  <c r="O1932" i="20"/>
  <c r="P1932" i="20"/>
  <c r="N1933" i="20"/>
  <c r="O1933" i="20"/>
  <c r="P1933" i="20"/>
  <c r="N1934" i="20"/>
  <c r="O1934" i="20"/>
  <c r="P1934" i="20"/>
  <c r="N1935" i="20"/>
  <c r="O1935" i="20"/>
  <c r="P1935" i="20"/>
  <c r="N1936" i="20"/>
  <c r="O1936" i="20"/>
  <c r="P1936" i="20"/>
  <c r="N1937" i="20"/>
  <c r="O1937" i="20"/>
  <c r="P1937" i="20"/>
  <c r="N1938" i="20"/>
  <c r="O1938" i="20"/>
  <c r="P1938" i="20"/>
  <c r="N1939" i="20"/>
  <c r="O1939" i="20"/>
  <c r="P1939" i="20"/>
  <c r="N1940" i="20"/>
  <c r="O1940" i="20"/>
  <c r="P1940" i="20"/>
  <c r="N1941" i="20"/>
  <c r="O1941" i="20"/>
  <c r="P1941" i="20"/>
  <c r="N1942" i="20"/>
  <c r="O1942" i="20"/>
  <c r="P1942" i="20"/>
  <c r="N1943" i="20"/>
  <c r="O1943" i="20"/>
  <c r="P1943" i="20"/>
  <c r="N1944" i="20"/>
  <c r="O1944" i="20"/>
  <c r="P1944" i="20"/>
  <c r="N1945" i="20"/>
  <c r="O1945" i="20"/>
  <c r="P1945" i="20"/>
  <c r="N1946" i="20"/>
  <c r="O1946" i="20"/>
  <c r="P1946" i="20"/>
  <c r="N1947" i="20"/>
  <c r="O1947" i="20"/>
  <c r="P1947" i="20"/>
  <c r="N1948" i="20"/>
  <c r="O1948" i="20"/>
  <c r="P1948" i="20"/>
  <c r="N1949" i="20"/>
  <c r="O1949" i="20"/>
  <c r="P1949" i="20"/>
  <c r="N1950" i="20"/>
  <c r="O1950" i="20"/>
  <c r="P1950" i="20"/>
  <c r="N1951" i="20"/>
  <c r="O1951" i="20"/>
  <c r="P1951" i="20"/>
  <c r="N1952" i="20"/>
  <c r="O1952" i="20"/>
  <c r="P1952" i="20"/>
  <c r="N1953" i="20"/>
  <c r="O1953" i="20"/>
  <c r="P1953" i="20"/>
  <c r="N1954" i="20"/>
  <c r="O1954" i="20"/>
  <c r="P1954" i="20"/>
  <c r="N1955" i="20"/>
  <c r="O1955" i="20"/>
  <c r="P1955" i="20"/>
  <c r="N1956" i="20"/>
  <c r="O1956" i="20"/>
  <c r="P1956" i="20"/>
  <c r="N1957" i="20"/>
  <c r="O1957" i="20"/>
  <c r="P1957" i="20"/>
  <c r="N1958" i="20"/>
  <c r="O1958" i="20"/>
  <c r="P1958" i="20"/>
  <c r="N1959" i="20"/>
  <c r="O1959" i="20"/>
  <c r="P1959" i="20"/>
  <c r="N1960" i="20"/>
  <c r="O1960" i="20"/>
  <c r="P1960" i="20"/>
  <c r="N1961" i="20"/>
  <c r="O1961" i="20"/>
  <c r="P1961" i="20"/>
  <c r="N1962" i="20"/>
  <c r="O1962" i="20"/>
  <c r="P1962" i="20"/>
  <c r="N1963" i="20"/>
  <c r="O1963" i="20"/>
  <c r="P1963" i="20"/>
  <c r="N1964" i="20"/>
  <c r="O1964" i="20"/>
  <c r="P1964" i="20"/>
  <c r="N1965" i="20"/>
  <c r="O1965" i="20"/>
  <c r="P1965" i="20"/>
  <c r="N1966" i="20"/>
  <c r="O1966" i="20"/>
  <c r="P1966" i="20"/>
  <c r="N1967" i="20"/>
  <c r="O1967" i="20"/>
  <c r="P1967" i="20"/>
  <c r="N1968" i="20"/>
  <c r="O1968" i="20"/>
  <c r="P1968" i="20"/>
  <c r="N1969" i="20"/>
  <c r="O1969" i="20"/>
  <c r="P1969" i="20"/>
  <c r="N1970" i="20"/>
  <c r="O1970" i="20"/>
  <c r="P1970" i="20"/>
  <c r="N1971" i="20"/>
  <c r="O1971" i="20"/>
  <c r="P1971" i="20"/>
  <c r="N1972" i="20"/>
  <c r="O1972" i="20"/>
  <c r="P1972" i="20"/>
  <c r="N1973" i="20"/>
  <c r="O1973" i="20"/>
  <c r="P1973" i="20"/>
  <c r="N1974" i="20"/>
  <c r="O1974" i="20"/>
  <c r="P1974" i="20"/>
  <c r="N1975" i="20"/>
  <c r="O1975" i="20"/>
  <c r="P1975" i="20"/>
  <c r="N1976" i="20"/>
  <c r="O1976" i="20"/>
  <c r="P1976" i="20"/>
  <c r="N1977" i="20"/>
  <c r="O1977" i="20"/>
  <c r="P1977" i="20"/>
  <c r="N1978" i="20"/>
  <c r="O1978" i="20"/>
  <c r="P1978" i="20"/>
  <c r="N1979" i="20"/>
  <c r="O1979" i="20"/>
  <c r="P1979" i="20"/>
  <c r="N1980" i="20"/>
  <c r="O1980" i="20"/>
  <c r="P1980" i="20"/>
  <c r="N1981" i="20"/>
  <c r="O1981" i="20"/>
  <c r="P1981" i="20"/>
  <c r="N1982" i="20"/>
  <c r="O1982" i="20"/>
  <c r="P1982" i="20"/>
  <c r="N1983" i="20"/>
  <c r="O1983" i="20"/>
  <c r="P1983" i="20"/>
  <c r="N1984" i="20"/>
  <c r="O1984" i="20"/>
  <c r="P1984" i="20"/>
  <c r="N1985" i="20"/>
  <c r="O1985" i="20"/>
  <c r="P1985" i="20"/>
  <c r="N1986" i="20"/>
  <c r="O1986" i="20"/>
  <c r="P1986" i="20"/>
  <c r="N1987" i="20"/>
  <c r="O1987" i="20"/>
  <c r="P1987" i="20"/>
  <c r="N1988" i="20"/>
  <c r="O1988" i="20"/>
  <c r="P1988" i="20"/>
  <c r="N1989" i="20"/>
  <c r="O1989" i="20"/>
  <c r="P1989" i="20"/>
  <c r="N1990" i="20"/>
  <c r="O1990" i="20"/>
  <c r="P1990" i="20"/>
  <c r="N1991" i="20"/>
  <c r="O1991" i="20"/>
  <c r="P1991" i="20"/>
  <c r="N1992" i="20"/>
  <c r="O1992" i="20"/>
  <c r="P1992" i="20"/>
  <c r="N1993" i="20"/>
  <c r="O1993" i="20"/>
  <c r="P1993" i="20"/>
  <c r="N1994" i="20"/>
  <c r="O1994" i="20"/>
  <c r="P1994" i="20"/>
  <c r="N1995" i="20"/>
  <c r="O1995" i="20"/>
  <c r="P1995" i="20"/>
  <c r="N1996" i="20"/>
  <c r="O1996" i="20"/>
  <c r="P1996" i="20"/>
  <c r="N1997" i="20"/>
  <c r="O1997" i="20"/>
  <c r="P1997" i="20"/>
  <c r="N1998" i="20"/>
  <c r="O1998" i="20"/>
  <c r="P1998" i="20"/>
  <c r="N1999" i="20"/>
  <c r="O1999" i="20"/>
  <c r="P1999" i="20"/>
  <c r="N2000" i="20"/>
  <c r="O2000" i="20"/>
  <c r="P2000" i="20"/>
  <c r="N2001" i="20"/>
  <c r="O2001" i="20"/>
  <c r="P2001" i="20"/>
  <c r="N2002" i="20"/>
  <c r="O2002" i="20"/>
  <c r="P2002" i="20"/>
  <c r="N2003" i="20"/>
  <c r="O2003" i="20"/>
  <c r="P2003" i="20"/>
  <c r="N2004" i="20"/>
  <c r="O2004" i="20"/>
  <c r="P2004" i="20"/>
  <c r="N2005" i="20"/>
  <c r="O2005" i="20"/>
  <c r="P2005" i="20"/>
  <c r="N2006" i="20"/>
  <c r="O2006" i="20"/>
  <c r="P2006" i="20"/>
  <c r="N2007" i="20"/>
  <c r="O2007" i="20"/>
  <c r="P2007" i="20"/>
  <c r="N2008" i="20"/>
  <c r="O2008" i="20"/>
  <c r="P2008" i="20"/>
  <c r="N2009" i="20"/>
  <c r="O2009" i="20"/>
  <c r="P2009" i="20"/>
  <c r="N2010" i="20"/>
  <c r="O2010" i="20"/>
  <c r="P2010" i="20"/>
  <c r="N2011" i="20"/>
  <c r="O2011" i="20"/>
  <c r="P2011" i="20"/>
  <c r="N2012" i="20"/>
  <c r="O2012" i="20"/>
  <c r="P2012" i="20"/>
  <c r="N2013" i="20"/>
  <c r="O2013" i="20"/>
  <c r="P2013" i="20"/>
  <c r="N2014" i="20"/>
  <c r="O2014" i="20"/>
  <c r="P2014" i="20"/>
  <c r="N2015" i="20"/>
  <c r="O2015" i="20"/>
  <c r="P2015" i="20"/>
  <c r="N2016" i="20"/>
  <c r="O2016" i="20"/>
  <c r="P2016" i="20"/>
  <c r="N2017" i="20"/>
  <c r="O2017" i="20"/>
  <c r="P2017" i="20"/>
  <c r="N2018" i="20"/>
  <c r="O2018" i="20"/>
  <c r="P2018" i="20"/>
  <c r="N2019" i="20"/>
  <c r="O2019" i="20"/>
  <c r="P2019" i="20"/>
  <c r="N2020" i="20"/>
  <c r="O2020" i="20"/>
  <c r="P2020" i="20"/>
  <c r="N2021" i="20"/>
  <c r="O2021" i="20"/>
  <c r="P2021" i="20"/>
  <c r="N2022" i="20"/>
  <c r="O2022" i="20"/>
  <c r="P2022" i="20"/>
  <c r="N2023" i="20"/>
  <c r="O2023" i="20"/>
  <c r="P2023" i="20"/>
  <c r="N2024" i="20"/>
  <c r="O2024" i="20"/>
  <c r="P2024" i="20"/>
  <c r="N2025" i="20"/>
  <c r="O2025" i="20"/>
  <c r="P2025" i="20"/>
  <c r="N2026" i="20"/>
  <c r="O2026" i="20"/>
  <c r="P2026" i="20"/>
  <c r="N2027" i="20"/>
  <c r="O2027" i="20"/>
  <c r="P2027" i="20"/>
  <c r="N2028" i="20"/>
  <c r="O2028" i="20"/>
  <c r="P2028" i="20"/>
  <c r="N2029" i="20"/>
  <c r="O2029" i="20"/>
  <c r="P2029" i="20"/>
  <c r="N2030" i="20"/>
  <c r="O2030" i="20"/>
  <c r="P2030" i="20"/>
  <c r="N2031" i="20"/>
  <c r="O2031" i="20"/>
  <c r="P2031" i="20"/>
  <c r="N2032" i="20"/>
  <c r="O2032" i="20"/>
  <c r="P2032" i="20"/>
  <c r="N2033" i="20"/>
  <c r="O2033" i="20"/>
  <c r="P2033" i="20"/>
  <c r="N2034" i="20"/>
  <c r="O2034" i="20"/>
  <c r="P2034" i="20"/>
  <c r="N2035" i="20"/>
  <c r="O2035" i="20"/>
  <c r="P2035" i="20"/>
  <c r="N2036" i="20"/>
  <c r="O2036" i="20"/>
  <c r="P2036" i="20"/>
  <c r="N2037" i="20"/>
  <c r="O2037" i="20"/>
  <c r="P2037" i="20"/>
  <c r="N2038" i="20"/>
  <c r="O2038" i="20"/>
  <c r="P2038" i="20"/>
  <c r="N2039" i="20"/>
  <c r="O2039" i="20"/>
  <c r="P2039" i="20"/>
  <c r="N2040" i="20"/>
  <c r="O2040" i="20"/>
  <c r="P2040" i="20"/>
  <c r="N2041" i="20"/>
  <c r="O2041" i="20"/>
  <c r="P2041" i="20"/>
  <c r="N2042" i="20"/>
  <c r="O2042" i="20"/>
  <c r="P2042" i="20"/>
  <c r="N2043" i="20"/>
  <c r="O2043" i="20"/>
  <c r="P2043" i="20"/>
  <c r="N2044" i="20"/>
  <c r="O2044" i="20"/>
  <c r="P2044" i="20"/>
  <c r="N2045" i="20"/>
  <c r="O2045" i="20"/>
  <c r="P2045" i="20"/>
  <c r="N2046" i="20"/>
  <c r="O2046" i="20"/>
  <c r="P2046" i="20"/>
  <c r="N2047" i="20"/>
  <c r="O2047" i="20"/>
  <c r="P2047" i="20"/>
  <c r="N2048" i="20"/>
  <c r="O2048" i="20"/>
  <c r="P2048" i="20"/>
  <c r="N2049" i="20"/>
  <c r="O2049" i="20"/>
  <c r="P2049" i="20"/>
  <c r="N2050" i="20"/>
  <c r="O2050" i="20"/>
  <c r="P2050" i="20"/>
  <c r="N2051" i="20"/>
  <c r="O2051" i="20"/>
  <c r="P2051" i="20"/>
  <c r="N2052" i="20"/>
  <c r="O2052" i="20"/>
  <c r="P2052" i="20"/>
  <c r="N2053" i="20"/>
  <c r="O2053" i="20"/>
  <c r="P2053" i="20"/>
  <c r="N2054" i="20"/>
  <c r="O2054" i="20"/>
  <c r="P2054" i="20"/>
  <c r="N2055" i="20"/>
  <c r="O2055" i="20"/>
  <c r="P2055" i="20"/>
  <c r="N2056" i="20"/>
  <c r="O2056" i="20"/>
  <c r="P2056" i="20"/>
  <c r="N2057" i="20"/>
  <c r="O2057" i="20"/>
  <c r="P2057" i="20"/>
  <c r="N2058" i="20"/>
  <c r="O2058" i="20"/>
  <c r="P2058" i="20"/>
  <c r="N2059" i="20"/>
  <c r="O2059" i="20"/>
  <c r="P2059" i="20"/>
  <c r="N2060" i="20"/>
  <c r="O2060" i="20"/>
  <c r="P2060" i="20"/>
  <c r="N2061" i="20"/>
  <c r="O2061" i="20"/>
  <c r="P2061" i="20"/>
  <c r="N2062" i="20"/>
  <c r="O2062" i="20"/>
  <c r="P2062" i="20"/>
  <c r="N2063" i="20"/>
  <c r="O2063" i="20"/>
  <c r="P2063" i="20"/>
  <c r="N2064" i="20"/>
  <c r="O2064" i="20"/>
  <c r="P2064" i="20"/>
  <c r="N2065" i="20"/>
  <c r="O2065" i="20"/>
  <c r="P2065" i="20"/>
  <c r="N2066" i="20"/>
  <c r="O2066" i="20"/>
  <c r="P2066" i="20"/>
  <c r="N2067" i="20"/>
  <c r="O2067" i="20"/>
  <c r="P2067" i="20"/>
  <c r="N2068" i="20"/>
  <c r="O2068" i="20"/>
  <c r="P2068" i="20"/>
  <c r="N2069" i="20"/>
  <c r="O2069" i="20"/>
  <c r="P2069" i="20"/>
  <c r="N2070" i="20"/>
  <c r="O2070" i="20"/>
  <c r="P2070" i="20"/>
  <c r="N2071" i="20"/>
  <c r="O2071" i="20"/>
  <c r="P2071" i="20"/>
  <c r="N2072" i="20"/>
  <c r="O2072" i="20"/>
  <c r="P2072" i="20"/>
  <c r="N2073" i="20"/>
  <c r="O2073" i="20"/>
  <c r="P2073" i="20"/>
  <c r="N2074" i="20"/>
  <c r="O2074" i="20"/>
  <c r="P2074" i="20"/>
  <c r="N2075" i="20"/>
  <c r="O2075" i="20"/>
  <c r="P2075" i="20"/>
  <c r="N2076" i="20"/>
  <c r="O2076" i="20"/>
  <c r="P2076" i="20"/>
  <c r="N2077" i="20"/>
  <c r="O2077" i="20"/>
  <c r="P2077" i="20"/>
  <c r="N2078" i="20"/>
  <c r="O2078" i="20"/>
  <c r="P2078" i="20"/>
  <c r="N2079" i="20"/>
  <c r="O2079" i="20"/>
  <c r="P2079" i="20"/>
  <c r="N2080" i="20"/>
  <c r="O2080" i="20"/>
  <c r="P2080" i="20"/>
  <c r="N2081" i="20"/>
  <c r="O2081" i="20"/>
  <c r="P2081" i="20"/>
  <c r="N2082" i="20"/>
  <c r="O2082" i="20"/>
  <c r="P2082" i="20"/>
  <c r="N2083" i="20"/>
  <c r="O2083" i="20"/>
  <c r="P2083" i="20"/>
  <c r="N2084" i="20"/>
  <c r="O2084" i="20"/>
  <c r="P2084" i="20"/>
  <c r="N2085" i="20"/>
  <c r="O2085" i="20"/>
  <c r="P2085" i="20"/>
  <c r="N2086" i="20"/>
  <c r="O2086" i="20"/>
  <c r="P2086" i="20"/>
  <c r="N2087" i="20"/>
  <c r="O2087" i="20"/>
  <c r="P2087" i="20"/>
  <c r="N2088" i="20"/>
  <c r="O2088" i="20"/>
  <c r="P2088" i="20"/>
  <c r="N2089" i="20"/>
  <c r="O2089" i="20"/>
  <c r="P2089" i="20"/>
  <c r="N2090" i="20"/>
  <c r="O2090" i="20"/>
  <c r="P2090" i="20"/>
  <c r="N2091" i="20"/>
  <c r="O2091" i="20"/>
  <c r="P2091" i="20"/>
  <c r="N2092" i="20"/>
  <c r="O2092" i="20"/>
  <c r="P2092" i="20"/>
  <c r="N2093" i="20"/>
  <c r="O2093" i="20"/>
  <c r="P2093" i="20"/>
  <c r="N2094" i="20"/>
  <c r="O2094" i="20"/>
  <c r="P2094" i="20"/>
  <c r="N2095" i="20"/>
  <c r="O2095" i="20"/>
  <c r="P2095" i="20"/>
  <c r="N2096" i="20"/>
  <c r="O2096" i="20"/>
  <c r="P2096" i="20"/>
  <c r="N2097" i="20"/>
  <c r="O2097" i="20"/>
  <c r="P2097" i="20"/>
  <c r="N2098" i="20"/>
  <c r="O2098" i="20"/>
  <c r="P2098" i="20"/>
  <c r="N2099" i="20"/>
  <c r="O2099" i="20"/>
  <c r="P2099" i="20"/>
  <c r="N2100" i="20"/>
  <c r="O2100" i="20"/>
  <c r="P2100" i="20"/>
  <c r="N2101" i="20"/>
  <c r="O2101" i="20"/>
  <c r="P2101" i="20"/>
  <c r="N2102" i="20"/>
  <c r="O2102" i="20"/>
  <c r="P2102" i="20"/>
  <c r="N2103" i="20"/>
  <c r="O2103" i="20"/>
  <c r="P2103" i="20"/>
  <c r="N2104" i="20"/>
  <c r="O2104" i="20"/>
  <c r="P2104" i="20"/>
  <c r="N2105" i="20"/>
  <c r="O2105" i="20"/>
  <c r="P2105" i="20"/>
  <c r="N2106" i="20"/>
  <c r="O2106" i="20"/>
  <c r="P2106" i="20"/>
  <c r="N2107" i="20"/>
  <c r="O2107" i="20"/>
  <c r="P2107" i="20"/>
  <c r="N2108" i="20"/>
  <c r="O2108" i="20"/>
  <c r="P2108" i="20"/>
  <c r="N2109" i="20"/>
  <c r="O2109" i="20"/>
  <c r="P2109" i="20"/>
  <c r="N2110" i="20"/>
  <c r="O2110" i="20"/>
  <c r="P2110" i="20"/>
  <c r="N2111" i="20"/>
  <c r="O2111" i="20"/>
  <c r="P2111" i="20"/>
  <c r="N2112" i="20"/>
  <c r="O2112" i="20"/>
  <c r="P2112" i="20"/>
  <c r="N2113" i="20"/>
  <c r="O2113" i="20"/>
  <c r="P2113" i="20"/>
  <c r="N2114" i="20"/>
  <c r="O2114" i="20"/>
  <c r="P2114" i="20"/>
  <c r="N2115" i="20"/>
  <c r="O2115" i="20"/>
  <c r="P2115" i="20"/>
  <c r="N2116" i="20"/>
  <c r="O2116" i="20"/>
  <c r="P2116" i="20"/>
  <c r="N2117" i="20"/>
  <c r="O2117" i="20"/>
  <c r="P2117" i="20"/>
  <c r="N2118" i="20"/>
  <c r="O2118" i="20"/>
  <c r="P2118" i="20"/>
  <c r="N2119" i="20"/>
  <c r="O2119" i="20"/>
  <c r="P2119" i="20"/>
  <c r="N2120" i="20"/>
  <c r="O2120" i="20"/>
  <c r="P2120" i="20"/>
  <c r="N2121" i="20"/>
  <c r="O2121" i="20"/>
  <c r="P2121" i="20"/>
  <c r="N2122" i="20"/>
  <c r="O2122" i="20"/>
  <c r="P2122" i="20"/>
  <c r="N2123" i="20"/>
  <c r="O2123" i="20"/>
  <c r="P2123" i="20"/>
  <c r="N2124" i="20"/>
  <c r="O2124" i="20"/>
  <c r="P2124" i="20"/>
  <c r="N2125" i="20"/>
  <c r="O2125" i="20"/>
  <c r="P2125" i="20"/>
  <c r="N2126" i="20"/>
  <c r="O2126" i="20"/>
  <c r="P2126" i="20"/>
  <c r="N2127" i="20"/>
  <c r="O2127" i="20"/>
  <c r="P2127" i="20"/>
  <c r="N2128" i="20"/>
  <c r="O2128" i="20"/>
  <c r="P2128" i="20"/>
  <c r="N2129" i="20"/>
  <c r="O2129" i="20"/>
  <c r="P2129" i="20"/>
  <c r="N2130" i="20"/>
  <c r="O2130" i="20"/>
  <c r="P2130" i="20"/>
  <c r="N2131" i="20"/>
  <c r="O2131" i="20"/>
  <c r="P2131" i="20"/>
  <c r="N2132" i="20"/>
  <c r="O2132" i="20"/>
  <c r="P2132" i="20"/>
  <c r="N2133" i="20"/>
  <c r="O2133" i="20"/>
  <c r="P2133" i="20"/>
  <c r="N2134" i="20"/>
  <c r="O2134" i="20"/>
  <c r="P2134" i="20"/>
  <c r="N2135" i="20"/>
  <c r="O2135" i="20"/>
  <c r="P2135" i="20"/>
  <c r="N2136" i="20"/>
  <c r="O2136" i="20"/>
  <c r="P2136" i="20"/>
  <c r="N2137" i="20"/>
  <c r="O2137" i="20"/>
  <c r="P2137" i="20"/>
  <c r="N2138" i="20"/>
  <c r="O2138" i="20"/>
  <c r="P2138" i="20"/>
  <c r="N2139" i="20"/>
  <c r="O2139" i="20"/>
  <c r="P2139" i="20"/>
  <c r="N2140" i="20"/>
  <c r="O2140" i="20"/>
  <c r="P2140" i="20"/>
  <c r="N2141" i="20"/>
  <c r="O2141" i="20"/>
  <c r="P2141" i="20"/>
  <c r="N2142" i="20"/>
  <c r="O2142" i="20"/>
  <c r="P2142" i="20"/>
  <c r="N2143" i="20"/>
  <c r="O2143" i="20"/>
  <c r="P2143" i="20"/>
  <c r="N2144" i="20"/>
  <c r="O2144" i="20"/>
  <c r="P2144" i="20"/>
  <c r="N2145" i="20"/>
  <c r="O2145" i="20"/>
  <c r="P2145" i="20"/>
  <c r="N2146" i="20"/>
  <c r="O2146" i="20"/>
  <c r="P2146" i="20"/>
  <c r="N2147" i="20"/>
  <c r="O2147" i="20"/>
  <c r="P2147" i="20"/>
  <c r="N2148" i="20"/>
  <c r="O2148" i="20"/>
  <c r="P2148" i="20"/>
  <c r="N2149" i="20"/>
  <c r="O2149" i="20"/>
  <c r="P2149" i="20"/>
  <c r="N2150" i="20"/>
  <c r="O2150" i="20"/>
  <c r="P2150" i="20"/>
  <c r="N2151" i="20"/>
  <c r="O2151" i="20"/>
  <c r="P2151" i="20"/>
  <c r="N2152" i="20"/>
  <c r="O2152" i="20"/>
  <c r="P2152" i="20"/>
  <c r="N2153" i="20"/>
  <c r="O2153" i="20"/>
  <c r="P2153" i="20"/>
  <c r="N2154" i="20"/>
  <c r="O2154" i="20"/>
  <c r="P2154" i="20"/>
  <c r="N2155" i="20"/>
  <c r="O2155" i="20"/>
  <c r="P2155" i="20"/>
  <c r="N2156" i="20"/>
  <c r="O2156" i="20"/>
  <c r="P2156" i="20"/>
  <c r="N2157" i="20"/>
  <c r="O2157" i="20"/>
  <c r="P2157" i="20"/>
  <c r="N2158" i="20"/>
  <c r="O2158" i="20"/>
  <c r="P2158" i="20"/>
  <c r="N2159" i="20"/>
  <c r="O2159" i="20"/>
  <c r="P2159" i="20"/>
  <c r="N2160" i="20"/>
  <c r="O2160" i="20"/>
  <c r="P2160" i="20"/>
  <c r="N2161" i="20"/>
  <c r="O2161" i="20"/>
  <c r="P2161" i="20"/>
  <c r="N2162" i="20"/>
  <c r="O2162" i="20"/>
  <c r="P2162" i="20"/>
  <c r="N2163" i="20"/>
  <c r="O2163" i="20"/>
  <c r="P2163" i="20"/>
  <c r="N2164" i="20"/>
  <c r="O2164" i="20"/>
  <c r="P2164" i="20"/>
  <c r="N2165" i="20"/>
  <c r="O2165" i="20"/>
  <c r="P2165" i="20"/>
  <c r="N2166" i="20"/>
  <c r="O2166" i="20"/>
  <c r="P2166" i="20"/>
  <c r="N2167" i="20"/>
  <c r="O2167" i="20"/>
  <c r="P2167" i="20"/>
  <c r="N2168" i="20"/>
  <c r="O2168" i="20"/>
  <c r="P2168" i="20"/>
  <c r="N2169" i="20"/>
  <c r="O2169" i="20"/>
  <c r="P2169" i="20"/>
  <c r="N2170" i="20"/>
  <c r="O2170" i="20"/>
  <c r="P2170" i="20"/>
  <c r="N2171" i="20"/>
  <c r="O2171" i="20"/>
  <c r="P2171" i="20"/>
  <c r="N2172" i="20"/>
  <c r="O2172" i="20"/>
  <c r="P2172" i="20"/>
  <c r="N2173" i="20"/>
  <c r="O2173" i="20"/>
  <c r="P2173" i="20"/>
  <c r="N2174" i="20"/>
  <c r="O2174" i="20"/>
  <c r="P2174" i="20"/>
  <c r="N2175" i="20"/>
  <c r="O2175" i="20"/>
  <c r="P2175" i="20"/>
  <c r="N2176" i="20"/>
  <c r="O2176" i="20"/>
  <c r="P2176" i="20"/>
  <c r="N2177" i="20"/>
  <c r="O2177" i="20"/>
  <c r="P2177" i="20"/>
  <c r="N2178" i="20"/>
  <c r="O2178" i="20"/>
  <c r="P2178" i="20"/>
  <c r="N2179" i="20"/>
  <c r="O2179" i="20"/>
  <c r="P2179" i="20"/>
  <c r="N2180" i="20"/>
  <c r="O2180" i="20"/>
  <c r="P2180" i="20"/>
  <c r="N2181" i="20"/>
  <c r="O2181" i="20"/>
  <c r="P2181" i="20"/>
  <c r="N2182" i="20"/>
  <c r="O2182" i="20"/>
  <c r="P2182" i="20"/>
  <c r="N2183" i="20"/>
  <c r="O2183" i="20"/>
  <c r="P2183" i="20"/>
  <c r="N2184" i="20"/>
  <c r="O2184" i="20"/>
  <c r="P2184" i="20"/>
  <c r="N2185" i="20"/>
  <c r="O2185" i="20"/>
  <c r="P2185" i="20"/>
  <c r="N2186" i="20"/>
  <c r="O2186" i="20"/>
  <c r="P2186" i="20"/>
  <c r="N2187" i="20"/>
  <c r="O2187" i="20"/>
  <c r="P2187" i="20"/>
  <c r="N2188" i="20"/>
  <c r="O2188" i="20"/>
  <c r="P2188" i="20"/>
  <c r="N2189" i="20"/>
  <c r="O2189" i="20"/>
  <c r="P2189" i="20"/>
  <c r="N2190" i="20"/>
  <c r="O2190" i="20"/>
  <c r="P2190" i="20"/>
  <c r="N2191" i="20"/>
  <c r="O2191" i="20"/>
  <c r="P2191" i="20"/>
  <c r="N2192" i="20"/>
  <c r="O2192" i="20"/>
  <c r="P2192" i="20"/>
  <c r="N2193" i="20"/>
  <c r="O2193" i="20"/>
  <c r="P2193" i="20"/>
  <c r="N2194" i="20"/>
  <c r="O2194" i="20"/>
  <c r="P2194" i="20"/>
  <c r="N2195" i="20"/>
  <c r="O2195" i="20"/>
  <c r="P2195" i="20"/>
  <c r="N2196" i="20"/>
  <c r="O2196" i="20"/>
  <c r="P2196" i="20"/>
  <c r="N2197" i="20"/>
  <c r="O2197" i="20"/>
  <c r="P2197" i="20"/>
  <c r="N2198" i="20"/>
  <c r="O2198" i="20"/>
  <c r="P2198" i="20"/>
  <c r="N2199" i="20"/>
  <c r="O2199" i="20"/>
  <c r="P2199" i="20"/>
  <c r="N2200" i="20"/>
  <c r="O2200" i="20"/>
  <c r="P2200" i="20"/>
  <c r="N2201" i="20"/>
  <c r="O2201" i="20"/>
  <c r="P2201" i="20"/>
  <c r="N2202" i="20"/>
  <c r="O2202" i="20"/>
  <c r="P2202" i="20"/>
  <c r="N2203" i="20"/>
  <c r="O2203" i="20"/>
  <c r="P2203" i="20"/>
  <c r="N2204" i="20"/>
  <c r="O2204" i="20"/>
  <c r="P2204" i="20"/>
  <c r="N2205" i="20"/>
  <c r="O2205" i="20"/>
  <c r="P2205" i="20"/>
  <c r="N2206" i="20"/>
  <c r="O2206" i="20"/>
  <c r="P2206" i="20"/>
  <c r="N2207" i="20"/>
  <c r="O2207" i="20"/>
  <c r="P2207" i="20"/>
  <c r="N2208" i="20"/>
  <c r="O2208" i="20"/>
  <c r="P2208" i="20"/>
  <c r="N2209" i="20"/>
  <c r="O2209" i="20"/>
  <c r="P2209" i="20"/>
  <c r="N2210" i="20"/>
  <c r="O2210" i="20"/>
  <c r="P2210" i="20"/>
  <c r="N2211" i="20"/>
  <c r="O2211" i="20"/>
  <c r="P2211" i="20"/>
  <c r="N2212" i="20"/>
  <c r="O2212" i="20"/>
  <c r="P2212" i="20"/>
  <c r="N2213" i="20"/>
  <c r="O2213" i="20"/>
  <c r="P2213" i="20"/>
  <c r="N2214" i="20"/>
  <c r="O2214" i="20"/>
  <c r="P2214" i="20"/>
  <c r="N2215" i="20"/>
  <c r="O2215" i="20"/>
  <c r="P2215" i="20"/>
  <c r="N2216" i="20"/>
  <c r="O2216" i="20"/>
  <c r="P2216" i="20"/>
  <c r="N2217" i="20"/>
  <c r="O2217" i="20"/>
  <c r="P2217" i="20"/>
  <c r="N2218" i="20"/>
  <c r="O2218" i="20"/>
  <c r="P2218" i="20"/>
  <c r="N2219" i="20"/>
  <c r="O2219" i="20"/>
  <c r="P2219" i="20"/>
  <c r="N2220" i="20"/>
  <c r="O2220" i="20"/>
  <c r="P2220" i="20"/>
  <c r="N2221" i="20"/>
  <c r="O2221" i="20"/>
  <c r="P2221" i="20"/>
  <c r="N2222" i="20"/>
  <c r="O2222" i="20"/>
  <c r="P2222" i="20"/>
  <c r="N2223" i="20"/>
  <c r="O2223" i="20"/>
  <c r="P2223" i="20"/>
  <c r="N2224" i="20"/>
  <c r="O2224" i="20"/>
  <c r="P2224" i="20"/>
  <c r="N2225" i="20"/>
  <c r="O2225" i="20"/>
  <c r="P2225" i="20"/>
  <c r="N2226" i="20"/>
  <c r="O2226" i="20"/>
  <c r="P2226" i="20"/>
  <c r="N2227" i="20"/>
  <c r="O2227" i="20"/>
  <c r="P2227" i="20"/>
  <c r="N2228" i="20"/>
  <c r="O2228" i="20"/>
  <c r="P2228" i="20"/>
  <c r="N2229" i="20"/>
  <c r="O2229" i="20"/>
  <c r="P2229" i="20"/>
  <c r="N2230" i="20"/>
  <c r="O2230" i="20"/>
  <c r="P2230" i="20"/>
  <c r="N2231" i="20"/>
  <c r="O2231" i="20"/>
  <c r="P2231" i="20"/>
  <c r="N2232" i="20"/>
  <c r="O2232" i="20"/>
  <c r="P2232" i="20"/>
  <c r="N2233" i="20"/>
  <c r="O2233" i="20"/>
  <c r="P2233" i="20"/>
  <c r="N2234" i="20"/>
  <c r="O2234" i="20"/>
  <c r="P2234" i="20"/>
  <c r="N1007" i="20"/>
  <c r="O1007" i="20"/>
  <c r="P1007" i="20"/>
  <c r="P11" i="11"/>
  <c r="P23" i="11"/>
  <c r="P47" i="11"/>
  <c r="P48" i="11"/>
  <c r="P53" i="11"/>
  <c r="U14" i="20" l="1"/>
  <c r="E31" i="25"/>
  <c r="E32" i="25" s="1"/>
  <c r="T14" i="20"/>
  <c r="S14" i="20"/>
  <c r="S8" i="20"/>
  <c r="E16" i="18" s="1"/>
  <c r="U8" i="20"/>
  <c r="E18" i="18" s="1"/>
  <c r="S10" i="20"/>
  <c r="G16" i="18" s="1"/>
  <c r="U9" i="20"/>
  <c r="F18" i="18" s="1"/>
  <c r="T8" i="20"/>
  <c r="E17" i="18" s="1"/>
  <c r="S9" i="20"/>
  <c r="F16" i="18" s="1"/>
  <c r="U10" i="20"/>
  <c r="G18" i="18" s="1"/>
  <c r="T9" i="20"/>
  <c r="F17" i="18" s="1"/>
  <c r="T10" i="20"/>
  <c r="G17" i="18" s="1"/>
  <c r="K10" i="11"/>
  <c r="U10" i="11" s="1"/>
  <c r="C27" i="24"/>
  <c r="C28" i="24" s="1"/>
  <c r="B27" i="24"/>
  <c r="B28" i="24" s="1"/>
  <c r="B29" i="24" s="1"/>
  <c r="B30" i="24" s="1"/>
  <c r="B31" i="24" s="1"/>
  <c r="B32" i="24" s="1"/>
  <c r="B33" i="24" s="1"/>
  <c r="B34" i="24" s="1"/>
  <c r="B35" i="24" s="1"/>
  <c r="B36" i="24" s="1"/>
  <c r="B37" i="24" s="1"/>
  <c r="B38" i="24" s="1"/>
  <c r="B39" i="24" s="1"/>
  <c r="B40" i="24" s="1"/>
  <c r="B41" i="24" s="1"/>
  <c r="B42" i="24" s="1"/>
  <c r="B43" i="24" s="1"/>
  <c r="B44" i="24" s="1"/>
  <c r="B45" i="24" s="1"/>
  <c r="B46" i="24" s="1"/>
  <c r="B47" i="24" s="1"/>
  <c r="B48" i="24" s="1"/>
  <c r="B49" i="24" s="1"/>
  <c r="B50" i="24" s="1"/>
  <c r="B51" i="24" s="1"/>
  <c r="B52" i="24" s="1"/>
  <c r="B53" i="24" s="1"/>
  <c r="B54" i="24" s="1"/>
  <c r="B55" i="24" s="1"/>
  <c r="B56" i="24" s="1"/>
  <c r="B57" i="24" s="1"/>
  <c r="B58" i="24" s="1"/>
  <c r="B59" i="24" s="1"/>
  <c r="B60" i="24" s="1"/>
  <c r="B61" i="24" s="1"/>
  <c r="B62" i="24" s="1"/>
  <c r="B63" i="24" s="1"/>
  <c r="B64" i="24" s="1"/>
  <c r="B65" i="24" s="1"/>
  <c r="B66" i="24" s="1"/>
  <c r="B67" i="24" s="1"/>
  <c r="B68" i="24" s="1"/>
  <c r="B69" i="24" s="1"/>
  <c r="B70" i="24" s="1"/>
  <c r="B71" i="24" s="1"/>
  <c r="B72" i="24" s="1"/>
  <c r="B73" i="24" s="1"/>
  <c r="B74" i="24" s="1"/>
  <c r="B75" i="24" s="1"/>
  <c r="B76" i="24" s="1"/>
  <c r="B77" i="24" s="1"/>
  <c r="B78" i="24" s="1"/>
  <c r="B79" i="24" s="1"/>
  <c r="B80" i="24" s="1"/>
  <c r="B81" i="24" s="1"/>
  <c r="B82" i="24" s="1"/>
  <c r="B83" i="24" s="1"/>
  <c r="B84" i="24" s="1"/>
  <c r="B85" i="24" s="1"/>
  <c r="B86" i="24" s="1"/>
  <c r="B87" i="24" s="1"/>
  <c r="B88" i="24" s="1"/>
  <c r="B89" i="24" s="1"/>
  <c r="B90" i="24" s="1"/>
  <c r="B91" i="24" s="1"/>
  <c r="B92" i="24" s="1"/>
  <c r="B93" i="24" s="1"/>
  <c r="B94" i="24" s="1"/>
  <c r="B95" i="24" s="1"/>
  <c r="B96" i="24" s="1"/>
  <c r="B97" i="24" s="1"/>
  <c r="B98" i="24" s="1"/>
  <c r="B99" i="24" s="1"/>
  <c r="B100" i="24" s="1"/>
  <c r="B101" i="24" s="1"/>
  <c r="B102" i="24" s="1"/>
  <c r="B103" i="24" s="1"/>
  <c r="B104" i="24" s="1"/>
  <c r="B105" i="24" s="1"/>
  <c r="B106" i="24" s="1"/>
  <c r="B107" i="24" s="1"/>
  <c r="B108" i="24" s="1"/>
  <c r="B109" i="24" s="1"/>
  <c r="B110" i="24" s="1"/>
  <c r="B111" i="24" s="1"/>
  <c r="B112" i="24" s="1"/>
  <c r="B113" i="24" s="1"/>
  <c r="B114" i="24" s="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AG26" i="24"/>
  <c r="AF26" i="24"/>
  <c r="R26" i="24"/>
  <c r="D26" i="24"/>
  <c r="C2" i="24"/>
  <c r="C1" i="24"/>
  <c r="AF26" i="21"/>
  <c r="AG26" i="21"/>
  <c r="K79" i="11"/>
  <c r="U79" i="11" s="1"/>
  <c r="G22" i="9"/>
  <c r="E33" i="25" l="1"/>
  <c r="E34" i="25" s="1"/>
  <c r="P10" i="12"/>
  <c r="AH26" i="24"/>
  <c r="D27" i="24"/>
  <c r="P79" i="11"/>
  <c r="T79" i="11" s="1"/>
  <c r="C29" i="24"/>
  <c r="D28" i="24"/>
  <c r="AH26" i="21"/>
  <c r="E35" i="25" l="1"/>
  <c r="P79" i="12"/>
  <c r="AD25" i="21"/>
  <c r="AD26" i="21" s="1"/>
  <c r="AD25" i="24"/>
  <c r="AD26" i="24" s="1"/>
  <c r="C30" i="24"/>
  <c r="D29" i="24"/>
  <c r="E36" i="25" l="1"/>
  <c r="C31" i="24"/>
  <c r="D30" i="24"/>
  <c r="K37" i="11"/>
  <c r="U37" i="11" s="1"/>
  <c r="C31" i="13"/>
  <c r="K69" i="11"/>
  <c r="U69" i="11" s="1"/>
  <c r="K70" i="11"/>
  <c r="U70" i="11" s="1"/>
  <c r="E37" i="25" l="1"/>
  <c r="R37" i="11"/>
  <c r="S37" i="11"/>
  <c r="S69" i="11"/>
  <c r="P37" i="11"/>
  <c r="T37" i="11" s="1"/>
  <c r="P69" i="11"/>
  <c r="P70" i="11"/>
  <c r="C32" i="24"/>
  <c r="D31" i="24"/>
  <c r="C2" i="2"/>
  <c r="E38" i="25" l="1"/>
  <c r="AE16" i="21"/>
  <c r="P37" i="12"/>
  <c r="P78" i="11"/>
  <c r="T78" i="11" s="1"/>
  <c r="P77" i="11"/>
  <c r="T77" i="11" s="1"/>
  <c r="P16" i="24"/>
  <c r="C33" i="24"/>
  <c r="D32" i="24"/>
  <c r="P16" i="21"/>
  <c r="K30" i="11"/>
  <c r="U30" i="11" s="1"/>
  <c r="K66" i="11"/>
  <c r="U66" i="11" s="1"/>
  <c r="K67" i="11"/>
  <c r="U67" i="11" s="1"/>
  <c r="K68" i="11"/>
  <c r="U68" i="11" s="1"/>
  <c r="L55" i="12"/>
  <c r="L58" i="12"/>
  <c r="K62" i="11"/>
  <c r="U62" i="11" s="1"/>
  <c r="K64" i="11"/>
  <c r="U64" i="11" s="1"/>
  <c r="K50" i="11"/>
  <c r="U50" i="11" s="1"/>
  <c r="K51" i="11"/>
  <c r="U51" i="11" s="1"/>
  <c r="K52" i="11"/>
  <c r="U52" i="11" s="1"/>
  <c r="K53" i="11"/>
  <c r="U53" i="11" s="1"/>
  <c r="K54" i="11"/>
  <c r="U54" i="11" s="1"/>
  <c r="K55" i="11"/>
  <c r="U55" i="11" s="1"/>
  <c r="K56" i="11"/>
  <c r="U56" i="11" s="1"/>
  <c r="K57" i="11"/>
  <c r="U57" i="11" s="1"/>
  <c r="K58" i="11"/>
  <c r="U58" i="11" s="1"/>
  <c r="K59" i="11"/>
  <c r="U59" i="11" s="1"/>
  <c r="K60" i="11"/>
  <c r="U60" i="11" s="1"/>
  <c r="K61" i="11"/>
  <c r="U61" i="11" s="1"/>
  <c r="K40" i="11"/>
  <c r="U40" i="11" s="1"/>
  <c r="K41" i="11"/>
  <c r="U41" i="11" s="1"/>
  <c r="K42" i="11"/>
  <c r="U42" i="11" s="1"/>
  <c r="K43" i="11"/>
  <c r="U43" i="11" s="1"/>
  <c r="K44" i="11"/>
  <c r="U44" i="11" s="1"/>
  <c r="K45" i="11"/>
  <c r="U45" i="11" s="1"/>
  <c r="K46" i="11"/>
  <c r="U46" i="11" s="1"/>
  <c r="K47" i="11"/>
  <c r="U47" i="11" s="1"/>
  <c r="K48" i="11"/>
  <c r="U48" i="11" s="1"/>
  <c r="K49" i="11"/>
  <c r="U49" i="11" s="1"/>
  <c r="K31" i="11"/>
  <c r="U31" i="11" s="1"/>
  <c r="K32" i="11"/>
  <c r="U32" i="11" s="1"/>
  <c r="K33" i="11"/>
  <c r="U33" i="11" s="1"/>
  <c r="K34" i="11"/>
  <c r="U34" i="11" s="1"/>
  <c r="K35" i="11"/>
  <c r="U35" i="11" s="1"/>
  <c r="K36" i="11"/>
  <c r="U36" i="11" s="1"/>
  <c r="K38" i="11"/>
  <c r="U38" i="11" s="1"/>
  <c r="K39" i="11"/>
  <c r="U39" i="11" s="1"/>
  <c r="J58" i="12" l="1"/>
  <c r="J55" i="12"/>
  <c r="K55" i="12"/>
  <c r="J59" i="12"/>
  <c r="M59" i="12"/>
  <c r="L59" i="12"/>
  <c r="J60" i="12"/>
  <c r="L60" i="12"/>
  <c r="M60" i="12"/>
  <c r="J63" i="12"/>
  <c r="M65" i="12"/>
  <c r="J65" i="12"/>
  <c r="L65" i="12"/>
  <c r="L63" i="12"/>
  <c r="M63" i="12"/>
  <c r="M66" i="12"/>
  <c r="L66" i="12"/>
  <c r="J66" i="12"/>
  <c r="L57" i="12"/>
  <c r="L56" i="12"/>
  <c r="M56" i="12"/>
  <c r="J56" i="12"/>
  <c r="J57" i="12"/>
  <c r="M57" i="12"/>
  <c r="J64" i="12"/>
  <c r="L64" i="12"/>
  <c r="M64" i="12"/>
  <c r="P23" i="12"/>
  <c r="P9" i="12"/>
  <c r="P48" i="12"/>
  <c r="P8" i="12"/>
  <c r="P7" i="12"/>
  <c r="S38" i="11"/>
  <c r="R38" i="11"/>
  <c r="P45" i="11"/>
  <c r="T45" i="11" s="1"/>
  <c r="P44" i="11"/>
  <c r="T44" i="11" s="1"/>
  <c r="P66" i="11"/>
  <c r="R12" i="11"/>
  <c r="S12" i="11"/>
  <c r="S18" i="11"/>
  <c r="M58" i="12"/>
  <c r="M55" i="12"/>
  <c r="R18" i="11"/>
  <c r="R20" i="11"/>
  <c r="S20" i="11"/>
  <c r="S27" i="11"/>
  <c r="R27" i="11"/>
  <c r="R28" i="11"/>
  <c r="S28" i="11"/>
  <c r="R29" i="11"/>
  <c r="S29" i="11"/>
  <c r="S34" i="11"/>
  <c r="R34" i="11"/>
  <c r="S32" i="11"/>
  <c r="R32" i="11"/>
  <c r="S49" i="11"/>
  <c r="R49" i="11"/>
  <c r="S50" i="11"/>
  <c r="R50" i="11"/>
  <c r="R51" i="11"/>
  <c r="S51" i="11"/>
  <c r="R52" i="11"/>
  <c r="S52" i="11"/>
  <c r="S54" i="11"/>
  <c r="R54" i="11"/>
  <c r="R56" i="11"/>
  <c r="N56" i="12" s="1"/>
  <c r="S56" i="11"/>
  <c r="O56" i="12" s="1"/>
  <c r="R57" i="11"/>
  <c r="N57" i="12" s="1"/>
  <c r="S57" i="11"/>
  <c r="O57" i="12" s="1"/>
  <c r="R59" i="11"/>
  <c r="N59" i="12" s="1"/>
  <c r="S59" i="11"/>
  <c r="O59" i="12" s="1"/>
  <c r="R60" i="11"/>
  <c r="N60" i="12" s="1"/>
  <c r="S60" i="11"/>
  <c r="O60" i="12" s="1"/>
  <c r="R63" i="11"/>
  <c r="N63" i="12" s="1"/>
  <c r="S63" i="11"/>
  <c r="O63" i="12" s="1"/>
  <c r="S64" i="11"/>
  <c r="O64" i="12" s="1"/>
  <c r="R64" i="11"/>
  <c r="N64" i="12" s="1"/>
  <c r="R65" i="11"/>
  <c r="N65" i="12" s="1"/>
  <c r="S65" i="11"/>
  <c r="O65" i="12" s="1"/>
  <c r="S66" i="11"/>
  <c r="O66" i="12" s="1"/>
  <c r="R66" i="11"/>
  <c r="N66" i="12" s="1"/>
  <c r="AE16" i="24"/>
  <c r="P77" i="12"/>
  <c r="P78" i="12"/>
  <c r="P12" i="11"/>
  <c r="T12" i="11" s="1"/>
  <c r="P11" i="12"/>
  <c r="S53" i="11"/>
  <c r="R53" i="11"/>
  <c r="P31" i="11"/>
  <c r="T31" i="11" s="1"/>
  <c r="P22" i="11"/>
  <c r="P46" i="11"/>
  <c r="T46" i="11" s="1"/>
  <c r="P36" i="11"/>
  <c r="P30" i="11"/>
  <c r="T30" i="11" s="1"/>
  <c r="P52" i="11"/>
  <c r="T52" i="11" s="1"/>
  <c r="P50" i="11"/>
  <c r="T50" i="11" s="1"/>
  <c r="P26" i="11"/>
  <c r="T26" i="11" s="1"/>
  <c r="P38" i="11"/>
  <c r="T38" i="11" s="1"/>
  <c r="P20" i="11"/>
  <c r="T20" i="11" s="1"/>
  <c r="P74" i="11"/>
  <c r="T74" i="11" s="1"/>
  <c r="P76" i="11"/>
  <c r="T76" i="11" s="1"/>
  <c r="P34" i="11"/>
  <c r="T34" i="11" s="1"/>
  <c r="P28" i="11"/>
  <c r="T28" i="11" s="1"/>
  <c r="P27" i="11"/>
  <c r="T27" i="11" s="1"/>
  <c r="P18" i="11"/>
  <c r="T18" i="11" s="1"/>
  <c r="P29" i="11"/>
  <c r="T29" i="11" s="1"/>
  <c r="P49" i="11"/>
  <c r="T49" i="11" s="1"/>
  <c r="P75" i="11"/>
  <c r="T75" i="11" s="1"/>
  <c r="P51" i="11"/>
  <c r="T51" i="11" s="1"/>
  <c r="P54" i="11"/>
  <c r="T54" i="11" s="1"/>
  <c r="P25" i="11"/>
  <c r="P32" i="11"/>
  <c r="T32" i="11" s="1"/>
  <c r="P62" i="11"/>
  <c r="T62" i="11" s="1"/>
  <c r="P58" i="11"/>
  <c r="T58" i="11" s="1"/>
  <c r="P39" i="11"/>
  <c r="T39" i="11" s="1"/>
  <c r="P15" i="11"/>
  <c r="T15" i="11" s="1"/>
  <c r="P72" i="11"/>
  <c r="T72" i="11" s="1"/>
  <c r="P61" i="11"/>
  <c r="T61" i="11" s="1"/>
  <c r="P57" i="11"/>
  <c r="T57" i="11" s="1"/>
  <c r="P42" i="11"/>
  <c r="T42" i="11" s="1"/>
  <c r="P19" i="11"/>
  <c r="T19" i="11" s="1"/>
  <c r="P14" i="11"/>
  <c r="T14" i="11" s="1"/>
  <c r="P71" i="11"/>
  <c r="T71" i="11" s="1"/>
  <c r="P65" i="11"/>
  <c r="T65" i="11" s="1"/>
  <c r="P64" i="11"/>
  <c r="T64" i="11" s="1"/>
  <c r="P60" i="11"/>
  <c r="T60" i="11" s="1"/>
  <c r="P56" i="11"/>
  <c r="T56" i="11" s="1"/>
  <c r="P41" i="11"/>
  <c r="T41" i="11" s="1"/>
  <c r="P35" i="11"/>
  <c r="T35" i="11" s="1"/>
  <c r="T36" i="11" s="1"/>
  <c r="P24" i="11"/>
  <c r="T24" i="11" s="1"/>
  <c r="P17" i="11"/>
  <c r="T17" i="11" s="1"/>
  <c r="P13" i="11"/>
  <c r="T13" i="11" s="1"/>
  <c r="P68" i="11"/>
  <c r="T68" i="11" s="1"/>
  <c r="P63" i="11"/>
  <c r="T63" i="11" s="1"/>
  <c r="P59" i="11"/>
  <c r="T59" i="11" s="1"/>
  <c r="P55" i="11"/>
  <c r="T55" i="11" s="1"/>
  <c r="P40" i="11"/>
  <c r="T40" i="11" s="1"/>
  <c r="P33" i="11"/>
  <c r="T33" i="11" s="1"/>
  <c r="P16" i="11"/>
  <c r="T16" i="11" s="1"/>
  <c r="P67" i="11"/>
  <c r="T67" i="11" s="1"/>
  <c r="P73" i="11"/>
  <c r="T73" i="11" s="1"/>
  <c r="D33" i="24"/>
  <c r="C34" i="24"/>
  <c r="W20" i="24"/>
  <c r="W20" i="21"/>
  <c r="K7" i="11"/>
  <c r="U7" i="11" s="1"/>
  <c r="K8" i="11"/>
  <c r="U8" i="11" s="1"/>
  <c r="K9" i="11"/>
  <c r="U9" i="11" s="1"/>
  <c r="K11" i="11"/>
  <c r="U11" i="11" s="1"/>
  <c r="K12" i="11"/>
  <c r="U12" i="11" s="1"/>
  <c r="K13" i="11"/>
  <c r="U13" i="11" s="1"/>
  <c r="K14" i="11"/>
  <c r="U14" i="11" s="1"/>
  <c r="K15" i="11"/>
  <c r="U15" i="11" s="1"/>
  <c r="K16" i="11"/>
  <c r="U16" i="11" s="1"/>
  <c r="K18" i="11"/>
  <c r="U18" i="11" s="1"/>
  <c r="K21" i="11"/>
  <c r="U21" i="11" s="1"/>
  <c r="K22" i="11"/>
  <c r="U22" i="11" s="1"/>
  <c r="K23" i="11"/>
  <c r="U23" i="11" s="1"/>
  <c r="T66" i="11" l="1"/>
  <c r="R70" i="11"/>
  <c r="T70" i="11" s="1"/>
  <c r="K60" i="12"/>
  <c r="P60" i="12" s="1"/>
  <c r="Z25" i="21"/>
  <c r="Z26" i="21" s="1"/>
  <c r="Z25" i="24"/>
  <c r="Z26" i="24" s="1"/>
  <c r="P67" i="12"/>
  <c r="P33" i="12"/>
  <c r="P14" i="12"/>
  <c r="P31" i="12"/>
  <c r="P35" i="12"/>
  <c r="P26" i="12"/>
  <c r="P13" i="12"/>
  <c r="P42" i="12"/>
  <c r="P46" i="12"/>
  <c r="P22" i="12"/>
  <c r="P44" i="12"/>
  <c r="P47" i="12"/>
  <c r="P52" i="12"/>
  <c r="P50" i="12"/>
  <c r="P54" i="12"/>
  <c r="P53" i="12"/>
  <c r="K66" i="12"/>
  <c r="K64" i="12"/>
  <c r="K65" i="12"/>
  <c r="K63" i="12"/>
  <c r="V25" i="21"/>
  <c r="V26" i="21" s="1"/>
  <c r="T25" i="24"/>
  <c r="T26" i="24" s="1"/>
  <c r="U25" i="24"/>
  <c r="U26" i="24" s="1"/>
  <c r="U25" i="21"/>
  <c r="U26" i="21" s="1"/>
  <c r="T25" i="21"/>
  <c r="T26" i="21" s="1"/>
  <c r="K56" i="12"/>
  <c r="K57" i="12"/>
  <c r="AA25" i="21"/>
  <c r="AA26" i="21" s="1"/>
  <c r="AK23" i="24"/>
  <c r="P41" i="12"/>
  <c r="P62" i="12"/>
  <c r="P76" i="12"/>
  <c r="K59" i="12"/>
  <c r="P75" i="12"/>
  <c r="P51" i="12"/>
  <c r="P71" i="12"/>
  <c r="P74" i="12"/>
  <c r="P73" i="12"/>
  <c r="P40" i="12"/>
  <c r="P61" i="12"/>
  <c r="P49" i="12"/>
  <c r="P68" i="12"/>
  <c r="P72" i="12"/>
  <c r="P45" i="12"/>
  <c r="P29" i="12"/>
  <c r="P30" i="12"/>
  <c r="P34" i="12"/>
  <c r="P38" i="12"/>
  <c r="P32" i="12"/>
  <c r="P27" i="12"/>
  <c r="P39" i="12"/>
  <c r="P28" i="12"/>
  <c r="P16" i="12"/>
  <c r="P20" i="12"/>
  <c r="P17" i="12"/>
  <c r="P15" i="12"/>
  <c r="P18" i="12"/>
  <c r="P19" i="12"/>
  <c r="P24" i="12"/>
  <c r="P12" i="12"/>
  <c r="Q17" i="21"/>
  <c r="D29" i="13"/>
  <c r="P31" i="13"/>
  <c r="S25" i="21"/>
  <c r="S26" i="21" s="1"/>
  <c r="S25" i="24"/>
  <c r="S26" i="24" s="1"/>
  <c r="C35" i="24"/>
  <c r="D34" i="24"/>
  <c r="Y25" i="21"/>
  <c r="Y25" i="24"/>
  <c r="AJ25" i="24"/>
  <c r="AJ26" i="24" s="1"/>
  <c r="AK25" i="24"/>
  <c r="AK26" i="24" s="1"/>
  <c r="AB25" i="21"/>
  <c r="AB25" i="24"/>
  <c r="AC25" i="21"/>
  <c r="AC26" i="21" s="1"/>
  <c r="AC25" i="24"/>
  <c r="AA20" i="24"/>
  <c r="AA15" i="24" s="1"/>
  <c r="X20" i="24"/>
  <c r="Z20" i="24"/>
  <c r="AC20" i="24"/>
  <c r="Y20" i="24"/>
  <c r="V25" i="24"/>
  <c r="AJ25" i="21"/>
  <c r="AJ26" i="21" s="1"/>
  <c r="AK25" i="21"/>
  <c r="AK26" i="21" s="1"/>
  <c r="J31" i="13"/>
  <c r="AC20" i="21"/>
  <c r="Z20" i="21"/>
  <c r="AA20" i="21"/>
  <c r="X20" i="21"/>
  <c r="Y20" i="21"/>
  <c r="E29" i="13"/>
  <c r="AI25" i="24"/>
  <c r="AI26" i="24" s="1"/>
  <c r="D26" i="21"/>
  <c r="B27" i="21"/>
  <c r="B28" i="21" s="1"/>
  <c r="B29" i="21" s="1"/>
  <c r="B30" i="21" s="1"/>
  <c r="B31" i="21" s="1"/>
  <c r="B32" i="21" s="1"/>
  <c r="B33" i="21" s="1"/>
  <c r="B34" i="21" s="1"/>
  <c r="B35" i="21" s="1"/>
  <c r="B36" i="21" s="1"/>
  <c r="B37" i="21" s="1"/>
  <c r="B38" i="21" s="1"/>
  <c r="B39" i="21" s="1"/>
  <c r="B40" i="21" s="1"/>
  <c r="B41" i="21" s="1"/>
  <c r="B42" i="21" s="1"/>
  <c r="B43" i="21" s="1"/>
  <c r="B44" i="21" s="1"/>
  <c r="B45" i="21" s="1"/>
  <c r="B46" i="21" s="1"/>
  <c r="B47" i="21" s="1"/>
  <c r="B48" i="21" s="1"/>
  <c r="B49" i="21" s="1"/>
  <c r="B50" i="21" s="1"/>
  <c r="B51" i="21" s="1"/>
  <c r="B52" i="21" s="1"/>
  <c r="B53" i="21" s="1"/>
  <c r="B54" i="21" s="1"/>
  <c r="B55" i="21" s="1"/>
  <c r="B56" i="21" s="1"/>
  <c r="B57" i="21" s="1"/>
  <c r="B58" i="21" s="1"/>
  <c r="B59" i="21" s="1"/>
  <c r="B60" i="21" s="1"/>
  <c r="B61" i="21" s="1"/>
  <c r="B62" i="21" s="1"/>
  <c r="B63" i="21" s="1"/>
  <c r="B64" i="21" s="1"/>
  <c r="B65" i="21" s="1"/>
  <c r="B66" i="21" s="1"/>
  <c r="B67" i="21" s="1"/>
  <c r="B68" i="21" s="1"/>
  <c r="B69" i="21" s="1"/>
  <c r="B70" i="21" s="1"/>
  <c r="B71" i="21" s="1"/>
  <c r="B72" i="21" s="1"/>
  <c r="B73" i="21" s="1"/>
  <c r="B74" i="21" s="1"/>
  <c r="B75" i="21" s="1"/>
  <c r="B76" i="21" s="1"/>
  <c r="B77" i="21" s="1"/>
  <c r="B78" i="21" s="1"/>
  <c r="B79" i="21" s="1"/>
  <c r="B80" i="21" s="1"/>
  <c r="B81" i="21" s="1"/>
  <c r="B82" i="21" s="1"/>
  <c r="B83" i="21" s="1"/>
  <c r="B84" i="21" s="1"/>
  <c r="B85" i="21" s="1"/>
  <c r="B86" i="21" s="1"/>
  <c r="B87" i="21" s="1"/>
  <c r="B88" i="21" s="1"/>
  <c r="B89" i="21" s="1"/>
  <c r="B90" i="21" s="1"/>
  <c r="B91" i="21" s="1"/>
  <c r="B92" i="21" s="1"/>
  <c r="B93" i="21" s="1"/>
  <c r="B94" i="21" s="1"/>
  <c r="B95" i="21" s="1"/>
  <c r="B96" i="21" s="1"/>
  <c r="B97" i="21" s="1"/>
  <c r="B98" i="21" s="1"/>
  <c r="B99" i="21" s="1"/>
  <c r="B100" i="21" s="1"/>
  <c r="B101" i="21" s="1"/>
  <c r="B102" i="21" s="1"/>
  <c r="B103" i="21" s="1"/>
  <c r="B104" i="21" s="1"/>
  <c r="B105" i="21" s="1"/>
  <c r="B106" i="21" s="1"/>
  <c r="B107" i="21" s="1"/>
  <c r="B108" i="21" s="1"/>
  <c r="B109" i="21" s="1"/>
  <c r="B110" i="21" s="1"/>
  <c r="B111" i="21" s="1"/>
  <c r="B112" i="21" s="1"/>
  <c r="B113" i="21" s="1"/>
  <c r="B114" i="21" s="1"/>
  <c r="B115" i="21" s="1"/>
  <c r="B116" i="21" s="1"/>
  <c r="B117" i="21" s="1"/>
  <c r="B118" i="21" s="1"/>
  <c r="B119" i="21" s="1"/>
  <c r="B120" i="21" s="1"/>
  <c r="B121" i="21" s="1"/>
  <c r="B122" i="21" s="1"/>
  <c r="B123" i="21" s="1"/>
  <c r="B124" i="21" s="1"/>
  <c r="B125" i="21" s="1"/>
  <c r="B126" i="21" s="1"/>
  <c r="B127" i="21" s="1"/>
  <c r="B128" i="21" s="1"/>
  <c r="B129" i="21" s="1"/>
  <c r="B130" i="21" s="1"/>
  <c r="B131" i="21" s="1"/>
  <c r="B132" i="21" s="1"/>
  <c r="B133" i="21" s="1"/>
  <c r="B134" i="21" s="1"/>
  <c r="B135" i="21" s="1"/>
  <c r="B136" i="21" s="1"/>
  <c r="C27" i="21"/>
  <c r="G11" i="9"/>
  <c r="G13" i="9"/>
  <c r="G18" i="8"/>
  <c r="G17" i="8"/>
  <c r="G15" i="8"/>
  <c r="G10" i="8"/>
  <c r="G12" i="8"/>
  <c r="G13" i="8"/>
  <c r="W25" i="24" l="1"/>
  <c r="W26" i="24" s="1"/>
  <c r="X25" i="24"/>
  <c r="X26" i="24" s="1"/>
  <c r="Y26" i="21"/>
  <c r="X25" i="21"/>
  <c r="X26" i="21" s="1"/>
  <c r="W25" i="21"/>
  <c r="W26" i="21" s="1"/>
  <c r="F10" i="17"/>
  <c r="P25" i="12"/>
  <c r="P57" i="12"/>
  <c r="P65" i="12"/>
  <c r="P64" i="12"/>
  <c r="P56" i="12"/>
  <c r="P59" i="12"/>
  <c r="K58" i="12"/>
  <c r="P58" i="12" s="1"/>
  <c r="P55" i="12"/>
  <c r="P63" i="12"/>
  <c r="P66" i="12"/>
  <c r="R69" i="11"/>
  <c r="T69" i="11" s="1"/>
  <c r="S21" i="11"/>
  <c r="R21" i="11"/>
  <c r="P70" i="12"/>
  <c r="AA25" i="24"/>
  <c r="AA26" i="24" s="1"/>
  <c r="AA15" i="21"/>
  <c r="R17" i="21"/>
  <c r="Q17" i="24"/>
  <c r="Q16" i="24"/>
  <c r="AC16" i="21"/>
  <c r="R16" i="24"/>
  <c r="R16" i="21"/>
  <c r="AC16" i="24"/>
  <c r="R17" i="24"/>
  <c r="D27" i="21"/>
  <c r="C32" i="13"/>
  <c r="P21" i="11"/>
  <c r="T21" i="11" s="1"/>
  <c r="AB26" i="24"/>
  <c r="AB26" i="21"/>
  <c r="V26" i="24"/>
  <c r="Y26" i="24"/>
  <c r="AC26" i="24"/>
  <c r="R40" i="13"/>
  <c r="D9" i="21"/>
  <c r="D9" i="24"/>
  <c r="C36" i="24"/>
  <c r="D35" i="24"/>
  <c r="D10" i="21"/>
  <c r="D11" i="21" s="1"/>
  <c r="K15" i="21" s="1"/>
  <c r="D10" i="24"/>
  <c r="D11" i="24" s="1"/>
  <c r="K15" i="24" s="1"/>
  <c r="E27" i="24"/>
  <c r="S27" i="24" s="1"/>
  <c r="O6" i="23"/>
  <c r="E27" i="21"/>
  <c r="C28" i="21"/>
  <c r="C33" i="13" s="1"/>
  <c r="D18" i="21" l="1"/>
  <c r="H11" i="21"/>
  <c r="D13" i="24"/>
  <c r="D12" i="24" s="1"/>
  <c r="D13" i="21"/>
  <c r="D12" i="21" s="1"/>
  <c r="S27" i="21"/>
  <c r="M20" i="21"/>
  <c r="M14" i="21" s="1"/>
  <c r="L20" i="21"/>
  <c r="L13" i="21" s="1"/>
  <c r="P21" i="12"/>
  <c r="P69" i="12"/>
  <c r="AI25" i="21"/>
  <c r="AI26" i="21" s="1"/>
  <c r="AB20" i="21"/>
  <c r="P43" i="11"/>
  <c r="T43" i="11" s="1"/>
  <c r="H10" i="17"/>
  <c r="H45" i="19"/>
  <c r="H41" i="19"/>
  <c r="H44" i="19"/>
  <c r="H40" i="19"/>
  <c r="H43" i="19"/>
  <c r="H42" i="19"/>
  <c r="M38" i="19"/>
  <c r="I38" i="19"/>
  <c r="H31" i="19"/>
  <c r="L38" i="19"/>
  <c r="K38" i="19"/>
  <c r="H35" i="19"/>
  <c r="H32" i="19"/>
  <c r="H30" i="19"/>
  <c r="J38" i="19"/>
  <c r="H34" i="19"/>
  <c r="H33" i="19"/>
  <c r="D41" i="19"/>
  <c r="D42" i="19"/>
  <c r="D43" i="19"/>
  <c r="D44" i="19"/>
  <c r="D45" i="19"/>
  <c r="D40" i="19"/>
  <c r="AB20" i="24"/>
  <c r="AB15" i="24" s="1"/>
  <c r="O7" i="23"/>
  <c r="P7" i="23" s="1"/>
  <c r="Q7" i="23" s="1"/>
  <c r="I15" i="19"/>
  <c r="E38" i="19"/>
  <c r="D31" i="19"/>
  <c r="D33" i="19"/>
  <c r="D35" i="19"/>
  <c r="D32" i="19"/>
  <c r="D30" i="19"/>
  <c r="D34" i="19"/>
  <c r="P6" i="23"/>
  <c r="M7" i="19"/>
  <c r="F4" i="17"/>
  <c r="E15" i="19"/>
  <c r="F15" i="19"/>
  <c r="G15" i="19"/>
  <c r="H15" i="19"/>
  <c r="D12" i="19"/>
  <c r="D8" i="19"/>
  <c r="D9" i="19"/>
  <c r="D10" i="19"/>
  <c r="D11" i="19"/>
  <c r="D7" i="19"/>
  <c r="AG27" i="24"/>
  <c r="H20" i="24"/>
  <c r="H11" i="24"/>
  <c r="L20" i="24"/>
  <c r="L13" i="24" s="1"/>
  <c r="I20" i="24"/>
  <c r="J20" i="24"/>
  <c r="K20" i="24"/>
  <c r="N20" i="24"/>
  <c r="M20" i="24"/>
  <c r="M14" i="24" s="1"/>
  <c r="C37" i="24"/>
  <c r="D36" i="24"/>
  <c r="AG27" i="21"/>
  <c r="N20" i="21"/>
  <c r="K20" i="21"/>
  <c r="I20" i="21"/>
  <c r="J20" i="21"/>
  <c r="H20" i="21"/>
  <c r="O8" i="23"/>
  <c r="O12" i="23"/>
  <c r="O9" i="23"/>
  <c r="O13" i="23"/>
  <c r="O15" i="23"/>
  <c r="O10" i="23"/>
  <c r="O14" i="23"/>
  <c r="O11" i="23"/>
  <c r="D28" i="21"/>
  <c r="C29" i="21"/>
  <c r="C34" i="13" s="1"/>
  <c r="W11" i="13"/>
  <c r="X11" i="13" s="1"/>
  <c r="W12" i="13"/>
  <c r="X12" i="13" s="1"/>
  <c r="W13" i="13"/>
  <c r="X13" i="13" s="1"/>
  <c r="W10" i="13"/>
  <c r="X10" i="13" s="1"/>
  <c r="P20" i="24" l="1"/>
  <c r="O20" i="24"/>
  <c r="R20" i="24"/>
  <c r="Q20" i="24"/>
  <c r="P20" i="21"/>
  <c r="O20" i="21"/>
  <c r="Q20" i="21"/>
  <c r="R20" i="21"/>
  <c r="P43" i="12"/>
  <c r="AB15" i="21"/>
  <c r="U17" i="13"/>
  <c r="F29" i="13"/>
  <c r="G29" i="13" s="1"/>
  <c r="D33" i="13" s="1"/>
  <c r="O16" i="23"/>
  <c r="C38" i="24"/>
  <c r="D37" i="24"/>
  <c r="H10" i="24"/>
  <c r="H10" i="21"/>
  <c r="P8" i="23"/>
  <c r="P11" i="23"/>
  <c r="P10" i="23"/>
  <c r="P14" i="23"/>
  <c r="P13" i="23"/>
  <c r="P12" i="23"/>
  <c r="P15" i="23"/>
  <c r="P9" i="23"/>
  <c r="C30" i="21"/>
  <c r="C35" i="13" s="1"/>
  <c r="D29" i="21"/>
  <c r="U16" i="13"/>
  <c r="U20" i="13" s="1"/>
  <c r="C2" i="22"/>
  <c r="C1" i="22"/>
  <c r="C2" i="21"/>
  <c r="C1" i="21"/>
  <c r="P36" i="12" l="1"/>
  <c r="D35" i="13"/>
  <c r="D32" i="13"/>
  <c r="E32" i="13" s="1"/>
  <c r="G32" i="13" s="1"/>
  <c r="D34" i="13"/>
  <c r="E34" i="13" s="1"/>
  <c r="G31" i="13"/>
  <c r="C39" i="24"/>
  <c r="D38" i="24"/>
  <c r="C31" i="21"/>
  <c r="C36" i="13" s="1"/>
  <c r="D36" i="13" s="1"/>
  <c r="D30" i="21"/>
  <c r="U19" i="13"/>
  <c r="U21" i="13" s="1"/>
  <c r="C2" i="20"/>
  <c r="C1" i="20"/>
  <c r="C2" i="19"/>
  <c r="C1" i="19"/>
  <c r="C2" i="13"/>
  <c r="C1" i="13"/>
  <c r="C2" i="12"/>
  <c r="C1" i="12"/>
  <c r="C2" i="11"/>
  <c r="C1" i="11"/>
  <c r="C2" i="6"/>
  <c r="C1" i="6"/>
  <c r="C2" i="18"/>
  <c r="C1" i="18"/>
  <c r="C2" i="17"/>
  <c r="C1" i="17"/>
  <c r="C2" i="15"/>
  <c r="C1" i="15"/>
  <c r="C2" i="9"/>
  <c r="C1" i="9"/>
  <c r="C2" i="8"/>
  <c r="C1" i="8"/>
  <c r="C2" i="14"/>
  <c r="C1" i="14"/>
  <c r="C2" i="7"/>
  <c r="C1" i="7"/>
  <c r="C2" i="4"/>
  <c r="C1" i="4"/>
  <c r="C2" i="3"/>
  <c r="C1" i="3"/>
  <c r="C1" i="2"/>
  <c r="F31" i="13" l="1"/>
  <c r="G34" i="13"/>
  <c r="F32" i="13"/>
  <c r="E36" i="13"/>
  <c r="E33" i="13"/>
  <c r="E35" i="13"/>
  <c r="Q8" i="23"/>
  <c r="AC17" i="21"/>
  <c r="AC17" i="24"/>
  <c r="C40" i="24"/>
  <c r="D39" i="24"/>
  <c r="C32" i="21"/>
  <c r="C37" i="13" s="1"/>
  <c r="D37" i="13" s="1"/>
  <c r="E37" i="13" s="1"/>
  <c r="D31" i="21"/>
  <c r="I11" i="17"/>
  <c r="G11" i="17"/>
  <c r="U18" i="18"/>
  <c r="F34" i="13" l="1"/>
  <c r="G35" i="13"/>
  <c r="G33" i="13"/>
  <c r="G37" i="13"/>
  <c r="G36" i="13"/>
  <c r="Q9" i="23"/>
  <c r="Q10" i="23" s="1"/>
  <c r="Q11" i="23" s="1"/>
  <c r="Q12" i="23" s="1"/>
  <c r="Q13" i="23" s="1"/>
  <c r="Q14" i="23" s="1"/>
  <c r="Q15" i="23" s="1"/>
  <c r="C41" i="24"/>
  <c r="D40" i="24"/>
  <c r="C33" i="21"/>
  <c r="C38" i="13" s="1"/>
  <c r="D38" i="13" s="1"/>
  <c r="E38" i="13" s="1"/>
  <c r="D32" i="21"/>
  <c r="C8" i="12"/>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 i="1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43" i="11" s="1"/>
  <c r="C44" i="11" s="1"/>
  <c r="C45" i="11" s="1"/>
  <c r="C46" i="11" s="1"/>
  <c r="C47" i="11" s="1"/>
  <c r="C48" i="11" s="1"/>
  <c r="C49" i="11" s="1"/>
  <c r="C50" i="11" s="1"/>
  <c r="C51" i="11" s="1"/>
  <c r="C52" i="11" s="1"/>
  <c r="C53" i="11" s="1"/>
  <c r="C54" i="11" s="1"/>
  <c r="C55" i="11" s="1"/>
  <c r="C56" i="11" s="1"/>
  <c r="C57" i="11" s="1"/>
  <c r="C58" i="11" s="1"/>
  <c r="C59" i="11" s="1"/>
  <c r="C60" i="11" s="1"/>
  <c r="C61" i="11" s="1"/>
  <c r="C62" i="11" s="1"/>
  <c r="C63" i="11" s="1"/>
  <c r="C64" i="11" s="1"/>
  <c r="C65" i="11" s="1"/>
  <c r="C66" i="11" s="1"/>
  <c r="C67" i="11" s="1"/>
  <c r="C68" i="11" s="1"/>
  <c r="C69" i="11" s="1"/>
  <c r="C70" i="11" s="1"/>
  <c r="C71" i="11" s="1"/>
  <c r="C72" i="11" s="1"/>
  <c r="C73" i="11" s="1"/>
  <c r="C74" i="11" s="1"/>
  <c r="C75" i="11" s="1"/>
  <c r="C76" i="11" s="1"/>
  <c r="C77" i="11" s="1"/>
  <c r="C78" i="11" s="1"/>
  <c r="C79" i="11" s="1"/>
  <c r="C80" i="11" s="1"/>
  <c r="C81" i="11" s="1"/>
  <c r="F36" i="13" l="1"/>
  <c r="F35" i="13"/>
  <c r="F37" i="13"/>
  <c r="P18" i="23"/>
  <c r="P19" i="23" s="1"/>
  <c r="F33" i="13"/>
  <c r="G38" i="13"/>
  <c r="C42" i="24"/>
  <c r="D41" i="24"/>
  <c r="C34" i="21"/>
  <c r="C39" i="13" s="1"/>
  <c r="D39" i="13" s="1"/>
  <c r="E39" i="13" s="1"/>
  <c r="D33" i="21"/>
  <c r="F38" i="13" l="1"/>
  <c r="G39" i="13"/>
  <c r="Q18" i="21"/>
  <c r="Q18" i="24"/>
  <c r="R19" i="24"/>
  <c r="AG20" i="21"/>
  <c r="AD20" i="24"/>
  <c r="AD20" i="21"/>
  <c r="AE20" i="24"/>
  <c r="AF20" i="21"/>
  <c r="AG20" i="24"/>
  <c r="AE20" i="21"/>
  <c r="AF20" i="24"/>
  <c r="C43" i="24"/>
  <c r="D42" i="24"/>
  <c r="C35" i="21"/>
  <c r="C40" i="13" s="1"/>
  <c r="D40" i="13" s="1"/>
  <c r="E40" i="13" s="1"/>
  <c r="D34" i="21"/>
  <c r="F39" i="13" l="1"/>
  <c r="G40" i="13"/>
  <c r="R19" i="21"/>
  <c r="P27" i="24"/>
  <c r="AD27" i="24" s="1"/>
  <c r="P27" i="21"/>
  <c r="AD27" i="21" s="1"/>
  <c r="AG16" i="24"/>
  <c r="AG17" i="24"/>
  <c r="AG17" i="21"/>
  <c r="AG16" i="21"/>
  <c r="AF16" i="24"/>
  <c r="AF17" i="24"/>
  <c r="AF17" i="21"/>
  <c r="AF16" i="21"/>
  <c r="C44" i="24"/>
  <c r="D43" i="24"/>
  <c r="D35" i="21"/>
  <c r="C36" i="21"/>
  <c r="C41" i="13" s="1"/>
  <c r="D41" i="13" s="1"/>
  <c r="F40" i="13" l="1"/>
  <c r="E41" i="13"/>
  <c r="G41" i="13" s="1"/>
  <c r="C45" i="24"/>
  <c r="D44" i="24"/>
  <c r="C37" i="21"/>
  <c r="C42" i="13" s="1"/>
  <c r="D42" i="13" s="1"/>
  <c r="E42" i="13" s="1"/>
  <c r="D36" i="21"/>
  <c r="G42" i="13" l="1"/>
  <c r="F41" i="13"/>
  <c r="C46" i="24"/>
  <c r="D45" i="24"/>
  <c r="C38" i="21"/>
  <c r="C43" i="13" s="1"/>
  <c r="D43" i="13" s="1"/>
  <c r="E43" i="13" s="1"/>
  <c r="D37" i="21"/>
  <c r="F42" i="13" l="1"/>
  <c r="G43" i="13"/>
  <c r="C47" i="24"/>
  <c r="D46" i="24"/>
  <c r="C39" i="21"/>
  <c r="C44" i="13" s="1"/>
  <c r="D44" i="13" s="1"/>
  <c r="E44" i="13" s="1"/>
  <c r="D38" i="21"/>
  <c r="F43" i="13" l="1"/>
  <c r="G44" i="13"/>
  <c r="C48" i="24"/>
  <c r="D47" i="24"/>
  <c r="C40" i="21"/>
  <c r="C45" i="13" s="1"/>
  <c r="D45" i="13" s="1"/>
  <c r="E45" i="13" s="1"/>
  <c r="D39" i="21"/>
  <c r="F44" i="13" l="1"/>
  <c r="K31" i="13" s="1"/>
  <c r="K32" i="13" s="1"/>
  <c r="N13" i="21" s="1"/>
  <c r="L31" i="13"/>
  <c r="L32" i="13" s="1"/>
  <c r="G45" i="13"/>
  <c r="C49" i="24"/>
  <c r="D48" i="24"/>
  <c r="C41" i="21"/>
  <c r="C46" i="13" s="1"/>
  <c r="D46" i="13" s="1"/>
  <c r="E46" i="13" s="1"/>
  <c r="D40" i="21"/>
  <c r="J14" i="21" l="1"/>
  <c r="K14" i="21"/>
  <c r="F45" i="13"/>
  <c r="I14" i="21"/>
  <c r="M32" i="13" s="1"/>
  <c r="R32" i="13"/>
  <c r="I14" i="24" s="1"/>
  <c r="N14" i="21"/>
  <c r="J13" i="21"/>
  <c r="K13" i="21"/>
  <c r="I13" i="21"/>
  <c r="Q32" i="13"/>
  <c r="K13" i="24" s="1"/>
  <c r="G46" i="13"/>
  <c r="C50" i="24"/>
  <c r="D49" i="24"/>
  <c r="C42" i="21"/>
  <c r="C47" i="13" s="1"/>
  <c r="D47" i="13" s="1"/>
  <c r="E47" i="13" s="1"/>
  <c r="D41" i="21"/>
  <c r="I10" i="21" l="1"/>
  <c r="F27" i="21" s="1"/>
  <c r="N15" i="21"/>
  <c r="K27" i="21" s="1"/>
  <c r="Y27" i="21" s="1"/>
  <c r="F46" i="13"/>
  <c r="J14" i="24"/>
  <c r="K14" i="24"/>
  <c r="K12" i="24" s="1"/>
  <c r="N14" i="24"/>
  <c r="J11" i="21"/>
  <c r="G27" i="21" s="1"/>
  <c r="U27" i="21" s="1"/>
  <c r="K12" i="21"/>
  <c r="H27" i="21" s="1"/>
  <c r="V27" i="21" s="1"/>
  <c r="J27" i="21"/>
  <c r="X27" i="21" s="1"/>
  <c r="I27" i="21"/>
  <c r="J13" i="24"/>
  <c r="N13" i="24"/>
  <c r="I13" i="24"/>
  <c r="I10" i="24" s="1"/>
  <c r="G47" i="13"/>
  <c r="C51" i="24"/>
  <c r="D50" i="24"/>
  <c r="C43" i="21"/>
  <c r="C48" i="13" s="1"/>
  <c r="D48" i="13" s="1"/>
  <c r="E48" i="13" s="1"/>
  <c r="D42" i="21"/>
  <c r="AM27" i="21" l="1"/>
  <c r="AL27" i="21"/>
  <c r="F47" i="13"/>
  <c r="N15" i="24"/>
  <c r="K27" i="24" s="1"/>
  <c r="Y27" i="24" s="1"/>
  <c r="J27" i="24"/>
  <c r="X27" i="24" s="1"/>
  <c r="W27" i="21"/>
  <c r="T27" i="21"/>
  <c r="I27" i="24"/>
  <c r="F27" i="24"/>
  <c r="G48" i="13"/>
  <c r="C52" i="24"/>
  <c r="D51" i="24"/>
  <c r="C44" i="21"/>
  <c r="C49" i="13" s="1"/>
  <c r="D49" i="13" s="1"/>
  <c r="E49" i="13" s="1"/>
  <c r="D43" i="21"/>
  <c r="AM27" i="24" l="1"/>
  <c r="F48" i="13"/>
  <c r="J11" i="24"/>
  <c r="G27" i="24" s="1"/>
  <c r="U27" i="24" s="1"/>
  <c r="W27" i="24"/>
  <c r="T27" i="24"/>
  <c r="G49" i="13"/>
  <c r="C53" i="24"/>
  <c r="D52" i="24"/>
  <c r="C45" i="21"/>
  <c r="C50" i="13" s="1"/>
  <c r="D50" i="13" s="1"/>
  <c r="E50" i="13" s="1"/>
  <c r="D44" i="21"/>
  <c r="F49" i="13" l="1"/>
  <c r="H27" i="24"/>
  <c r="V27" i="24" s="1"/>
  <c r="G50" i="13"/>
  <c r="C54" i="24"/>
  <c r="D53" i="24"/>
  <c r="C46" i="21"/>
  <c r="C51" i="13" s="1"/>
  <c r="D51" i="13" s="1"/>
  <c r="E51" i="13" s="1"/>
  <c r="D45" i="21"/>
  <c r="F50" i="13" l="1"/>
  <c r="AL27" i="24"/>
  <c r="G51" i="13"/>
  <c r="C55" i="24"/>
  <c r="D54" i="24"/>
  <c r="C47" i="21"/>
  <c r="C52" i="13" s="1"/>
  <c r="D52" i="13" s="1"/>
  <c r="E52" i="13" s="1"/>
  <c r="D46" i="21"/>
  <c r="F51" i="13" l="1"/>
  <c r="G52" i="13"/>
  <c r="C56" i="24"/>
  <c r="D55" i="24"/>
  <c r="C48" i="21"/>
  <c r="C53" i="13" s="1"/>
  <c r="D53" i="13" s="1"/>
  <c r="E53" i="13" s="1"/>
  <c r="D47" i="21"/>
  <c r="F52" i="13" l="1"/>
  <c r="G53" i="13"/>
  <c r="C57" i="24"/>
  <c r="D56" i="24"/>
  <c r="C49" i="21"/>
  <c r="C54" i="13" s="1"/>
  <c r="D54" i="13" s="1"/>
  <c r="E54" i="13" s="1"/>
  <c r="D48" i="21"/>
  <c r="F53" i="13" l="1"/>
  <c r="G54" i="13"/>
  <c r="C58" i="24"/>
  <c r="D57" i="24"/>
  <c r="C50" i="21"/>
  <c r="C55" i="13" s="1"/>
  <c r="D55" i="13" s="1"/>
  <c r="E55" i="13" s="1"/>
  <c r="D49" i="21"/>
  <c r="F54" i="13" l="1"/>
  <c r="G55" i="13"/>
  <c r="C59" i="24"/>
  <c r="D58" i="24"/>
  <c r="C51" i="21"/>
  <c r="C56" i="13" s="1"/>
  <c r="D56" i="13" s="1"/>
  <c r="D50" i="21"/>
  <c r="F55" i="13" l="1"/>
  <c r="E56" i="13"/>
  <c r="C60" i="24"/>
  <c r="D59" i="24"/>
  <c r="C52" i="21"/>
  <c r="C57" i="13" s="1"/>
  <c r="D57" i="13" s="1"/>
  <c r="E57" i="13" s="1"/>
  <c r="D51" i="21"/>
  <c r="G57" i="13" l="1"/>
  <c r="G56" i="13"/>
  <c r="C61" i="24"/>
  <c r="D60" i="24"/>
  <c r="C53" i="21"/>
  <c r="C58" i="13" s="1"/>
  <c r="D58" i="13" s="1"/>
  <c r="E58" i="13" s="1"/>
  <c r="D52" i="21"/>
  <c r="F56" i="13" l="1"/>
  <c r="F57" i="13"/>
  <c r="G58" i="13"/>
  <c r="C62" i="24"/>
  <c r="D61" i="24"/>
  <c r="C54" i="21"/>
  <c r="C59" i="13" s="1"/>
  <c r="D59" i="13" s="1"/>
  <c r="E59" i="13" s="1"/>
  <c r="D53" i="21"/>
  <c r="F58" i="13" l="1"/>
  <c r="G59" i="13"/>
  <c r="C63" i="24"/>
  <c r="D62" i="24"/>
  <c r="C55" i="21"/>
  <c r="C60" i="13" s="1"/>
  <c r="D60" i="13" s="1"/>
  <c r="E60" i="13" s="1"/>
  <c r="D54" i="21"/>
  <c r="F59" i="13" l="1"/>
  <c r="G60" i="13"/>
  <c r="C64" i="24"/>
  <c r="D63" i="24"/>
  <c r="C56" i="21"/>
  <c r="C61" i="13" s="1"/>
  <c r="D61" i="13" s="1"/>
  <c r="E61" i="13" s="1"/>
  <c r="D55" i="21"/>
  <c r="F60" i="13" l="1"/>
  <c r="G61" i="13"/>
  <c r="C65" i="24"/>
  <c r="D64" i="24"/>
  <c r="C57" i="21"/>
  <c r="C62" i="13" s="1"/>
  <c r="D62" i="13" s="1"/>
  <c r="E62" i="13" s="1"/>
  <c r="D56" i="21"/>
  <c r="F61" i="13" l="1"/>
  <c r="G62" i="13"/>
  <c r="C66" i="24"/>
  <c r="D65" i="24"/>
  <c r="C58" i="21"/>
  <c r="C63" i="13" s="1"/>
  <c r="D63" i="13" s="1"/>
  <c r="E63" i="13" s="1"/>
  <c r="D57" i="21"/>
  <c r="F62" i="13" l="1"/>
  <c r="G63" i="13"/>
  <c r="C67" i="24"/>
  <c r="D66" i="24"/>
  <c r="C59" i="21"/>
  <c r="C64" i="13" s="1"/>
  <c r="D64" i="13" s="1"/>
  <c r="E64" i="13" s="1"/>
  <c r="D58" i="21"/>
  <c r="F63" i="13" l="1"/>
  <c r="G64" i="13"/>
  <c r="C68" i="24"/>
  <c r="D67" i="24"/>
  <c r="C60" i="21"/>
  <c r="C65" i="13" s="1"/>
  <c r="D65" i="13" s="1"/>
  <c r="E65" i="13" s="1"/>
  <c r="D59" i="21"/>
  <c r="F64" i="13" l="1"/>
  <c r="G65" i="13"/>
  <c r="C69" i="24"/>
  <c r="D68" i="24"/>
  <c r="C61" i="21"/>
  <c r="C66" i="13" s="1"/>
  <c r="D66" i="13" s="1"/>
  <c r="E66" i="13" s="1"/>
  <c r="D60" i="21"/>
  <c r="F65" i="13" l="1"/>
  <c r="G66" i="13"/>
  <c r="C70" i="24"/>
  <c r="D69" i="24"/>
  <c r="C62" i="21"/>
  <c r="C67" i="13" s="1"/>
  <c r="D67" i="13" s="1"/>
  <c r="E67" i="13" s="1"/>
  <c r="D61" i="21"/>
  <c r="F66" i="13" l="1"/>
  <c r="G67" i="13"/>
  <c r="C71" i="24"/>
  <c r="D70" i="24"/>
  <c r="C63" i="21"/>
  <c r="C68" i="13" s="1"/>
  <c r="D68" i="13" s="1"/>
  <c r="E68" i="13" s="1"/>
  <c r="D62" i="21"/>
  <c r="F67" i="13" l="1"/>
  <c r="G68" i="13"/>
  <c r="C72" i="24"/>
  <c r="D71" i="24"/>
  <c r="C64" i="21"/>
  <c r="C69" i="13" s="1"/>
  <c r="D69" i="13" s="1"/>
  <c r="E69" i="13" s="1"/>
  <c r="D63" i="21"/>
  <c r="F68" i="13" l="1"/>
  <c r="G69" i="13"/>
  <c r="C73" i="24"/>
  <c r="D72" i="24"/>
  <c r="C65" i="21"/>
  <c r="C70" i="13" s="1"/>
  <c r="D70" i="13" s="1"/>
  <c r="E70" i="13" s="1"/>
  <c r="D64" i="21"/>
  <c r="F69" i="13" l="1"/>
  <c r="G70" i="13"/>
  <c r="C74" i="24"/>
  <c r="D73" i="24"/>
  <c r="C66" i="21"/>
  <c r="C71" i="13" s="1"/>
  <c r="D71" i="13" s="1"/>
  <c r="E71" i="13" s="1"/>
  <c r="D65" i="21"/>
  <c r="F70" i="13" l="1"/>
  <c r="G71" i="13"/>
  <c r="C75" i="24"/>
  <c r="D74" i="24"/>
  <c r="C67" i="21"/>
  <c r="C72" i="13" s="1"/>
  <c r="D72" i="13" s="1"/>
  <c r="E72" i="13" s="1"/>
  <c r="D66" i="21"/>
  <c r="F71" i="13" l="1"/>
  <c r="G72" i="13"/>
  <c r="C76" i="24"/>
  <c r="D75" i="24"/>
  <c r="C68" i="21"/>
  <c r="C73" i="13" s="1"/>
  <c r="D73" i="13" s="1"/>
  <c r="E73" i="13" s="1"/>
  <c r="D67" i="21"/>
  <c r="F72" i="13" l="1"/>
  <c r="G73" i="13"/>
  <c r="C77" i="24"/>
  <c r="D76" i="24"/>
  <c r="C69" i="21"/>
  <c r="C74" i="13" s="1"/>
  <c r="D74" i="13" s="1"/>
  <c r="E74" i="13" s="1"/>
  <c r="D68" i="21"/>
  <c r="F73" i="13" l="1"/>
  <c r="G74" i="13"/>
  <c r="C78" i="24"/>
  <c r="D77" i="24"/>
  <c r="C70" i="21"/>
  <c r="C75" i="13" s="1"/>
  <c r="D75" i="13" s="1"/>
  <c r="E75" i="13" s="1"/>
  <c r="D69" i="21"/>
  <c r="F74" i="13" l="1"/>
  <c r="G75" i="13"/>
  <c r="C79" i="24"/>
  <c r="D78" i="24"/>
  <c r="C71" i="21"/>
  <c r="C76" i="13" s="1"/>
  <c r="D76" i="13" s="1"/>
  <c r="E76" i="13" s="1"/>
  <c r="D70" i="21"/>
  <c r="F75" i="13" l="1"/>
  <c r="G76" i="13"/>
  <c r="C80" i="24"/>
  <c r="D79" i="24"/>
  <c r="C72" i="21"/>
  <c r="C77" i="13" s="1"/>
  <c r="D77" i="13" s="1"/>
  <c r="E77" i="13" s="1"/>
  <c r="D71" i="21"/>
  <c r="F76" i="13" l="1"/>
  <c r="G77" i="13"/>
  <c r="C81" i="24"/>
  <c r="D80" i="24"/>
  <c r="C73" i="21"/>
  <c r="C78" i="13" s="1"/>
  <c r="D78" i="13" s="1"/>
  <c r="E78" i="13" s="1"/>
  <c r="D72" i="21"/>
  <c r="F77" i="13" l="1"/>
  <c r="G78" i="13"/>
  <c r="C82" i="24"/>
  <c r="D81" i="24"/>
  <c r="C74" i="21"/>
  <c r="C79" i="13" s="1"/>
  <c r="D79" i="13" s="1"/>
  <c r="E79" i="13" s="1"/>
  <c r="D73" i="21"/>
  <c r="F78" i="13" l="1"/>
  <c r="G79" i="13"/>
  <c r="C83" i="24"/>
  <c r="D82" i="24"/>
  <c r="C75" i="21"/>
  <c r="C80" i="13" s="1"/>
  <c r="D80" i="13" s="1"/>
  <c r="E80" i="13" s="1"/>
  <c r="D74" i="21"/>
  <c r="F79" i="13" l="1"/>
  <c r="G80" i="13"/>
  <c r="C84" i="24"/>
  <c r="D83" i="24"/>
  <c r="C76" i="21"/>
  <c r="C81" i="13" s="1"/>
  <c r="D81" i="13" s="1"/>
  <c r="E81" i="13" s="1"/>
  <c r="D75" i="21"/>
  <c r="F80" i="13" l="1"/>
  <c r="G81" i="13"/>
  <c r="C85" i="24"/>
  <c r="D84" i="24"/>
  <c r="C77" i="21"/>
  <c r="C82" i="13" s="1"/>
  <c r="D82" i="13" s="1"/>
  <c r="E82" i="13" s="1"/>
  <c r="D76" i="21"/>
  <c r="F81" i="13" l="1"/>
  <c r="G82" i="13"/>
  <c r="C86" i="24"/>
  <c r="D85" i="24"/>
  <c r="C78" i="21"/>
  <c r="C83" i="13" s="1"/>
  <c r="D83" i="13" s="1"/>
  <c r="E83" i="13" s="1"/>
  <c r="D77" i="21"/>
  <c r="F82" i="13" l="1"/>
  <c r="G83" i="13"/>
  <c r="D86" i="24"/>
  <c r="C87" i="24"/>
  <c r="C79" i="21"/>
  <c r="C84" i="13" s="1"/>
  <c r="D84" i="13" s="1"/>
  <c r="E84" i="13" s="1"/>
  <c r="D78" i="21"/>
  <c r="F83" i="13" l="1"/>
  <c r="G84" i="13"/>
  <c r="C88" i="24"/>
  <c r="D87" i="24"/>
  <c r="C80" i="21"/>
  <c r="C85" i="13" s="1"/>
  <c r="D85" i="13" s="1"/>
  <c r="E85" i="13" s="1"/>
  <c r="D79" i="21"/>
  <c r="F84" i="13" l="1"/>
  <c r="G85" i="13"/>
  <c r="D88" i="24"/>
  <c r="C89" i="24"/>
  <c r="C81" i="21"/>
  <c r="C86" i="13" s="1"/>
  <c r="D86" i="13" s="1"/>
  <c r="E86" i="13" s="1"/>
  <c r="D80" i="21"/>
  <c r="F85" i="13" l="1"/>
  <c r="G86" i="13"/>
  <c r="C90" i="24"/>
  <c r="D89" i="24"/>
  <c r="C82" i="21"/>
  <c r="C87" i="13" s="1"/>
  <c r="D87" i="13" s="1"/>
  <c r="E87" i="13" s="1"/>
  <c r="D81" i="21"/>
  <c r="F86" i="13" l="1"/>
  <c r="G87" i="13"/>
  <c r="C91" i="24"/>
  <c r="D90" i="24"/>
  <c r="C83" i="21"/>
  <c r="C88" i="13" s="1"/>
  <c r="D88" i="13" s="1"/>
  <c r="E88" i="13" s="1"/>
  <c r="D82" i="21"/>
  <c r="F87" i="13" l="1"/>
  <c r="G88" i="13"/>
  <c r="C92" i="24"/>
  <c r="D91" i="24"/>
  <c r="C84" i="21"/>
  <c r="C89" i="13" s="1"/>
  <c r="D89" i="13" s="1"/>
  <c r="E89" i="13" s="1"/>
  <c r="D83" i="21"/>
  <c r="F88" i="13" l="1"/>
  <c r="G89" i="13"/>
  <c r="C93" i="24"/>
  <c r="D92" i="24"/>
  <c r="C85" i="21"/>
  <c r="C90" i="13" s="1"/>
  <c r="D90" i="13" s="1"/>
  <c r="E90" i="13" s="1"/>
  <c r="D84" i="21"/>
  <c r="F89" i="13" l="1"/>
  <c r="G90" i="13"/>
  <c r="C94" i="24"/>
  <c r="D93" i="24"/>
  <c r="C86" i="21"/>
  <c r="C91" i="13" s="1"/>
  <c r="D91" i="13" s="1"/>
  <c r="E91" i="13" s="1"/>
  <c r="D85" i="21"/>
  <c r="F90" i="13" l="1"/>
  <c r="G91" i="13"/>
  <c r="C95" i="24"/>
  <c r="D94" i="24"/>
  <c r="C87" i="21"/>
  <c r="C92" i="13" s="1"/>
  <c r="D92" i="13" s="1"/>
  <c r="E92" i="13" s="1"/>
  <c r="D86" i="21"/>
  <c r="F91" i="13" l="1"/>
  <c r="G92" i="13"/>
  <c r="C96" i="24"/>
  <c r="D95" i="24"/>
  <c r="C88" i="21"/>
  <c r="C93" i="13" s="1"/>
  <c r="D93" i="13" s="1"/>
  <c r="E93" i="13" s="1"/>
  <c r="D87" i="21"/>
  <c r="F92" i="13" l="1"/>
  <c r="G93" i="13"/>
  <c r="D96" i="24"/>
  <c r="C97" i="24"/>
  <c r="C89" i="21"/>
  <c r="C94" i="13" s="1"/>
  <c r="D94" i="13" s="1"/>
  <c r="E94" i="13" s="1"/>
  <c r="D88" i="21"/>
  <c r="F93" i="13" l="1"/>
  <c r="G94" i="13"/>
  <c r="C98" i="24"/>
  <c r="D97" i="24"/>
  <c r="C90" i="21"/>
  <c r="C95" i="13" s="1"/>
  <c r="D95" i="13" s="1"/>
  <c r="E95" i="13" s="1"/>
  <c r="D89" i="21"/>
  <c r="F94" i="13" l="1"/>
  <c r="G95" i="13"/>
  <c r="C99" i="24"/>
  <c r="D98" i="24"/>
  <c r="C91" i="21"/>
  <c r="C96" i="13" s="1"/>
  <c r="D96" i="13" s="1"/>
  <c r="E96" i="13" s="1"/>
  <c r="D90" i="21"/>
  <c r="F95" i="13" l="1"/>
  <c r="G96" i="13"/>
  <c r="C100" i="24"/>
  <c r="D99" i="24"/>
  <c r="C92" i="21"/>
  <c r="C97" i="13" s="1"/>
  <c r="D97" i="13" s="1"/>
  <c r="E97" i="13" s="1"/>
  <c r="D91" i="21"/>
  <c r="F96" i="13" l="1"/>
  <c r="G97" i="13"/>
  <c r="C101" i="24"/>
  <c r="D100" i="24"/>
  <c r="C93" i="21"/>
  <c r="C98" i="13" s="1"/>
  <c r="D98" i="13" s="1"/>
  <c r="D92" i="21"/>
  <c r="F97" i="13" l="1"/>
  <c r="E98" i="13"/>
  <c r="C102" i="24"/>
  <c r="D101" i="24"/>
  <c r="C94" i="21"/>
  <c r="C99" i="13" s="1"/>
  <c r="D99" i="13" s="1"/>
  <c r="E99" i="13" s="1"/>
  <c r="D93" i="21"/>
  <c r="G99" i="13" l="1"/>
  <c r="G98" i="13"/>
  <c r="C103" i="24"/>
  <c r="D102" i="24"/>
  <c r="C95" i="21"/>
  <c r="C100" i="13" s="1"/>
  <c r="D100" i="13" s="1"/>
  <c r="E100" i="13" s="1"/>
  <c r="D94" i="21"/>
  <c r="F98" i="13" l="1"/>
  <c r="F99" i="13"/>
  <c r="G100" i="13"/>
  <c r="C104" i="24"/>
  <c r="D103" i="24"/>
  <c r="C96" i="21"/>
  <c r="C101" i="13" s="1"/>
  <c r="D101" i="13" s="1"/>
  <c r="E101" i="13" s="1"/>
  <c r="D95" i="21"/>
  <c r="F100" i="13" l="1"/>
  <c r="G101" i="13"/>
  <c r="D104" i="24"/>
  <c r="C105" i="24"/>
  <c r="C97" i="21"/>
  <c r="C102" i="13" s="1"/>
  <c r="D102" i="13" s="1"/>
  <c r="E102" i="13" s="1"/>
  <c r="D96" i="21"/>
  <c r="F101" i="13" l="1"/>
  <c r="G102" i="13"/>
  <c r="C106" i="24"/>
  <c r="D105" i="24"/>
  <c r="C98" i="21"/>
  <c r="C103" i="13" s="1"/>
  <c r="D103" i="13" s="1"/>
  <c r="E103" i="13" s="1"/>
  <c r="D97" i="21"/>
  <c r="F102" i="13" l="1"/>
  <c r="G103" i="13"/>
  <c r="C107" i="24"/>
  <c r="D106" i="24"/>
  <c r="C99" i="21"/>
  <c r="C104" i="13" s="1"/>
  <c r="D104" i="13" s="1"/>
  <c r="E104" i="13" s="1"/>
  <c r="D98" i="21"/>
  <c r="F103" i="13" l="1"/>
  <c r="G104" i="13"/>
  <c r="C108" i="24"/>
  <c r="D107" i="24"/>
  <c r="C100" i="21"/>
  <c r="C105" i="13" s="1"/>
  <c r="D105" i="13" s="1"/>
  <c r="E105" i="13" s="1"/>
  <c r="D99" i="21"/>
  <c r="F104" i="13" l="1"/>
  <c r="G105" i="13"/>
  <c r="C109" i="24"/>
  <c r="D108" i="24"/>
  <c r="C101" i="21"/>
  <c r="C106" i="13" s="1"/>
  <c r="D106" i="13" s="1"/>
  <c r="E106" i="13" s="1"/>
  <c r="D100" i="21"/>
  <c r="F105" i="13" l="1"/>
  <c r="G106" i="13"/>
  <c r="C110" i="24"/>
  <c r="D109" i="24"/>
  <c r="C102" i="21"/>
  <c r="C107" i="13" s="1"/>
  <c r="D107" i="13" s="1"/>
  <c r="E107" i="13" s="1"/>
  <c r="D101" i="21"/>
  <c r="F106" i="13" l="1"/>
  <c r="G107" i="13"/>
  <c r="C111" i="24"/>
  <c r="D110" i="24"/>
  <c r="C103" i="21"/>
  <c r="C108" i="13" s="1"/>
  <c r="D108" i="13" s="1"/>
  <c r="E108" i="13" s="1"/>
  <c r="D102" i="21"/>
  <c r="F107" i="13" l="1"/>
  <c r="G108" i="13"/>
  <c r="D111" i="24"/>
  <c r="C112" i="24"/>
  <c r="C104" i="21"/>
  <c r="C109" i="13" s="1"/>
  <c r="D109" i="13" s="1"/>
  <c r="E109" i="13" s="1"/>
  <c r="D103" i="21"/>
  <c r="F108" i="13" l="1"/>
  <c r="G109" i="13"/>
  <c r="C113" i="24"/>
  <c r="D112" i="24"/>
  <c r="C105" i="21"/>
  <c r="C110" i="13" s="1"/>
  <c r="D110" i="13" s="1"/>
  <c r="E110" i="13" s="1"/>
  <c r="D104" i="21"/>
  <c r="F109" i="13" l="1"/>
  <c r="G110" i="13"/>
  <c r="D113" i="24"/>
  <c r="C114" i="24"/>
  <c r="C106" i="21"/>
  <c r="C111" i="13" s="1"/>
  <c r="D111" i="13" s="1"/>
  <c r="E111" i="13" s="1"/>
  <c r="D105" i="21"/>
  <c r="F110" i="13" l="1"/>
  <c r="G111" i="13"/>
  <c r="C115" i="24"/>
  <c r="D114" i="24"/>
  <c r="C107" i="21"/>
  <c r="C112" i="13" s="1"/>
  <c r="D112" i="13" s="1"/>
  <c r="E112" i="13" s="1"/>
  <c r="D106" i="21"/>
  <c r="F111" i="13" l="1"/>
  <c r="G112" i="13"/>
  <c r="D115" i="24"/>
  <c r="C116" i="24"/>
  <c r="C108" i="21"/>
  <c r="C113" i="13" s="1"/>
  <c r="D113" i="13" s="1"/>
  <c r="E113" i="13" s="1"/>
  <c r="D107" i="21"/>
  <c r="F112" i="13" l="1"/>
  <c r="G113" i="13"/>
  <c r="C117" i="24"/>
  <c r="D116" i="24"/>
  <c r="C109" i="21"/>
  <c r="C114" i="13" s="1"/>
  <c r="D114" i="13" s="1"/>
  <c r="E114" i="13" s="1"/>
  <c r="D108" i="21"/>
  <c r="F113" i="13" l="1"/>
  <c r="G114" i="13"/>
  <c r="C118" i="24"/>
  <c r="D117" i="24"/>
  <c r="C110" i="21"/>
  <c r="C115" i="13" s="1"/>
  <c r="D115" i="13" s="1"/>
  <c r="E115" i="13" s="1"/>
  <c r="D109" i="21"/>
  <c r="F114" i="13" l="1"/>
  <c r="G115" i="13"/>
  <c r="C119" i="24"/>
  <c r="D118" i="24"/>
  <c r="C111" i="21"/>
  <c r="C116" i="13" s="1"/>
  <c r="D116" i="13" s="1"/>
  <c r="E116" i="13" s="1"/>
  <c r="D110" i="21"/>
  <c r="F115" i="13" l="1"/>
  <c r="G116" i="13"/>
  <c r="C120" i="24"/>
  <c r="D119" i="24"/>
  <c r="C112" i="21"/>
  <c r="C117" i="13" s="1"/>
  <c r="D117" i="13" s="1"/>
  <c r="E117" i="13" s="1"/>
  <c r="D111" i="21"/>
  <c r="F116" i="13" l="1"/>
  <c r="G117" i="13"/>
  <c r="C121" i="24"/>
  <c r="D120" i="24"/>
  <c r="C113" i="21"/>
  <c r="C118" i="13" s="1"/>
  <c r="D118" i="13" s="1"/>
  <c r="E118" i="13" s="1"/>
  <c r="D112" i="21"/>
  <c r="F117" i="13" l="1"/>
  <c r="G118" i="13"/>
  <c r="D121" i="24"/>
  <c r="C122" i="24"/>
  <c r="C114" i="21"/>
  <c r="C119" i="13" s="1"/>
  <c r="D119" i="13" s="1"/>
  <c r="E119" i="13" s="1"/>
  <c r="D113" i="21"/>
  <c r="F118" i="13" l="1"/>
  <c r="G119" i="13"/>
  <c r="C123" i="24"/>
  <c r="D122" i="24"/>
  <c r="C115" i="21"/>
  <c r="C120" i="13" s="1"/>
  <c r="D120" i="13" s="1"/>
  <c r="E120" i="13" s="1"/>
  <c r="D114" i="21"/>
  <c r="F119" i="13" l="1"/>
  <c r="G120" i="13"/>
  <c r="C124" i="24"/>
  <c r="D123" i="24"/>
  <c r="C116" i="21"/>
  <c r="C121" i="13" s="1"/>
  <c r="D121" i="13" s="1"/>
  <c r="E121" i="13" s="1"/>
  <c r="G121" i="13" s="1"/>
  <c r="D115" i="21"/>
  <c r="F120" i="13" l="1"/>
  <c r="F121" i="13"/>
  <c r="D124" i="24"/>
  <c r="C125" i="24"/>
  <c r="C117" i="21"/>
  <c r="C122" i="13" s="1"/>
  <c r="D122" i="13" s="1"/>
  <c r="E122" i="13" s="1"/>
  <c r="G122" i="13" s="1"/>
  <c r="D116" i="21"/>
  <c r="C126" i="24" l="1"/>
  <c r="D125" i="24"/>
  <c r="D117" i="21"/>
  <c r="C118" i="21"/>
  <c r="C123" i="13" s="1"/>
  <c r="D123" i="13" s="1"/>
  <c r="E123" i="13" s="1"/>
  <c r="G123" i="13" s="1"/>
  <c r="F122" i="13" l="1"/>
  <c r="K34" i="13" s="1"/>
  <c r="K35" i="13" s="1"/>
  <c r="L34" i="13"/>
  <c r="L35" i="13" s="1"/>
  <c r="O18" i="21" s="1"/>
  <c r="F123" i="13"/>
  <c r="D126" i="24"/>
  <c r="C127" i="24"/>
  <c r="C119" i="21"/>
  <c r="C124" i="13" s="1"/>
  <c r="D124" i="13" s="1"/>
  <c r="E124" i="13" s="1"/>
  <c r="D118" i="21"/>
  <c r="G124" i="13" l="1"/>
  <c r="R35" i="13"/>
  <c r="P18" i="21"/>
  <c r="Y14" i="21"/>
  <c r="Z14" i="21"/>
  <c r="W14" i="21"/>
  <c r="X14" i="21"/>
  <c r="C128" i="24"/>
  <c r="D127" i="24"/>
  <c r="C120" i="21"/>
  <c r="C125" i="13" s="1"/>
  <c r="D125" i="13" s="1"/>
  <c r="D119" i="21"/>
  <c r="F124" i="13" l="1"/>
  <c r="E125" i="13"/>
  <c r="G125" i="13" s="1"/>
  <c r="Y13" i="21"/>
  <c r="Y12" i="21" s="1"/>
  <c r="Z13" i="21"/>
  <c r="Z15" i="21" s="1"/>
  <c r="W13" i="21"/>
  <c r="W12" i="21" s="1"/>
  <c r="O19" i="21"/>
  <c r="O16" i="21" s="1"/>
  <c r="X13" i="21"/>
  <c r="X12" i="21" s="1"/>
  <c r="Q35" i="13"/>
  <c r="O19" i="24" s="1"/>
  <c r="P19" i="21"/>
  <c r="P17" i="21" s="1"/>
  <c r="N27" i="21"/>
  <c r="AB27" i="21" s="1"/>
  <c r="Z14" i="24"/>
  <c r="X14" i="24"/>
  <c r="W14" i="24"/>
  <c r="Y14" i="24"/>
  <c r="O18" i="24"/>
  <c r="P18" i="24"/>
  <c r="C129" i="24"/>
  <c r="D128" i="24"/>
  <c r="C121" i="21"/>
  <c r="C126" i="13" s="1"/>
  <c r="D126" i="13" s="1"/>
  <c r="E126" i="13" s="1"/>
  <c r="D120" i="21"/>
  <c r="F125" i="13" l="1"/>
  <c r="K37" i="13" s="1"/>
  <c r="K38" i="13" s="1"/>
  <c r="O27" i="21"/>
  <c r="AC27" i="21" s="1"/>
  <c r="P19" i="24"/>
  <c r="O27" i="24" s="1"/>
  <c r="AC27" i="24" s="1"/>
  <c r="W13" i="24"/>
  <c r="W12" i="24" s="1"/>
  <c r="X13" i="24"/>
  <c r="X12" i="24" s="1"/>
  <c r="Z13" i="24"/>
  <c r="Z15" i="24" s="1"/>
  <c r="Y13" i="24"/>
  <c r="Y12" i="24" s="1"/>
  <c r="L37" i="13"/>
  <c r="L38" i="13" s="1"/>
  <c r="R38" i="13" s="1"/>
  <c r="G126" i="13"/>
  <c r="L27" i="21"/>
  <c r="M27" i="21"/>
  <c r="AA27" i="21" s="1"/>
  <c r="N27" i="24"/>
  <c r="AB27" i="24" s="1"/>
  <c r="O16" i="24"/>
  <c r="L27" i="24" s="1"/>
  <c r="Z27" i="24" s="1"/>
  <c r="C130" i="24"/>
  <c r="D129" i="24"/>
  <c r="C122" i="21"/>
  <c r="C127" i="13" s="1"/>
  <c r="D127" i="13" s="1"/>
  <c r="E127" i="13" s="1"/>
  <c r="D121" i="21"/>
  <c r="J28" i="21" l="1"/>
  <c r="X28" i="21" s="1"/>
  <c r="Z27" i="21"/>
  <c r="F126" i="13"/>
  <c r="AE19" i="21"/>
  <c r="AD19" i="21"/>
  <c r="Q38" i="13"/>
  <c r="AD19" i="24" s="1"/>
  <c r="P17" i="24"/>
  <c r="M27" i="24" s="1"/>
  <c r="AA27" i="24" s="1"/>
  <c r="AE18" i="21"/>
  <c r="AD18" i="21"/>
  <c r="G127" i="13"/>
  <c r="M28" i="21"/>
  <c r="AA28" i="21" s="1"/>
  <c r="K28" i="21"/>
  <c r="Y28" i="21" s="1"/>
  <c r="O28" i="21"/>
  <c r="AC28" i="21" s="1"/>
  <c r="H28" i="21"/>
  <c r="V28" i="21" s="1"/>
  <c r="P28" i="21"/>
  <c r="AD28" i="21" s="1"/>
  <c r="I28" i="21"/>
  <c r="R27" i="21"/>
  <c r="L28" i="21"/>
  <c r="Z28" i="21" s="1"/>
  <c r="G28" i="21"/>
  <c r="U28" i="21" s="1"/>
  <c r="N28" i="21"/>
  <c r="AB28" i="21" s="1"/>
  <c r="E28" i="21"/>
  <c r="F28" i="21"/>
  <c r="AF27" i="21"/>
  <c r="AH27" i="21" s="1"/>
  <c r="AE18" i="24"/>
  <c r="AD18" i="24"/>
  <c r="C131" i="24"/>
  <c r="D130" i="24"/>
  <c r="C123" i="21"/>
  <c r="C128" i="13" s="1"/>
  <c r="D128" i="13" s="1"/>
  <c r="E128" i="13" s="1"/>
  <c r="D122" i="21"/>
  <c r="AM28" i="21" l="1"/>
  <c r="S28" i="21"/>
  <c r="AD16" i="24"/>
  <c r="F127" i="13"/>
  <c r="AD16" i="21"/>
  <c r="AE17" i="21"/>
  <c r="AE19" i="24"/>
  <c r="AE17" i="24" s="1"/>
  <c r="AL28" i="21"/>
  <c r="W28" i="21"/>
  <c r="AF27" i="24"/>
  <c r="AH27" i="24" s="1"/>
  <c r="AJ27" i="24" s="1"/>
  <c r="I28" i="24"/>
  <c r="M28" i="24"/>
  <c r="AA28" i="24" s="1"/>
  <c r="F28" i="24"/>
  <c r="T28" i="24" s="1"/>
  <c r="R27" i="24"/>
  <c r="G28" i="24"/>
  <c r="U28" i="24" s="1"/>
  <c r="P28" i="24"/>
  <c r="AD28" i="24" s="1"/>
  <c r="O28" i="24"/>
  <c r="AC28" i="24" s="1"/>
  <c r="L28" i="24"/>
  <c r="Z28" i="24" s="1"/>
  <c r="J28" i="24"/>
  <c r="X28" i="24" s="1"/>
  <c r="H28" i="24"/>
  <c r="V28" i="24" s="1"/>
  <c r="N28" i="24"/>
  <c r="AB28" i="24" s="1"/>
  <c r="K28" i="24"/>
  <c r="Y28" i="24" s="1"/>
  <c r="E28" i="24"/>
  <c r="G128" i="13"/>
  <c r="AJ27" i="21"/>
  <c r="AK27" i="21"/>
  <c r="AI27" i="21"/>
  <c r="AG28" i="21"/>
  <c r="L29" i="21"/>
  <c r="Z29" i="21" s="1"/>
  <c r="M29" i="21"/>
  <c r="AA29" i="21" s="1"/>
  <c r="T28" i="21"/>
  <c r="AF28" i="21"/>
  <c r="O29" i="21"/>
  <c r="AC29" i="21" s="1"/>
  <c r="H29" i="21"/>
  <c r="V29" i="21" s="1"/>
  <c r="P29" i="21"/>
  <c r="AD29" i="21" s="1"/>
  <c r="E29" i="21"/>
  <c r="AG29" i="21" s="1"/>
  <c r="K29" i="21"/>
  <c r="Y29" i="21" s="1"/>
  <c r="G29" i="21"/>
  <c r="U29" i="21" s="1"/>
  <c r="N29" i="21"/>
  <c r="AB29" i="21" s="1"/>
  <c r="R28" i="21"/>
  <c r="F29" i="21"/>
  <c r="T29" i="21" s="1"/>
  <c r="I29" i="21"/>
  <c r="J29" i="21"/>
  <c r="X29" i="21" s="1"/>
  <c r="C132" i="24"/>
  <c r="D131" i="24"/>
  <c r="C124" i="21"/>
  <c r="C129" i="13" s="1"/>
  <c r="D129" i="13" s="1"/>
  <c r="E129" i="13" s="1"/>
  <c r="D123" i="21"/>
  <c r="AM28" i="24" l="1"/>
  <c r="AM29" i="21"/>
  <c r="F128" i="13"/>
  <c r="AL29" i="21"/>
  <c r="AL28" i="24"/>
  <c r="W28" i="24"/>
  <c r="W29" i="21"/>
  <c r="AI27" i="24"/>
  <c r="AK27" i="24"/>
  <c r="AF28" i="24"/>
  <c r="K29" i="24"/>
  <c r="Y29" i="24" s="1"/>
  <c r="M29" i="24"/>
  <c r="AA29" i="24" s="1"/>
  <c r="N29" i="24"/>
  <c r="AB29" i="24" s="1"/>
  <c r="G29" i="24"/>
  <c r="U29" i="24" s="1"/>
  <c r="AG28" i="24"/>
  <c r="P29" i="24"/>
  <c r="AD29" i="24" s="1"/>
  <c r="I29" i="24"/>
  <c r="E29" i="24"/>
  <c r="AG29" i="24" s="1"/>
  <c r="J29" i="24"/>
  <c r="X29" i="24" s="1"/>
  <c r="L29" i="24"/>
  <c r="Z29" i="24" s="1"/>
  <c r="H29" i="24"/>
  <c r="V29" i="24" s="1"/>
  <c r="O29" i="24"/>
  <c r="AC29" i="24" s="1"/>
  <c r="S28" i="24"/>
  <c r="R28" i="24"/>
  <c r="F29" i="24"/>
  <c r="T29" i="24" s="1"/>
  <c r="G129" i="13"/>
  <c r="AH28" i="21"/>
  <c r="M30" i="21"/>
  <c r="AA30" i="21" s="1"/>
  <c r="K30" i="21"/>
  <c r="Y30" i="21" s="1"/>
  <c r="P30" i="21"/>
  <c r="AD30" i="21" s="1"/>
  <c r="AF29" i="21"/>
  <c r="AH29" i="21" s="1"/>
  <c r="L30" i="21"/>
  <c r="Z30" i="21" s="1"/>
  <c r="F30" i="21"/>
  <c r="T30" i="21" s="1"/>
  <c r="O30" i="21"/>
  <c r="AC30" i="21" s="1"/>
  <c r="N30" i="21"/>
  <c r="AB30" i="21" s="1"/>
  <c r="R29" i="21"/>
  <c r="I30" i="21"/>
  <c r="H30" i="21"/>
  <c r="V30" i="21" s="1"/>
  <c r="E30" i="21"/>
  <c r="AG30" i="21" s="1"/>
  <c r="J30" i="21"/>
  <c r="X30" i="21" s="1"/>
  <c r="S29" i="21"/>
  <c r="G30" i="21"/>
  <c r="U30" i="21" s="1"/>
  <c r="C133" i="24"/>
  <c r="D132" i="24"/>
  <c r="C125" i="21"/>
  <c r="C130" i="13" s="1"/>
  <c r="D130" i="13" s="1"/>
  <c r="E130" i="13" s="1"/>
  <c r="D124" i="21"/>
  <c r="AM30" i="21" l="1"/>
  <c r="AM29" i="24"/>
  <c r="F129" i="13"/>
  <c r="AL30" i="21"/>
  <c r="AL29" i="24"/>
  <c r="W29" i="24"/>
  <c r="W30" i="21"/>
  <c r="S29" i="24"/>
  <c r="AH28" i="24"/>
  <c r="AI28" i="24" s="1"/>
  <c r="G30" i="24"/>
  <c r="U30" i="24" s="1"/>
  <c r="J30" i="24"/>
  <c r="X30" i="24" s="1"/>
  <c r="H30" i="24"/>
  <c r="V30" i="24" s="1"/>
  <c r="R29" i="24"/>
  <c r="AF29" i="24"/>
  <c r="AH29" i="24" s="1"/>
  <c r="AI29" i="24" s="1"/>
  <c r="E30" i="24"/>
  <c r="AG30" i="24" s="1"/>
  <c r="N30" i="24"/>
  <c r="AB30" i="24" s="1"/>
  <c r="L30" i="24"/>
  <c r="Z30" i="24" s="1"/>
  <c r="P30" i="24"/>
  <c r="AD30" i="24" s="1"/>
  <c r="O30" i="24"/>
  <c r="AC30" i="24" s="1"/>
  <c r="K30" i="24"/>
  <c r="Y30" i="24" s="1"/>
  <c r="I30" i="24"/>
  <c r="M30" i="24"/>
  <c r="AA30" i="24" s="1"/>
  <c r="F30" i="24"/>
  <c r="T30" i="24" s="1"/>
  <c r="G130" i="13"/>
  <c r="AJ29" i="21"/>
  <c r="AK29" i="21"/>
  <c r="AI29" i="21"/>
  <c r="AK28" i="21"/>
  <c r="AJ28" i="21"/>
  <c r="AI28" i="21"/>
  <c r="H31" i="21"/>
  <c r="V31" i="21" s="1"/>
  <c r="R30" i="21"/>
  <c r="M31" i="21"/>
  <c r="AA31" i="21" s="1"/>
  <c r="K31" i="21"/>
  <c r="Y31" i="21" s="1"/>
  <c r="N31" i="21"/>
  <c r="AB31" i="21" s="1"/>
  <c r="S30" i="21"/>
  <c r="P31" i="21"/>
  <c r="AD31" i="21" s="1"/>
  <c r="F31" i="21"/>
  <c r="T31" i="21" s="1"/>
  <c r="AF30" i="21"/>
  <c r="AH30" i="21" s="1"/>
  <c r="G31" i="21"/>
  <c r="E31" i="21"/>
  <c r="AG31" i="21" s="1"/>
  <c r="I31" i="21"/>
  <c r="L31" i="21"/>
  <c r="Z31" i="21" s="1"/>
  <c r="J31" i="21"/>
  <c r="X31" i="21" s="1"/>
  <c r="O31" i="21"/>
  <c r="AC31" i="21" s="1"/>
  <c r="C134" i="24"/>
  <c r="D133" i="24"/>
  <c r="C126" i="21"/>
  <c r="C131" i="13" s="1"/>
  <c r="D131" i="13" s="1"/>
  <c r="E131" i="13" s="1"/>
  <c r="D125" i="21"/>
  <c r="AM30" i="24" l="1"/>
  <c r="AM31" i="21"/>
  <c r="F130" i="13"/>
  <c r="AL31" i="21"/>
  <c r="AL30" i="24"/>
  <c r="W30" i="24"/>
  <c r="W31" i="21"/>
  <c r="AK28" i="24"/>
  <c r="AJ28" i="24"/>
  <c r="S30" i="24"/>
  <c r="AF30" i="24"/>
  <c r="AH30" i="24" s="1"/>
  <c r="AJ30" i="24" s="1"/>
  <c r="F31" i="24"/>
  <c r="T31" i="24" s="1"/>
  <c r="O31" i="24"/>
  <c r="AC31" i="24" s="1"/>
  <c r="N31" i="24"/>
  <c r="AB31" i="24" s="1"/>
  <c r="E31" i="24"/>
  <c r="J31" i="24"/>
  <c r="X31" i="24" s="1"/>
  <c r="I31" i="24"/>
  <c r="R30" i="24"/>
  <c r="H31" i="24"/>
  <c r="V31" i="24" s="1"/>
  <c r="P31" i="24"/>
  <c r="AD31" i="24" s="1"/>
  <c r="M31" i="24"/>
  <c r="AA31" i="24" s="1"/>
  <c r="G31" i="24"/>
  <c r="U31" i="24" s="1"/>
  <c r="K31" i="24"/>
  <c r="Y31" i="24" s="1"/>
  <c r="L31" i="24"/>
  <c r="Z31" i="24" s="1"/>
  <c r="G131" i="13"/>
  <c r="AI30" i="21"/>
  <c r="AJ30" i="21"/>
  <c r="AK30" i="21"/>
  <c r="S31" i="21"/>
  <c r="AF31" i="21"/>
  <c r="AH31" i="21" s="1"/>
  <c r="O32" i="21"/>
  <c r="AC32" i="21" s="1"/>
  <c r="I32" i="21"/>
  <c r="L32" i="21"/>
  <c r="Z32" i="21" s="1"/>
  <c r="F32" i="21"/>
  <c r="T32" i="21" s="1"/>
  <c r="K32" i="21"/>
  <c r="Y32" i="21" s="1"/>
  <c r="H32" i="21"/>
  <c r="V32" i="21" s="1"/>
  <c r="N32" i="21"/>
  <c r="AB32" i="21" s="1"/>
  <c r="J32" i="21"/>
  <c r="X32" i="21" s="1"/>
  <c r="R31" i="21"/>
  <c r="U31" i="21"/>
  <c r="M32" i="21"/>
  <c r="AA32" i="21" s="1"/>
  <c r="E32" i="21"/>
  <c r="G32" i="21"/>
  <c r="U32" i="21" s="1"/>
  <c r="P32" i="21"/>
  <c r="AD32" i="21" s="1"/>
  <c r="AK29" i="24"/>
  <c r="AJ29" i="24"/>
  <c r="C135" i="24"/>
  <c r="D134" i="24"/>
  <c r="C127" i="21"/>
  <c r="C132" i="13" s="1"/>
  <c r="D132" i="13" s="1"/>
  <c r="D126" i="21"/>
  <c r="AM31" i="24" l="1"/>
  <c r="AM32" i="21"/>
  <c r="F131" i="13"/>
  <c r="AL32" i="21"/>
  <c r="AL31" i="24"/>
  <c r="W31" i="24"/>
  <c r="W32" i="21"/>
  <c r="AI30" i="24"/>
  <c r="AK30" i="24"/>
  <c r="M32" i="24"/>
  <c r="AA32" i="24" s="1"/>
  <c r="AF31" i="24"/>
  <c r="L32" i="24"/>
  <c r="Z32" i="24" s="1"/>
  <c r="O32" i="24"/>
  <c r="AC32" i="24" s="1"/>
  <c r="G32" i="24"/>
  <c r="U32" i="24" s="1"/>
  <c r="E32" i="24"/>
  <c r="AG32" i="24" s="1"/>
  <c r="S31" i="24"/>
  <c r="AG31" i="24"/>
  <c r="F32" i="24"/>
  <c r="T32" i="24" s="1"/>
  <c r="H32" i="24"/>
  <c r="V32" i="24" s="1"/>
  <c r="P32" i="24"/>
  <c r="AD32" i="24" s="1"/>
  <c r="N32" i="24"/>
  <c r="AB32" i="24" s="1"/>
  <c r="I32" i="24"/>
  <c r="K32" i="24"/>
  <c r="Y32" i="24" s="1"/>
  <c r="J32" i="24"/>
  <c r="X32" i="24" s="1"/>
  <c r="R31" i="24"/>
  <c r="AJ31" i="21"/>
  <c r="AK31" i="21"/>
  <c r="AI31" i="21"/>
  <c r="F33" i="21"/>
  <c r="T33" i="21" s="1"/>
  <c r="P33" i="21"/>
  <c r="AD33" i="21" s="1"/>
  <c r="H33" i="21"/>
  <c r="V33" i="21" s="1"/>
  <c r="O33" i="21"/>
  <c r="AC33" i="21" s="1"/>
  <c r="E33" i="21"/>
  <c r="S33" i="21" s="1"/>
  <c r="AG32" i="21"/>
  <c r="I33" i="21"/>
  <c r="S32" i="21"/>
  <c r="AF32" i="21"/>
  <c r="L33" i="21"/>
  <c r="Z33" i="21" s="1"/>
  <c r="G33" i="21"/>
  <c r="U33" i="21" s="1"/>
  <c r="J33" i="21"/>
  <c r="X33" i="21" s="1"/>
  <c r="N33" i="21"/>
  <c r="AB33" i="21" s="1"/>
  <c r="M33" i="21"/>
  <c r="AA33" i="21" s="1"/>
  <c r="R32" i="21"/>
  <c r="K33" i="21"/>
  <c r="Y33" i="21" s="1"/>
  <c r="E132" i="13"/>
  <c r="C136" i="24"/>
  <c r="D136" i="24" s="1"/>
  <c r="D135" i="24"/>
  <c r="D127" i="21"/>
  <c r="C128" i="21"/>
  <c r="C133" i="13" s="1"/>
  <c r="D133" i="13" s="1"/>
  <c r="E133" i="13" s="1"/>
  <c r="AM32" i="24" l="1"/>
  <c r="AM33" i="21"/>
  <c r="AL33" i="21"/>
  <c r="AL32" i="24"/>
  <c r="W32" i="24"/>
  <c r="W33" i="21"/>
  <c r="AH31" i="24"/>
  <c r="AK31" i="24" s="1"/>
  <c r="S32" i="24"/>
  <c r="AF32" i="24"/>
  <c r="AH32" i="24" s="1"/>
  <c r="AJ32" i="24" s="1"/>
  <c r="P33" i="24"/>
  <c r="AD33" i="24" s="1"/>
  <c r="G33" i="24"/>
  <c r="U33" i="24" s="1"/>
  <c r="K33" i="24"/>
  <c r="Y33" i="24" s="1"/>
  <c r="J33" i="24"/>
  <c r="X33" i="24" s="1"/>
  <c r="H33" i="24"/>
  <c r="V33" i="24" s="1"/>
  <c r="E33" i="24"/>
  <c r="AG33" i="24" s="1"/>
  <c r="F33" i="24"/>
  <c r="M33" i="24"/>
  <c r="AA33" i="24" s="1"/>
  <c r="L33" i="24"/>
  <c r="Z33" i="24" s="1"/>
  <c r="O33" i="24"/>
  <c r="AC33" i="24" s="1"/>
  <c r="I33" i="24"/>
  <c r="N33" i="24"/>
  <c r="AB33" i="24" s="1"/>
  <c r="R32" i="24"/>
  <c r="G133" i="13"/>
  <c r="G132" i="13"/>
  <c r="AH32" i="21"/>
  <c r="AG33" i="21"/>
  <c r="J34" i="21"/>
  <c r="X34" i="21" s="1"/>
  <c r="I34" i="21"/>
  <c r="O34" i="21"/>
  <c r="AC34" i="21" s="1"/>
  <c r="K34" i="21"/>
  <c r="Y34" i="21" s="1"/>
  <c r="F34" i="21"/>
  <c r="T34" i="21" s="1"/>
  <c r="P34" i="21"/>
  <c r="AD34" i="21" s="1"/>
  <c r="E34" i="21"/>
  <c r="S34" i="21" s="1"/>
  <c r="M34" i="21"/>
  <c r="AA34" i="21" s="1"/>
  <c r="AF33" i="21"/>
  <c r="N34" i="21"/>
  <c r="AB34" i="21" s="1"/>
  <c r="H34" i="21"/>
  <c r="V34" i="21" s="1"/>
  <c r="R33" i="21"/>
  <c r="G34" i="21"/>
  <c r="U34" i="21" s="1"/>
  <c r="L34" i="21"/>
  <c r="Z34" i="21" s="1"/>
  <c r="C129" i="21"/>
  <c r="C134" i="13" s="1"/>
  <c r="D134" i="13" s="1"/>
  <c r="E134" i="13" s="1"/>
  <c r="D128" i="21"/>
  <c r="AM33" i="24" l="1"/>
  <c r="AM34" i="21"/>
  <c r="F132" i="13"/>
  <c r="F133" i="13"/>
  <c r="AL34" i="21"/>
  <c r="AL33" i="24"/>
  <c r="W33" i="24"/>
  <c r="W34" i="21"/>
  <c r="AI31" i="24"/>
  <c r="AJ31" i="24"/>
  <c r="AK32" i="24"/>
  <c r="AI32" i="24"/>
  <c r="AF33" i="24"/>
  <c r="AH33" i="24" s="1"/>
  <c r="AK33" i="24" s="1"/>
  <c r="T33" i="24"/>
  <c r="H34" i="24"/>
  <c r="V34" i="24" s="1"/>
  <c r="P34" i="24"/>
  <c r="AD34" i="24" s="1"/>
  <c r="R33" i="24"/>
  <c r="N34" i="24"/>
  <c r="AB34" i="24" s="1"/>
  <c r="O34" i="24"/>
  <c r="AC34" i="24" s="1"/>
  <c r="K34" i="24"/>
  <c r="Y34" i="24" s="1"/>
  <c r="S33" i="24"/>
  <c r="J34" i="24"/>
  <c r="X34" i="24" s="1"/>
  <c r="F34" i="24"/>
  <c r="T34" i="24" s="1"/>
  <c r="I34" i="24"/>
  <c r="L34" i="24"/>
  <c r="Z34" i="24" s="1"/>
  <c r="M34" i="24"/>
  <c r="AA34" i="24" s="1"/>
  <c r="E34" i="24"/>
  <c r="S34" i="24" s="1"/>
  <c r="G34" i="24"/>
  <c r="U34" i="24" s="1"/>
  <c r="G134" i="13"/>
  <c r="AK32" i="21"/>
  <c r="AI32" i="21"/>
  <c r="AJ32" i="21"/>
  <c r="AH33" i="21"/>
  <c r="AG34" i="21"/>
  <c r="P35" i="21"/>
  <c r="AD35" i="21" s="1"/>
  <c r="L35" i="21"/>
  <c r="Z35" i="21" s="1"/>
  <c r="K35" i="21"/>
  <c r="Y35" i="21" s="1"/>
  <c r="O35" i="21"/>
  <c r="AC35" i="21" s="1"/>
  <c r="R34" i="21"/>
  <c r="J35" i="21"/>
  <c r="X35" i="21" s="1"/>
  <c r="E35" i="21"/>
  <c r="G35" i="21"/>
  <c r="U35" i="21" s="1"/>
  <c r="AF34" i="21"/>
  <c r="M35" i="21"/>
  <c r="AA35" i="21" s="1"/>
  <c r="F35" i="21"/>
  <c r="T35" i="21" s="1"/>
  <c r="N35" i="21"/>
  <c r="AB35" i="21" s="1"/>
  <c r="I35" i="21"/>
  <c r="H35" i="21"/>
  <c r="V35" i="21" s="1"/>
  <c r="D129" i="21"/>
  <c r="C130" i="21"/>
  <c r="C135" i="13" s="1"/>
  <c r="D135" i="13" s="1"/>
  <c r="AM34" i="24" l="1"/>
  <c r="AM35" i="21"/>
  <c r="F134" i="13"/>
  <c r="AL35" i="21"/>
  <c r="AL34" i="24"/>
  <c r="W34" i="24"/>
  <c r="W35" i="21"/>
  <c r="AF34" i="24"/>
  <c r="K35" i="24"/>
  <c r="Y35" i="24" s="1"/>
  <c r="P35" i="24"/>
  <c r="AD35" i="24" s="1"/>
  <c r="E35" i="24"/>
  <c r="S35" i="24" s="1"/>
  <c r="AG34" i="24"/>
  <c r="L35" i="24"/>
  <c r="Z35" i="24" s="1"/>
  <c r="M35" i="24"/>
  <c r="AA35" i="24" s="1"/>
  <c r="J35" i="24"/>
  <c r="X35" i="24" s="1"/>
  <c r="H35" i="24"/>
  <c r="V35" i="24" s="1"/>
  <c r="R34" i="24"/>
  <c r="N35" i="24"/>
  <c r="AB35" i="24" s="1"/>
  <c r="F35" i="24"/>
  <c r="T35" i="24" s="1"/>
  <c r="O35" i="24"/>
  <c r="AC35" i="24" s="1"/>
  <c r="G35" i="24"/>
  <c r="U35" i="24" s="1"/>
  <c r="I35" i="24"/>
  <c r="AI33" i="21"/>
  <c r="AJ33" i="21"/>
  <c r="AK33" i="21"/>
  <c r="AH34" i="21"/>
  <c r="R35" i="21"/>
  <c r="F36" i="21"/>
  <c r="T36" i="21" s="1"/>
  <c r="E36" i="21"/>
  <c r="S36" i="21" s="1"/>
  <c r="J36" i="21"/>
  <c r="X36" i="21" s="1"/>
  <c r="H36" i="21"/>
  <c r="V36" i="21" s="1"/>
  <c r="AG35" i="21"/>
  <c r="O36" i="21"/>
  <c r="AC36" i="21" s="1"/>
  <c r="P36" i="21"/>
  <c r="AD36" i="21" s="1"/>
  <c r="S35" i="21"/>
  <c r="G36" i="21"/>
  <c r="U36" i="21" s="1"/>
  <c r="M36" i="21"/>
  <c r="AA36" i="21" s="1"/>
  <c r="I36" i="21"/>
  <c r="L36" i="21"/>
  <c r="Z36" i="21" s="1"/>
  <c r="N36" i="21"/>
  <c r="AB36" i="21" s="1"/>
  <c r="K36" i="21"/>
  <c r="Y36" i="21" s="1"/>
  <c r="AF35" i="21"/>
  <c r="AI33" i="24"/>
  <c r="AJ33" i="24"/>
  <c r="E135" i="13"/>
  <c r="D130" i="21"/>
  <c r="C131" i="21"/>
  <c r="C136" i="13" s="1"/>
  <c r="D136" i="13" s="1"/>
  <c r="E136" i="13" s="1"/>
  <c r="AM35" i="24" l="1"/>
  <c r="AM36" i="21"/>
  <c r="AL36" i="21"/>
  <c r="AL35" i="24"/>
  <c r="W35" i="24"/>
  <c r="W36" i="21"/>
  <c r="AG35" i="24"/>
  <c r="AH34" i="24"/>
  <c r="AK34" i="24" s="1"/>
  <c r="AF35" i="24"/>
  <c r="E36" i="24"/>
  <c r="AG36" i="24" s="1"/>
  <c r="L36" i="24"/>
  <c r="Z36" i="24" s="1"/>
  <c r="J36" i="24"/>
  <c r="X36" i="24" s="1"/>
  <c r="G36" i="24"/>
  <c r="U36" i="24" s="1"/>
  <c r="P36" i="24"/>
  <c r="AD36" i="24" s="1"/>
  <c r="M36" i="24"/>
  <c r="AA36" i="24" s="1"/>
  <c r="H36" i="24"/>
  <c r="V36" i="24" s="1"/>
  <c r="R35" i="24"/>
  <c r="I36" i="24"/>
  <c r="K36" i="24"/>
  <c r="Y36" i="24" s="1"/>
  <c r="N36" i="24"/>
  <c r="AB36" i="24" s="1"/>
  <c r="F36" i="24"/>
  <c r="T36" i="24" s="1"/>
  <c r="O36" i="24"/>
  <c r="AC36" i="24" s="1"/>
  <c r="G135" i="13"/>
  <c r="G136" i="13"/>
  <c r="AG36" i="21"/>
  <c r="AI34" i="21"/>
  <c r="AK34" i="21"/>
  <c r="AJ34" i="21"/>
  <c r="AH35" i="21"/>
  <c r="H37" i="21"/>
  <c r="V37" i="21" s="1"/>
  <c r="K37" i="21"/>
  <c r="Y37" i="21" s="1"/>
  <c r="R36" i="21"/>
  <c r="P37" i="21"/>
  <c r="AD37" i="21" s="1"/>
  <c r="O37" i="21"/>
  <c r="AC37" i="21" s="1"/>
  <c r="G37" i="21"/>
  <c r="U37" i="21" s="1"/>
  <c r="I37" i="21"/>
  <c r="F37" i="21"/>
  <c r="T37" i="21" s="1"/>
  <c r="L37" i="21"/>
  <c r="Z37" i="21" s="1"/>
  <c r="N37" i="21"/>
  <c r="AB37" i="21" s="1"/>
  <c r="AF36" i="21"/>
  <c r="M37" i="21"/>
  <c r="AA37" i="21" s="1"/>
  <c r="J37" i="21"/>
  <c r="X37" i="21" s="1"/>
  <c r="E37" i="21"/>
  <c r="AG37" i="21" s="1"/>
  <c r="C132" i="21"/>
  <c r="C137" i="13" s="1"/>
  <c r="D137" i="13" s="1"/>
  <c r="E137" i="13" s="1"/>
  <c r="D131" i="21"/>
  <c r="AM36" i="24" l="1"/>
  <c r="AM37" i="21"/>
  <c r="F136" i="13"/>
  <c r="F135" i="13"/>
  <c r="AL37" i="21"/>
  <c r="AL36" i="24"/>
  <c r="W36" i="24"/>
  <c r="S36" i="24"/>
  <c r="W37" i="21"/>
  <c r="AH35" i="24"/>
  <c r="AK35" i="24" s="1"/>
  <c r="AI34" i="24"/>
  <c r="AJ34" i="24"/>
  <c r="E37" i="24"/>
  <c r="S37" i="24" s="1"/>
  <c r="I37" i="24"/>
  <c r="R36" i="24"/>
  <c r="L37" i="24"/>
  <c r="Z37" i="24" s="1"/>
  <c r="P37" i="24"/>
  <c r="AD37" i="24" s="1"/>
  <c r="J37" i="24"/>
  <c r="X37" i="24" s="1"/>
  <c r="G37" i="24"/>
  <c r="U37" i="24" s="1"/>
  <c r="F37" i="24"/>
  <c r="T37" i="24" s="1"/>
  <c r="O37" i="24"/>
  <c r="AC37" i="24" s="1"/>
  <c r="N37" i="24"/>
  <c r="AB37" i="24" s="1"/>
  <c r="K37" i="24"/>
  <c r="Y37" i="24" s="1"/>
  <c r="H37" i="24"/>
  <c r="V37" i="24" s="1"/>
  <c r="M37" i="24"/>
  <c r="AA37" i="24" s="1"/>
  <c r="AF36" i="24"/>
  <c r="AH36" i="24" s="1"/>
  <c r="AK36" i="24" s="1"/>
  <c r="G137" i="13"/>
  <c r="AH36" i="21"/>
  <c r="AI36" i="21" s="1"/>
  <c r="AJ35" i="21"/>
  <c r="AI35" i="21"/>
  <c r="AK35" i="21"/>
  <c r="F38" i="21"/>
  <c r="T38" i="21" s="1"/>
  <c r="O38" i="21"/>
  <c r="AC38" i="21" s="1"/>
  <c r="AF37" i="21"/>
  <c r="AH37" i="21" s="1"/>
  <c r="J38" i="21"/>
  <c r="X38" i="21" s="1"/>
  <c r="M38" i="21"/>
  <c r="AA38" i="21" s="1"/>
  <c r="N38" i="21"/>
  <c r="AB38" i="21" s="1"/>
  <c r="P38" i="21"/>
  <c r="AD38" i="21" s="1"/>
  <c r="R37" i="21"/>
  <c r="E38" i="21"/>
  <c r="AG38" i="21" s="1"/>
  <c r="K38" i="21"/>
  <c r="Y38" i="21" s="1"/>
  <c r="I38" i="21"/>
  <c r="S37" i="21"/>
  <c r="L38" i="21"/>
  <c r="Z38" i="21" s="1"/>
  <c r="G38" i="21"/>
  <c r="U38" i="21" s="1"/>
  <c r="H38" i="21"/>
  <c r="V38" i="21" s="1"/>
  <c r="D132" i="21"/>
  <c r="C133" i="21"/>
  <c r="C138" i="13" s="1"/>
  <c r="D138" i="13" s="1"/>
  <c r="E138" i="13" s="1"/>
  <c r="AM37" i="24" l="1"/>
  <c r="AM38" i="21"/>
  <c r="F137" i="13"/>
  <c r="AL38" i="21"/>
  <c r="AL37" i="24"/>
  <c r="AI35" i="24"/>
  <c r="W37" i="24"/>
  <c r="AG37" i="24"/>
  <c r="W38" i="21"/>
  <c r="AJ35" i="24"/>
  <c r="H38" i="24"/>
  <c r="V38" i="24" s="1"/>
  <c r="AF37" i="24"/>
  <c r="R37" i="24"/>
  <c r="J38" i="24"/>
  <c r="X38" i="24" s="1"/>
  <c r="F38" i="24"/>
  <c r="T38" i="24" s="1"/>
  <c r="G38" i="24"/>
  <c r="U38" i="24" s="1"/>
  <c r="O38" i="24"/>
  <c r="AC38" i="24" s="1"/>
  <c r="P38" i="24"/>
  <c r="AD38" i="24" s="1"/>
  <c r="M38" i="24"/>
  <c r="AA38" i="24" s="1"/>
  <c r="K38" i="24"/>
  <c r="Y38" i="24" s="1"/>
  <c r="I38" i="24"/>
  <c r="N38" i="24"/>
  <c r="AB38" i="24" s="1"/>
  <c r="L38" i="24"/>
  <c r="Z38" i="24" s="1"/>
  <c r="E38" i="24"/>
  <c r="AG38" i="24" s="1"/>
  <c r="G138" i="13"/>
  <c r="AK36" i="21"/>
  <c r="AJ36" i="21"/>
  <c r="AJ37" i="21"/>
  <c r="AK37" i="21"/>
  <c r="AI37" i="21"/>
  <c r="O39" i="21"/>
  <c r="AC39" i="21" s="1"/>
  <c r="S38" i="21"/>
  <c r="N39" i="21"/>
  <c r="AB39" i="21" s="1"/>
  <c r="M39" i="21"/>
  <c r="AA39" i="21" s="1"/>
  <c r="K39" i="21"/>
  <c r="Y39" i="21" s="1"/>
  <c r="AF38" i="21"/>
  <c r="AH38" i="21" s="1"/>
  <c r="R38" i="21"/>
  <c r="P39" i="21"/>
  <c r="AD39" i="21" s="1"/>
  <c r="F39" i="21"/>
  <c r="T39" i="21" s="1"/>
  <c r="G39" i="21"/>
  <c r="U39" i="21" s="1"/>
  <c r="E39" i="21"/>
  <c r="H39" i="21"/>
  <c r="V39" i="21" s="1"/>
  <c r="L39" i="21"/>
  <c r="Z39" i="21" s="1"/>
  <c r="J39" i="21"/>
  <c r="X39" i="21" s="1"/>
  <c r="I39" i="21"/>
  <c r="AI36" i="24"/>
  <c r="AJ36" i="24"/>
  <c r="C134" i="21"/>
  <c r="C139" i="13" s="1"/>
  <c r="D139" i="13" s="1"/>
  <c r="E139" i="13" s="1"/>
  <c r="D133" i="21"/>
  <c r="AM38" i="24" l="1"/>
  <c r="AM39" i="21"/>
  <c r="F138" i="13"/>
  <c r="AL39" i="21"/>
  <c r="AL38" i="24"/>
  <c r="W38" i="24"/>
  <c r="AH37" i="24"/>
  <c r="AK37" i="24" s="1"/>
  <c r="W39" i="21"/>
  <c r="S38" i="24"/>
  <c r="E39" i="24"/>
  <c r="AG39" i="24" s="1"/>
  <c r="P39" i="24"/>
  <c r="AD39" i="24" s="1"/>
  <c r="AF38" i="24"/>
  <c r="AH38" i="24" s="1"/>
  <c r="AI38" i="24" s="1"/>
  <c r="J39" i="24"/>
  <c r="X39" i="24" s="1"/>
  <c r="K39" i="24"/>
  <c r="Y39" i="24" s="1"/>
  <c r="N39" i="24"/>
  <c r="AB39" i="24" s="1"/>
  <c r="H39" i="24"/>
  <c r="V39" i="24" s="1"/>
  <c r="I39" i="24"/>
  <c r="F39" i="24"/>
  <c r="T39" i="24" s="1"/>
  <c r="L39" i="24"/>
  <c r="Z39" i="24" s="1"/>
  <c r="O39" i="24"/>
  <c r="AC39" i="24" s="1"/>
  <c r="R38" i="24"/>
  <c r="G39" i="24"/>
  <c r="U39" i="24" s="1"/>
  <c r="M39" i="24"/>
  <c r="AA39" i="24" s="1"/>
  <c r="G139" i="13"/>
  <c r="AI38" i="21"/>
  <c r="AJ38" i="21"/>
  <c r="AK38" i="21"/>
  <c r="AF39" i="21"/>
  <c r="R39" i="21"/>
  <c r="G40" i="21"/>
  <c r="U40" i="21" s="1"/>
  <c r="H40" i="21"/>
  <c r="V40" i="21" s="1"/>
  <c r="I40" i="21"/>
  <c r="L40" i="21"/>
  <c r="Z40" i="21" s="1"/>
  <c r="J40" i="21"/>
  <c r="X40" i="21" s="1"/>
  <c r="O40" i="21"/>
  <c r="AC40" i="21" s="1"/>
  <c r="N40" i="21"/>
  <c r="AB40" i="21" s="1"/>
  <c r="S39" i="21"/>
  <c r="P40" i="21"/>
  <c r="AD40" i="21" s="1"/>
  <c r="AG39" i="21"/>
  <c r="F40" i="21"/>
  <c r="T40" i="21" s="1"/>
  <c r="E40" i="21"/>
  <c r="K40" i="21"/>
  <c r="Y40" i="21" s="1"/>
  <c r="M40" i="21"/>
  <c r="AA40" i="21" s="1"/>
  <c r="D134" i="21"/>
  <c r="C135" i="21"/>
  <c r="C140" i="13" s="1"/>
  <c r="D140" i="13" s="1"/>
  <c r="E140" i="13" s="1"/>
  <c r="AM39" i="24" l="1"/>
  <c r="AM40" i="21"/>
  <c r="F139" i="13"/>
  <c r="AL40" i="21"/>
  <c r="AL39" i="24"/>
  <c r="AJ37" i="24"/>
  <c r="AI37" i="24"/>
  <c r="W39" i="24"/>
  <c r="W40" i="21"/>
  <c r="S39" i="24"/>
  <c r="AF39" i="24"/>
  <c r="AH39" i="24" s="1"/>
  <c r="AK39" i="24" s="1"/>
  <c r="N40" i="24"/>
  <c r="AB40" i="24" s="1"/>
  <c r="M40" i="24"/>
  <c r="AA40" i="24" s="1"/>
  <c r="J40" i="24"/>
  <c r="X40" i="24" s="1"/>
  <c r="F40" i="24"/>
  <c r="T40" i="24" s="1"/>
  <c r="G40" i="24"/>
  <c r="U40" i="24" s="1"/>
  <c r="P40" i="24"/>
  <c r="AD40" i="24" s="1"/>
  <c r="E40" i="24"/>
  <c r="K40" i="24"/>
  <c r="Y40" i="24" s="1"/>
  <c r="R39" i="24"/>
  <c r="H40" i="24"/>
  <c r="V40" i="24" s="1"/>
  <c r="O40" i="24"/>
  <c r="AC40" i="24" s="1"/>
  <c r="I40" i="24"/>
  <c r="L40" i="24"/>
  <c r="Z40" i="24" s="1"/>
  <c r="G140" i="13"/>
  <c r="AH39" i="21"/>
  <c r="AJ38" i="24"/>
  <c r="AK38" i="24"/>
  <c r="L41" i="21"/>
  <c r="Z41" i="21" s="1"/>
  <c r="M41" i="21"/>
  <c r="AA41" i="21" s="1"/>
  <c r="I41" i="21"/>
  <c r="E41" i="21"/>
  <c r="S41" i="21" s="1"/>
  <c r="R40" i="21"/>
  <c r="P41" i="21"/>
  <c r="AD41" i="21" s="1"/>
  <c r="AF40" i="21"/>
  <c r="J41" i="21"/>
  <c r="X41" i="21" s="1"/>
  <c r="F41" i="21"/>
  <c r="T41" i="21" s="1"/>
  <c r="AG40" i="21"/>
  <c r="G41" i="21"/>
  <c r="U41" i="21" s="1"/>
  <c r="N41" i="21"/>
  <c r="AB41" i="21" s="1"/>
  <c r="S40" i="21"/>
  <c r="O41" i="21"/>
  <c r="AC41" i="21" s="1"/>
  <c r="H41" i="21"/>
  <c r="V41" i="21" s="1"/>
  <c r="K41" i="21"/>
  <c r="Y41" i="21" s="1"/>
  <c r="C136" i="21"/>
  <c r="D135" i="21"/>
  <c r="AM40" i="24" l="1"/>
  <c r="AM41" i="21"/>
  <c r="F140" i="13"/>
  <c r="AL41" i="21"/>
  <c r="AL40" i="24"/>
  <c r="W40" i="24"/>
  <c r="W41" i="21"/>
  <c r="AF40" i="24"/>
  <c r="I41" i="24"/>
  <c r="E41" i="24"/>
  <c r="S41" i="24" s="1"/>
  <c r="S40" i="24"/>
  <c r="P41" i="24"/>
  <c r="AD41" i="24" s="1"/>
  <c r="AG40" i="24"/>
  <c r="F41" i="24"/>
  <c r="H41" i="24"/>
  <c r="V41" i="24" s="1"/>
  <c r="O41" i="24"/>
  <c r="AC41" i="24" s="1"/>
  <c r="L41" i="24"/>
  <c r="Z41" i="24" s="1"/>
  <c r="R40" i="24"/>
  <c r="K41" i="24"/>
  <c r="Y41" i="24" s="1"/>
  <c r="M41" i="24"/>
  <c r="AA41" i="24" s="1"/>
  <c r="G41" i="24"/>
  <c r="U41" i="24" s="1"/>
  <c r="J41" i="24"/>
  <c r="X41" i="24" s="1"/>
  <c r="N41" i="24"/>
  <c r="AB41" i="24" s="1"/>
  <c r="AJ39" i="21"/>
  <c r="AK39" i="21"/>
  <c r="AI39" i="21"/>
  <c r="AG41" i="21"/>
  <c r="AH40" i="21"/>
  <c r="E42" i="21"/>
  <c r="AG42" i="21" s="1"/>
  <c r="N42" i="21"/>
  <c r="AB42" i="21" s="1"/>
  <c r="K42" i="21"/>
  <c r="Y42" i="21" s="1"/>
  <c r="J42" i="21"/>
  <c r="X42" i="21" s="1"/>
  <c r="F42" i="21"/>
  <c r="T42" i="21" s="1"/>
  <c r="P42" i="21"/>
  <c r="AD42" i="21" s="1"/>
  <c r="I42" i="21"/>
  <c r="O42" i="21"/>
  <c r="AC42" i="21" s="1"/>
  <c r="L42" i="21"/>
  <c r="Z42" i="21" s="1"/>
  <c r="AF41" i="21"/>
  <c r="R41" i="21"/>
  <c r="M42" i="21"/>
  <c r="AA42" i="21" s="1"/>
  <c r="H42" i="21"/>
  <c r="V42" i="21" s="1"/>
  <c r="G42" i="21"/>
  <c r="U42" i="21" s="1"/>
  <c r="AI39" i="24"/>
  <c r="AJ39" i="24"/>
  <c r="D136" i="21"/>
  <c r="C141" i="13"/>
  <c r="D141" i="13" s="1"/>
  <c r="E141" i="13" s="1"/>
  <c r="AM41" i="24" l="1"/>
  <c r="AM42" i="21"/>
  <c r="AL42" i="21"/>
  <c r="AL41" i="24"/>
  <c r="W41" i="24"/>
  <c r="AG41" i="24"/>
  <c r="W42" i="21"/>
  <c r="AH40" i="24"/>
  <c r="AK40" i="24" s="1"/>
  <c r="I42" i="24"/>
  <c r="H42" i="24"/>
  <c r="V42" i="24" s="1"/>
  <c r="R41" i="24"/>
  <c r="T41" i="24"/>
  <c r="G42" i="24"/>
  <c r="U42" i="24" s="1"/>
  <c r="L42" i="24"/>
  <c r="Z42" i="24" s="1"/>
  <c r="P42" i="24"/>
  <c r="AD42" i="24" s="1"/>
  <c r="N42" i="24"/>
  <c r="AB42" i="24" s="1"/>
  <c r="O42" i="24"/>
  <c r="AC42" i="24" s="1"/>
  <c r="F42" i="24"/>
  <c r="T42" i="24" s="1"/>
  <c r="J42" i="24"/>
  <c r="X42" i="24" s="1"/>
  <c r="AF41" i="24"/>
  <c r="E42" i="24"/>
  <c r="S42" i="24" s="1"/>
  <c r="K42" i="24"/>
  <c r="Y42" i="24" s="1"/>
  <c r="M42" i="24"/>
  <c r="AA42" i="24" s="1"/>
  <c r="G141" i="13"/>
  <c r="AH41" i="21"/>
  <c r="AK40" i="21"/>
  <c r="AI40" i="21"/>
  <c r="AJ40" i="21"/>
  <c r="S42" i="21"/>
  <c r="I43" i="21"/>
  <c r="G43" i="21"/>
  <c r="U43" i="21" s="1"/>
  <c r="K43" i="21"/>
  <c r="Y43" i="21" s="1"/>
  <c r="E43" i="21"/>
  <c r="AG43" i="21" s="1"/>
  <c r="F43" i="21"/>
  <c r="T43" i="21" s="1"/>
  <c r="P43" i="21"/>
  <c r="AD43" i="21" s="1"/>
  <c r="H43" i="21"/>
  <c r="V43" i="21" s="1"/>
  <c r="AF42" i="21"/>
  <c r="AH42" i="21" s="1"/>
  <c r="M43" i="21"/>
  <c r="AA43" i="21" s="1"/>
  <c r="N43" i="21"/>
  <c r="AB43" i="21" s="1"/>
  <c r="O43" i="21"/>
  <c r="AC43" i="21" s="1"/>
  <c r="L43" i="21"/>
  <c r="Z43" i="21" s="1"/>
  <c r="J43" i="21"/>
  <c r="X43" i="21" s="1"/>
  <c r="R42" i="21"/>
  <c r="AM42" i="24" l="1"/>
  <c r="AM43" i="21"/>
  <c r="F141" i="13"/>
  <c r="AL43" i="21"/>
  <c r="AH41" i="24"/>
  <c r="AI41" i="24" s="1"/>
  <c r="AL42" i="24"/>
  <c r="W42" i="24"/>
  <c r="W43" i="21"/>
  <c r="AJ40" i="24"/>
  <c r="AI40" i="24"/>
  <c r="AG42" i="24"/>
  <c r="AF42" i="24"/>
  <c r="E43" i="24"/>
  <c r="S43" i="24" s="1"/>
  <c r="R42" i="24"/>
  <c r="I43" i="24"/>
  <c r="G43" i="24"/>
  <c r="U43" i="24" s="1"/>
  <c r="K43" i="24"/>
  <c r="Y43" i="24" s="1"/>
  <c r="F43" i="24"/>
  <c r="T43" i="24" s="1"/>
  <c r="L43" i="24"/>
  <c r="Z43" i="24" s="1"/>
  <c r="J43" i="24"/>
  <c r="X43" i="24" s="1"/>
  <c r="N43" i="24"/>
  <c r="AB43" i="24" s="1"/>
  <c r="O43" i="24"/>
  <c r="AC43" i="24" s="1"/>
  <c r="P43" i="24"/>
  <c r="AD43" i="24" s="1"/>
  <c r="M43" i="24"/>
  <c r="AA43" i="24" s="1"/>
  <c r="H43" i="24"/>
  <c r="V43" i="24" s="1"/>
  <c r="AI42" i="21"/>
  <c r="AK42" i="21"/>
  <c r="AJ42" i="21"/>
  <c r="AI41" i="21"/>
  <c r="AJ41" i="21"/>
  <c r="AK41" i="21"/>
  <c r="S43" i="21"/>
  <c r="G44" i="21"/>
  <c r="U44" i="21" s="1"/>
  <c r="N44" i="21"/>
  <c r="AB44" i="21" s="1"/>
  <c r="AF43" i="21"/>
  <c r="AH43" i="21" s="1"/>
  <c r="P44" i="21"/>
  <c r="AD44" i="21" s="1"/>
  <c r="M44" i="21"/>
  <c r="AA44" i="21" s="1"/>
  <c r="K44" i="21"/>
  <c r="Y44" i="21" s="1"/>
  <c r="F44" i="21"/>
  <c r="T44" i="21" s="1"/>
  <c r="I44" i="21"/>
  <c r="J44" i="21"/>
  <c r="X44" i="21" s="1"/>
  <c r="E44" i="21"/>
  <c r="S44" i="21" s="1"/>
  <c r="O44" i="21"/>
  <c r="AC44" i="21" s="1"/>
  <c r="L44" i="21"/>
  <c r="Z44" i="21" s="1"/>
  <c r="R43" i="21"/>
  <c r="H44" i="21"/>
  <c r="V44" i="21" s="1"/>
  <c r="AK41" i="24" l="1"/>
  <c r="AM43" i="24"/>
  <c r="AM44" i="21"/>
  <c r="AJ41" i="24"/>
  <c r="AL44" i="21"/>
  <c r="AL43" i="24"/>
  <c r="W43" i="24"/>
  <c r="W44" i="21"/>
  <c r="AG43" i="24"/>
  <c r="AH42" i="24"/>
  <c r="AI42" i="24" s="1"/>
  <c r="J44" i="24"/>
  <c r="X44" i="24" s="1"/>
  <c r="H44" i="24"/>
  <c r="V44" i="24" s="1"/>
  <c r="AF43" i="24"/>
  <c r="G44" i="24"/>
  <c r="U44" i="24" s="1"/>
  <c r="K44" i="24"/>
  <c r="Y44" i="24" s="1"/>
  <c r="L44" i="24"/>
  <c r="Z44" i="24" s="1"/>
  <c r="R43" i="24"/>
  <c r="I44" i="24"/>
  <c r="M44" i="24"/>
  <c r="AA44" i="24" s="1"/>
  <c r="N44" i="24"/>
  <c r="AB44" i="24" s="1"/>
  <c r="E44" i="24"/>
  <c r="AG44" i="24" s="1"/>
  <c r="O44" i="24"/>
  <c r="AC44" i="24" s="1"/>
  <c r="F44" i="24"/>
  <c r="T44" i="24" s="1"/>
  <c r="P44" i="24"/>
  <c r="AD44" i="24" s="1"/>
  <c r="AJ43" i="21"/>
  <c r="AI43" i="21"/>
  <c r="AK43" i="21"/>
  <c r="AG44" i="21"/>
  <c r="M45" i="21"/>
  <c r="AA45" i="21" s="1"/>
  <c r="AF44" i="21"/>
  <c r="J45" i="21"/>
  <c r="X45" i="21" s="1"/>
  <c r="H45" i="21"/>
  <c r="V45" i="21" s="1"/>
  <c r="F45" i="21"/>
  <c r="T45" i="21" s="1"/>
  <c r="K45" i="21"/>
  <c r="Y45" i="21" s="1"/>
  <c r="R44" i="21"/>
  <c r="E45" i="21"/>
  <c r="S45" i="21" s="1"/>
  <c r="G45" i="21"/>
  <c r="U45" i="21" s="1"/>
  <c r="N45" i="21"/>
  <c r="AB45" i="21" s="1"/>
  <c r="I45" i="21"/>
  <c r="O45" i="21"/>
  <c r="AC45" i="21" s="1"/>
  <c r="P45" i="21"/>
  <c r="AD45" i="21" s="1"/>
  <c r="L45" i="21"/>
  <c r="Z45" i="21" s="1"/>
  <c r="AM44" i="24" l="1"/>
  <c r="AM45" i="21"/>
  <c r="AL45" i="21"/>
  <c r="AL44" i="24"/>
  <c r="W44" i="24"/>
  <c r="W45" i="21"/>
  <c r="AH43" i="24"/>
  <c r="AJ43" i="24" s="1"/>
  <c r="AK42" i="24"/>
  <c r="AJ42" i="24"/>
  <c r="S44" i="24"/>
  <c r="O45" i="24"/>
  <c r="AC45" i="24" s="1"/>
  <c r="N45" i="24"/>
  <c r="AB45" i="24" s="1"/>
  <c r="G45" i="24"/>
  <c r="U45" i="24" s="1"/>
  <c r="R44" i="24"/>
  <c r="I45" i="24"/>
  <c r="P45" i="24"/>
  <c r="AD45" i="24" s="1"/>
  <c r="E45" i="24"/>
  <c r="AG45" i="24" s="1"/>
  <c r="L45" i="24"/>
  <c r="Z45" i="24" s="1"/>
  <c r="K45" i="24"/>
  <c r="Y45" i="24" s="1"/>
  <c r="H45" i="24"/>
  <c r="V45" i="24" s="1"/>
  <c r="AF44" i="24"/>
  <c r="AH44" i="24" s="1"/>
  <c r="M45" i="24"/>
  <c r="AA45" i="24" s="1"/>
  <c r="F45" i="24"/>
  <c r="T45" i="24" s="1"/>
  <c r="J45" i="24"/>
  <c r="X45" i="24" s="1"/>
  <c r="AH44" i="21"/>
  <c r="AF45" i="21"/>
  <c r="E46" i="21"/>
  <c r="S46" i="21" s="1"/>
  <c r="F46" i="21"/>
  <c r="T46" i="21" s="1"/>
  <c r="N46" i="21"/>
  <c r="AB46" i="21" s="1"/>
  <c r="L46" i="21"/>
  <c r="Z46" i="21" s="1"/>
  <c r="H46" i="21"/>
  <c r="V46" i="21" s="1"/>
  <c r="I46" i="21"/>
  <c r="K46" i="21"/>
  <c r="Y46" i="21" s="1"/>
  <c r="O46" i="21"/>
  <c r="AC46" i="21" s="1"/>
  <c r="AG45" i="21"/>
  <c r="G46" i="21"/>
  <c r="U46" i="21" s="1"/>
  <c r="J46" i="21"/>
  <c r="X46" i="21" s="1"/>
  <c r="P46" i="21"/>
  <c r="AD46" i="21" s="1"/>
  <c r="R45" i="21"/>
  <c r="M46" i="21"/>
  <c r="AA46" i="21" s="1"/>
  <c r="AM45" i="24" l="1"/>
  <c r="AM46" i="21"/>
  <c r="AL46" i="21"/>
  <c r="AL45" i="24"/>
  <c r="W45" i="24"/>
  <c r="W46" i="21"/>
  <c r="AK43" i="24"/>
  <c r="AI43" i="24"/>
  <c r="S45" i="24"/>
  <c r="AF45" i="24"/>
  <c r="AH45" i="24" s="1"/>
  <c r="R45" i="24"/>
  <c r="G46" i="24"/>
  <c r="U46" i="24" s="1"/>
  <c r="P46" i="24"/>
  <c r="AD46" i="24" s="1"/>
  <c r="O46" i="24"/>
  <c r="AC46" i="24" s="1"/>
  <c r="L46" i="24"/>
  <c r="Z46" i="24" s="1"/>
  <c r="F46" i="24"/>
  <c r="T46" i="24" s="1"/>
  <c r="M46" i="24"/>
  <c r="AA46" i="24" s="1"/>
  <c r="K46" i="24"/>
  <c r="Y46" i="24" s="1"/>
  <c r="J46" i="24"/>
  <c r="X46" i="24" s="1"/>
  <c r="E46" i="24"/>
  <c r="S46" i="24" s="1"/>
  <c r="I46" i="24"/>
  <c r="H46" i="24"/>
  <c r="V46" i="24" s="1"/>
  <c r="N46" i="24"/>
  <c r="AB46" i="24" s="1"/>
  <c r="AK44" i="21"/>
  <c r="AI44" i="21"/>
  <c r="AJ44" i="21"/>
  <c r="AG46" i="21"/>
  <c r="AH45" i="21"/>
  <c r="E47" i="21"/>
  <c r="S47" i="21" s="1"/>
  <c r="G47" i="21"/>
  <c r="U47" i="21" s="1"/>
  <c r="AF46" i="21"/>
  <c r="H47" i="21"/>
  <c r="V47" i="21" s="1"/>
  <c r="N47" i="21"/>
  <c r="AB47" i="21" s="1"/>
  <c r="F47" i="21"/>
  <c r="T47" i="21" s="1"/>
  <c r="M47" i="21"/>
  <c r="AA47" i="21" s="1"/>
  <c r="K47" i="21"/>
  <c r="Y47" i="21" s="1"/>
  <c r="L47" i="21"/>
  <c r="Z47" i="21" s="1"/>
  <c r="R46" i="21"/>
  <c r="O47" i="21"/>
  <c r="AC47" i="21" s="1"/>
  <c r="I47" i="21"/>
  <c r="J47" i="21"/>
  <c r="X47" i="21" s="1"/>
  <c r="P47" i="21"/>
  <c r="AD47" i="21" s="1"/>
  <c r="AK44" i="24"/>
  <c r="AJ44" i="24"/>
  <c r="AI44" i="24"/>
  <c r="AM46" i="24" l="1"/>
  <c r="AM47" i="21"/>
  <c r="AL47" i="21"/>
  <c r="AL46" i="24"/>
  <c r="W46" i="24"/>
  <c r="W47" i="21"/>
  <c r="AG46" i="24"/>
  <c r="J47" i="24"/>
  <c r="X47" i="24" s="1"/>
  <c r="P47" i="24"/>
  <c r="AD47" i="24" s="1"/>
  <c r="M47" i="24"/>
  <c r="AA47" i="24" s="1"/>
  <c r="F47" i="24"/>
  <c r="T47" i="24" s="1"/>
  <c r="AF46" i="24"/>
  <c r="H47" i="24"/>
  <c r="V47" i="24" s="1"/>
  <c r="N47" i="24"/>
  <c r="AB47" i="24" s="1"/>
  <c r="G47" i="24"/>
  <c r="U47" i="24" s="1"/>
  <c r="K47" i="24"/>
  <c r="Y47" i="24" s="1"/>
  <c r="O47" i="24"/>
  <c r="AC47" i="24" s="1"/>
  <c r="L47" i="24"/>
  <c r="Z47" i="24" s="1"/>
  <c r="I47" i="24"/>
  <c r="R46" i="24"/>
  <c r="E47" i="24"/>
  <c r="AJ45" i="21"/>
  <c r="AK45" i="21"/>
  <c r="AI45" i="21"/>
  <c r="AH46" i="21"/>
  <c r="AG47" i="21"/>
  <c r="K48" i="21"/>
  <c r="Y48" i="21" s="1"/>
  <c r="M48" i="21"/>
  <c r="AA48" i="21" s="1"/>
  <c r="AF47" i="21"/>
  <c r="O48" i="21"/>
  <c r="AC48" i="21" s="1"/>
  <c r="L48" i="21"/>
  <c r="Z48" i="21" s="1"/>
  <c r="P48" i="21"/>
  <c r="AD48" i="21" s="1"/>
  <c r="H48" i="21"/>
  <c r="V48" i="21" s="1"/>
  <c r="G48" i="21"/>
  <c r="U48" i="21" s="1"/>
  <c r="J48" i="21"/>
  <c r="X48" i="21" s="1"/>
  <c r="R47" i="21"/>
  <c r="F48" i="21"/>
  <c r="T48" i="21" s="1"/>
  <c r="E48" i="21"/>
  <c r="S48" i="21" s="1"/>
  <c r="I48" i="21"/>
  <c r="N48" i="21"/>
  <c r="AB48" i="21" s="1"/>
  <c r="AK45" i="24"/>
  <c r="AJ45" i="24"/>
  <c r="AI45" i="24"/>
  <c r="AM47" i="24" l="1"/>
  <c r="AM48" i="21"/>
  <c r="AL48" i="21"/>
  <c r="AL47" i="24"/>
  <c r="W47" i="24"/>
  <c r="W48" i="21"/>
  <c r="AH46" i="24"/>
  <c r="AI46" i="24" s="1"/>
  <c r="AF47" i="24"/>
  <c r="F48" i="24"/>
  <c r="T48" i="24" s="1"/>
  <c r="J48" i="24"/>
  <c r="X48" i="24" s="1"/>
  <c r="S47" i="24"/>
  <c r="P48" i="24"/>
  <c r="AD48" i="24" s="1"/>
  <c r="O48" i="24"/>
  <c r="AC48" i="24" s="1"/>
  <c r="AG47" i="24"/>
  <c r="H48" i="24"/>
  <c r="V48" i="24" s="1"/>
  <c r="E48" i="24"/>
  <c r="AG48" i="24" s="1"/>
  <c r="R47" i="24"/>
  <c r="N48" i="24"/>
  <c r="AB48" i="24" s="1"/>
  <c r="G48" i="24"/>
  <c r="U48" i="24" s="1"/>
  <c r="I48" i="24"/>
  <c r="M48" i="24"/>
  <c r="AA48" i="24" s="1"/>
  <c r="L48" i="24"/>
  <c r="Z48" i="24" s="1"/>
  <c r="K48" i="24"/>
  <c r="Y48" i="24" s="1"/>
  <c r="AI46" i="21"/>
  <c r="AJ46" i="21"/>
  <c r="AK46" i="21"/>
  <c r="AH47" i="21"/>
  <c r="AG48" i="21"/>
  <c r="G49" i="21"/>
  <c r="U49" i="21" s="1"/>
  <c r="AF48" i="21"/>
  <c r="F49" i="21"/>
  <c r="T49" i="21" s="1"/>
  <c r="J49" i="21"/>
  <c r="X49" i="21" s="1"/>
  <c r="P49" i="21"/>
  <c r="AD49" i="21" s="1"/>
  <c r="N49" i="21"/>
  <c r="AB49" i="21" s="1"/>
  <c r="I49" i="21"/>
  <c r="O49" i="21"/>
  <c r="AC49" i="21" s="1"/>
  <c r="H49" i="21"/>
  <c r="V49" i="21" s="1"/>
  <c r="R48" i="21"/>
  <c r="K49" i="21"/>
  <c r="Y49" i="21" s="1"/>
  <c r="M49" i="21"/>
  <c r="AA49" i="21" s="1"/>
  <c r="E49" i="21"/>
  <c r="L49" i="21"/>
  <c r="Z49" i="21" s="1"/>
  <c r="AM48" i="24" l="1"/>
  <c r="AM49" i="21"/>
  <c r="AL49" i="21"/>
  <c r="AL48" i="24"/>
  <c r="W48" i="24"/>
  <c r="W49" i="21"/>
  <c r="AK46" i="24"/>
  <c r="AJ46" i="24"/>
  <c r="S48" i="24"/>
  <c r="AH47" i="24"/>
  <c r="AI47" i="24" s="1"/>
  <c r="AF48" i="24"/>
  <c r="AH48" i="24" s="1"/>
  <c r="AJ48" i="24" s="1"/>
  <c r="G49" i="24"/>
  <c r="U49" i="24" s="1"/>
  <c r="R48" i="24"/>
  <c r="N49" i="24"/>
  <c r="AB49" i="24" s="1"/>
  <c r="E49" i="24"/>
  <c r="AG49" i="24" s="1"/>
  <c r="K49" i="24"/>
  <c r="Y49" i="24" s="1"/>
  <c r="H49" i="24"/>
  <c r="V49" i="24" s="1"/>
  <c r="I49" i="24"/>
  <c r="L49" i="24"/>
  <c r="Z49" i="24" s="1"/>
  <c r="M49" i="24"/>
  <c r="AA49" i="24" s="1"/>
  <c r="F49" i="24"/>
  <c r="T49" i="24" s="1"/>
  <c r="J49" i="24"/>
  <c r="X49" i="24" s="1"/>
  <c r="P49" i="24"/>
  <c r="AD49" i="24" s="1"/>
  <c r="O49" i="24"/>
  <c r="AC49" i="24" s="1"/>
  <c r="AJ47" i="21"/>
  <c r="AK47" i="21"/>
  <c r="AI47" i="21"/>
  <c r="AH48" i="21"/>
  <c r="O50" i="21"/>
  <c r="AC50" i="21" s="1"/>
  <c r="AF49" i="21"/>
  <c r="F50" i="21"/>
  <c r="T50" i="21" s="1"/>
  <c r="G50" i="21"/>
  <c r="U50" i="21" s="1"/>
  <c r="L50" i="21"/>
  <c r="Z50" i="21" s="1"/>
  <c r="M50" i="21"/>
  <c r="AA50" i="21" s="1"/>
  <c r="R49" i="21"/>
  <c r="E50" i="21"/>
  <c r="S50" i="21" s="1"/>
  <c r="AG49" i="21"/>
  <c r="K50" i="21"/>
  <c r="Y50" i="21" s="1"/>
  <c r="I50" i="21"/>
  <c r="N50" i="21"/>
  <c r="AB50" i="21" s="1"/>
  <c r="H50" i="21"/>
  <c r="V50" i="21" s="1"/>
  <c r="J50" i="21"/>
  <c r="X50" i="21" s="1"/>
  <c r="P50" i="21"/>
  <c r="AD50" i="21" s="1"/>
  <c r="S49" i="21"/>
  <c r="AM49" i="24" l="1"/>
  <c r="AM50" i="21"/>
  <c r="AL50" i="21"/>
  <c r="AL49" i="24"/>
  <c r="W49" i="24"/>
  <c r="W50" i="21"/>
  <c r="AJ47" i="24"/>
  <c r="AK47" i="24"/>
  <c r="AI48" i="24"/>
  <c r="AK48" i="24"/>
  <c r="S49" i="24"/>
  <c r="O50" i="24"/>
  <c r="AC50" i="24" s="1"/>
  <c r="R49" i="24"/>
  <c r="H50" i="24"/>
  <c r="V50" i="24" s="1"/>
  <c r="N50" i="24"/>
  <c r="AB50" i="24" s="1"/>
  <c r="F50" i="24"/>
  <c r="T50" i="24" s="1"/>
  <c r="I50" i="24"/>
  <c r="M50" i="24"/>
  <c r="AA50" i="24" s="1"/>
  <c r="G50" i="24"/>
  <c r="U50" i="24" s="1"/>
  <c r="E50" i="24"/>
  <c r="AG50" i="24" s="1"/>
  <c r="AF49" i="24"/>
  <c r="AH49" i="24" s="1"/>
  <c r="L50" i="24"/>
  <c r="Z50" i="24" s="1"/>
  <c r="J50" i="24"/>
  <c r="X50" i="24" s="1"/>
  <c r="K50" i="24"/>
  <c r="Y50" i="24" s="1"/>
  <c r="P50" i="24"/>
  <c r="AD50" i="24" s="1"/>
  <c r="AK48" i="21"/>
  <c r="AI48" i="21"/>
  <c r="AJ48" i="21"/>
  <c r="AH49" i="21"/>
  <c r="I51" i="21"/>
  <c r="F51" i="21"/>
  <c r="T51" i="21" s="1"/>
  <c r="O51" i="21"/>
  <c r="AC51" i="21" s="1"/>
  <c r="J51" i="21"/>
  <c r="X51" i="21" s="1"/>
  <c r="P51" i="21"/>
  <c r="AD51" i="21" s="1"/>
  <c r="R50" i="21"/>
  <c r="L51" i="21"/>
  <c r="Z51" i="21" s="1"/>
  <c r="N51" i="21"/>
  <c r="AB51" i="21" s="1"/>
  <c r="G51" i="21"/>
  <c r="U51" i="21" s="1"/>
  <c r="M51" i="21"/>
  <c r="AA51" i="21" s="1"/>
  <c r="AG50" i="21"/>
  <c r="K51" i="21"/>
  <c r="Y51" i="21" s="1"/>
  <c r="H51" i="21"/>
  <c r="V51" i="21" s="1"/>
  <c r="E51" i="21"/>
  <c r="S51" i="21" s="1"/>
  <c r="AF50" i="21"/>
  <c r="AM50" i="24" l="1"/>
  <c r="AM51" i="21"/>
  <c r="AL51" i="21"/>
  <c r="AL50" i="24"/>
  <c r="W50" i="24"/>
  <c r="W51" i="21"/>
  <c r="S50" i="24"/>
  <c r="J51" i="24"/>
  <c r="X51" i="24" s="1"/>
  <c r="G51" i="24"/>
  <c r="U51" i="24" s="1"/>
  <c r="N51" i="24"/>
  <c r="AB51" i="24" s="1"/>
  <c r="E51" i="24"/>
  <c r="AG51" i="24" s="1"/>
  <c r="L51" i="24"/>
  <c r="Z51" i="24" s="1"/>
  <c r="AF50" i="24"/>
  <c r="AH50" i="24" s="1"/>
  <c r="AJ50" i="24" s="1"/>
  <c r="M51" i="24"/>
  <c r="AA51" i="24" s="1"/>
  <c r="H51" i="24"/>
  <c r="V51" i="24" s="1"/>
  <c r="I51" i="24"/>
  <c r="O51" i="24"/>
  <c r="AC51" i="24" s="1"/>
  <c r="P51" i="24"/>
  <c r="AD51" i="24" s="1"/>
  <c r="R50" i="24"/>
  <c r="K51" i="24"/>
  <c r="Y51" i="24" s="1"/>
  <c r="F51" i="24"/>
  <c r="AI49" i="21"/>
  <c r="AJ49" i="21"/>
  <c r="AK49" i="21"/>
  <c r="AG51" i="21"/>
  <c r="R51" i="21"/>
  <c r="J52" i="21"/>
  <c r="X52" i="21" s="1"/>
  <c r="N52" i="21"/>
  <c r="AB52" i="21" s="1"/>
  <c r="I52" i="21"/>
  <c r="AH50" i="21"/>
  <c r="H52" i="21"/>
  <c r="V52" i="21" s="1"/>
  <c r="K52" i="21"/>
  <c r="Y52" i="21" s="1"/>
  <c r="P52" i="21"/>
  <c r="AD52" i="21" s="1"/>
  <c r="AF51" i="21"/>
  <c r="L52" i="21"/>
  <c r="Z52" i="21" s="1"/>
  <c r="F52" i="21"/>
  <c r="T52" i="21" s="1"/>
  <c r="M52" i="21"/>
  <c r="AA52" i="21" s="1"/>
  <c r="E52" i="21"/>
  <c r="AG52" i="21" s="1"/>
  <c r="O52" i="21"/>
  <c r="AC52" i="21" s="1"/>
  <c r="G52" i="21"/>
  <c r="U52" i="21" s="1"/>
  <c r="AJ49" i="24"/>
  <c r="AK49" i="24"/>
  <c r="AI49" i="24"/>
  <c r="AM51" i="24" l="1"/>
  <c r="AM52" i="21"/>
  <c r="AL52" i="21"/>
  <c r="AL51" i="24"/>
  <c r="W51" i="24"/>
  <c r="W52" i="21"/>
  <c r="S51" i="24"/>
  <c r="T51" i="24"/>
  <c r="P52" i="24"/>
  <c r="AD52" i="24" s="1"/>
  <c r="AF51" i="24"/>
  <c r="AH51" i="24" s="1"/>
  <c r="F52" i="24"/>
  <c r="T52" i="24" s="1"/>
  <c r="H52" i="24"/>
  <c r="V52" i="24" s="1"/>
  <c r="L52" i="24"/>
  <c r="Z52" i="24" s="1"/>
  <c r="O52" i="24"/>
  <c r="AC52" i="24" s="1"/>
  <c r="K52" i="24"/>
  <c r="Y52" i="24" s="1"/>
  <c r="M52" i="24"/>
  <c r="AA52" i="24" s="1"/>
  <c r="R51" i="24"/>
  <c r="N52" i="24"/>
  <c r="AB52" i="24" s="1"/>
  <c r="J52" i="24"/>
  <c r="X52" i="24" s="1"/>
  <c r="I52" i="24"/>
  <c r="G52" i="24"/>
  <c r="U52" i="24" s="1"/>
  <c r="E52" i="24"/>
  <c r="S52" i="24" s="1"/>
  <c r="AI50" i="21"/>
  <c r="AK50" i="21"/>
  <c r="AJ50" i="21"/>
  <c r="AH51" i="21"/>
  <c r="P53" i="21"/>
  <c r="AD53" i="21" s="1"/>
  <c r="L53" i="21"/>
  <c r="Z53" i="21" s="1"/>
  <c r="J53" i="21"/>
  <c r="X53" i="21" s="1"/>
  <c r="I53" i="21"/>
  <c r="K53" i="21"/>
  <c r="Y53" i="21" s="1"/>
  <c r="E53" i="21"/>
  <c r="AG53" i="21" s="1"/>
  <c r="O53" i="21"/>
  <c r="AC53" i="21" s="1"/>
  <c r="R52" i="21"/>
  <c r="S52" i="21"/>
  <c r="N53" i="21"/>
  <c r="AB53" i="21" s="1"/>
  <c r="H53" i="21"/>
  <c r="V53" i="21" s="1"/>
  <c r="AF52" i="21"/>
  <c r="AH52" i="21" s="1"/>
  <c r="F53" i="21"/>
  <c r="T53" i="21" s="1"/>
  <c r="M53" i="21"/>
  <c r="AA53" i="21" s="1"/>
  <c r="G53" i="21"/>
  <c r="U53" i="21" s="1"/>
  <c r="AK50" i="24"/>
  <c r="AI50" i="24"/>
  <c r="AM52" i="24" l="1"/>
  <c r="AM53" i="21"/>
  <c r="AL53" i="21"/>
  <c r="AL52" i="24"/>
  <c r="W52" i="24"/>
  <c r="W53" i="21"/>
  <c r="R52" i="24"/>
  <c r="N53" i="24"/>
  <c r="AB53" i="24" s="1"/>
  <c r="AG52" i="24"/>
  <c r="O53" i="24"/>
  <c r="AC53" i="24" s="1"/>
  <c r="I53" i="24"/>
  <c r="E53" i="24"/>
  <c r="AG53" i="24" s="1"/>
  <c r="AF52" i="24"/>
  <c r="M53" i="24"/>
  <c r="AA53" i="24" s="1"/>
  <c r="F53" i="24"/>
  <c r="T53" i="24" s="1"/>
  <c r="H53" i="24"/>
  <c r="V53" i="24" s="1"/>
  <c r="P53" i="24"/>
  <c r="AD53" i="24" s="1"/>
  <c r="G53" i="24"/>
  <c r="U53" i="24" s="1"/>
  <c r="K53" i="24"/>
  <c r="Y53" i="24" s="1"/>
  <c r="J53" i="24"/>
  <c r="X53" i="24" s="1"/>
  <c r="L53" i="24"/>
  <c r="Z53" i="24" s="1"/>
  <c r="AI51" i="21"/>
  <c r="AJ51" i="21"/>
  <c r="AK51" i="21"/>
  <c r="AJ52" i="21"/>
  <c r="AK52" i="21"/>
  <c r="AI52" i="21"/>
  <c r="S53" i="21"/>
  <c r="M54" i="21"/>
  <c r="AA54" i="21" s="1"/>
  <c r="R53" i="21"/>
  <c r="N54" i="21"/>
  <c r="AB54" i="21" s="1"/>
  <c r="AF53" i="21"/>
  <c r="AH53" i="21" s="1"/>
  <c r="J54" i="21"/>
  <c r="X54" i="21" s="1"/>
  <c r="L54" i="21"/>
  <c r="Z54" i="21" s="1"/>
  <c r="G54" i="21"/>
  <c r="U54" i="21" s="1"/>
  <c r="H54" i="21"/>
  <c r="V54" i="21" s="1"/>
  <c r="P54" i="21"/>
  <c r="AD54" i="21" s="1"/>
  <c r="E54" i="21"/>
  <c r="S54" i="21" s="1"/>
  <c r="F54" i="21"/>
  <c r="K54" i="21"/>
  <c r="Y54" i="21" s="1"/>
  <c r="I54" i="21"/>
  <c r="O54" i="21"/>
  <c r="AC54" i="21" s="1"/>
  <c r="AI51" i="24"/>
  <c r="AJ51" i="24"/>
  <c r="AK51" i="24"/>
  <c r="AM53" i="24" l="1"/>
  <c r="AM54" i="21"/>
  <c r="AL54" i="21"/>
  <c r="AL53" i="24"/>
  <c r="W53" i="24"/>
  <c r="W54" i="21"/>
  <c r="AH52" i="24"/>
  <c r="AK52" i="24" s="1"/>
  <c r="S53" i="24"/>
  <c r="K54" i="24"/>
  <c r="Y54" i="24" s="1"/>
  <c r="O54" i="24"/>
  <c r="AC54" i="24" s="1"/>
  <c r="P54" i="24"/>
  <c r="AD54" i="24" s="1"/>
  <c r="F54" i="24"/>
  <c r="T54" i="24" s="1"/>
  <c r="L54" i="24"/>
  <c r="Z54" i="24" s="1"/>
  <c r="H54" i="24"/>
  <c r="V54" i="24" s="1"/>
  <c r="N54" i="24"/>
  <c r="AB54" i="24" s="1"/>
  <c r="M54" i="24"/>
  <c r="AA54" i="24" s="1"/>
  <c r="AF53" i="24"/>
  <c r="AH53" i="24" s="1"/>
  <c r="J54" i="24"/>
  <c r="X54" i="24" s="1"/>
  <c r="R53" i="24"/>
  <c r="I54" i="24"/>
  <c r="E54" i="24"/>
  <c r="AG54" i="24" s="1"/>
  <c r="G54" i="24"/>
  <c r="U54" i="24" s="1"/>
  <c r="AK53" i="21"/>
  <c r="AJ53" i="21"/>
  <c r="AI53" i="21"/>
  <c r="AG54" i="21"/>
  <c r="I55" i="21"/>
  <c r="E55" i="21"/>
  <c r="AG55" i="21" s="1"/>
  <c r="T54" i="21"/>
  <c r="P55" i="21"/>
  <c r="AD55" i="21" s="1"/>
  <c r="G55" i="21"/>
  <c r="U55" i="21" s="1"/>
  <c r="R54" i="21"/>
  <c r="AF54" i="21"/>
  <c r="F55" i="21"/>
  <c r="T55" i="21" s="1"/>
  <c r="H55" i="21"/>
  <c r="V55" i="21" s="1"/>
  <c r="J55" i="21"/>
  <c r="X55" i="21" s="1"/>
  <c r="L55" i="21"/>
  <c r="Z55" i="21" s="1"/>
  <c r="O55" i="21"/>
  <c r="AC55" i="21" s="1"/>
  <c r="N55" i="21"/>
  <c r="AB55" i="21" s="1"/>
  <c r="K55" i="21"/>
  <c r="Y55" i="21" s="1"/>
  <c r="M55" i="21"/>
  <c r="AA55" i="21" s="1"/>
  <c r="AM54" i="24" l="1"/>
  <c r="AM55" i="21"/>
  <c r="AL55" i="21"/>
  <c r="AL54" i="24"/>
  <c r="W54" i="24"/>
  <c r="W55" i="21"/>
  <c r="AJ52" i="24"/>
  <c r="AI52" i="24"/>
  <c r="S54" i="24"/>
  <c r="O55" i="24"/>
  <c r="AC55" i="24" s="1"/>
  <c r="G55" i="24"/>
  <c r="U55" i="24" s="1"/>
  <c r="M55" i="24"/>
  <c r="AA55" i="24" s="1"/>
  <c r="R54" i="24"/>
  <c r="P55" i="24"/>
  <c r="AD55" i="24" s="1"/>
  <c r="J55" i="24"/>
  <c r="X55" i="24" s="1"/>
  <c r="L55" i="24"/>
  <c r="Z55" i="24" s="1"/>
  <c r="E55" i="24"/>
  <c r="AG55" i="24" s="1"/>
  <c r="K55" i="24"/>
  <c r="Y55" i="24" s="1"/>
  <c r="N55" i="24"/>
  <c r="AB55" i="24" s="1"/>
  <c r="AF54" i="24"/>
  <c r="AH54" i="24" s="1"/>
  <c r="AI54" i="24" s="1"/>
  <c r="H55" i="24"/>
  <c r="V55" i="24" s="1"/>
  <c r="F55" i="24"/>
  <c r="T55" i="24" s="1"/>
  <c r="I55" i="24"/>
  <c r="S55" i="21"/>
  <c r="AH54" i="21"/>
  <c r="I56" i="21"/>
  <c r="M56" i="21"/>
  <c r="AA56" i="21" s="1"/>
  <c r="H56" i="21"/>
  <c r="V56" i="21" s="1"/>
  <c r="O56" i="21"/>
  <c r="AC56" i="21" s="1"/>
  <c r="J56" i="21"/>
  <c r="X56" i="21" s="1"/>
  <c r="E56" i="21"/>
  <c r="AG56" i="21" s="1"/>
  <c r="G56" i="21"/>
  <c r="U56" i="21" s="1"/>
  <c r="L56" i="21"/>
  <c r="Z56" i="21" s="1"/>
  <c r="AF55" i="21"/>
  <c r="AH55" i="21" s="1"/>
  <c r="P56" i="21"/>
  <c r="AD56" i="21" s="1"/>
  <c r="R55" i="21"/>
  <c r="F56" i="21"/>
  <c r="T56" i="21" s="1"/>
  <c r="N56" i="21"/>
  <c r="AB56" i="21" s="1"/>
  <c r="K56" i="21"/>
  <c r="Y56" i="21" s="1"/>
  <c r="AK53" i="24"/>
  <c r="AJ53" i="24"/>
  <c r="AI53" i="24"/>
  <c r="AM55" i="24" l="1"/>
  <c r="AM56" i="21"/>
  <c r="AL56" i="21"/>
  <c r="AL55" i="24"/>
  <c r="W55" i="24"/>
  <c r="W56" i="21"/>
  <c r="AF55" i="24"/>
  <c r="AH55" i="24" s="1"/>
  <c r="AI55" i="24" s="1"/>
  <c r="G56" i="24"/>
  <c r="U56" i="24" s="1"/>
  <c r="K56" i="24"/>
  <c r="Y56" i="24" s="1"/>
  <c r="M56" i="24"/>
  <c r="AA56" i="24" s="1"/>
  <c r="O56" i="24"/>
  <c r="AC56" i="24" s="1"/>
  <c r="S55" i="24"/>
  <c r="F56" i="24"/>
  <c r="T56" i="24" s="1"/>
  <c r="H56" i="24"/>
  <c r="V56" i="24" s="1"/>
  <c r="E56" i="24"/>
  <c r="R55" i="24"/>
  <c r="I56" i="24"/>
  <c r="P56" i="24"/>
  <c r="AD56" i="24" s="1"/>
  <c r="J56" i="24"/>
  <c r="X56" i="24" s="1"/>
  <c r="N56" i="24"/>
  <c r="AB56" i="24" s="1"/>
  <c r="L56" i="24"/>
  <c r="Z56" i="24" s="1"/>
  <c r="AK54" i="21"/>
  <c r="AI54" i="21"/>
  <c r="AJ54" i="21"/>
  <c r="AI55" i="21"/>
  <c r="AJ55" i="21"/>
  <c r="AK55" i="21"/>
  <c r="H57" i="21"/>
  <c r="V57" i="21" s="1"/>
  <c r="P57" i="21"/>
  <c r="AD57" i="21" s="1"/>
  <c r="R56" i="21"/>
  <c r="M57" i="21"/>
  <c r="AA57" i="21" s="1"/>
  <c r="G57" i="21"/>
  <c r="U57" i="21" s="1"/>
  <c r="F57" i="21"/>
  <c r="T57" i="21" s="1"/>
  <c r="I57" i="21"/>
  <c r="AF56" i="21"/>
  <c r="AH56" i="21" s="1"/>
  <c r="L57" i="21"/>
  <c r="Z57" i="21" s="1"/>
  <c r="J57" i="21"/>
  <c r="X57" i="21" s="1"/>
  <c r="E57" i="21"/>
  <c r="S57" i="21" s="1"/>
  <c r="S56" i="21"/>
  <c r="O57" i="21"/>
  <c r="AC57" i="21" s="1"/>
  <c r="N57" i="21"/>
  <c r="AB57" i="21" s="1"/>
  <c r="K57" i="21"/>
  <c r="Y57" i="21" s="1"/>
  <c r="AK54" i="24"/>
  <c r="AJ54" i="24"/>
  <c r="AM56" i="24" l="1"/>
  <c r="AM57" i="21"/>
  <c r="AL57" i="21"/>
  <c r="AL56" i="24"/>
  <c r="W56" i="24"/>
  <c r="W57" i="21"/>
  <c r="AF56" i="24"/>
  <c r="P57" i="24"/>
  <c r="AD57" i="24" s="1"/>
  <c r="K57" i="24"/>
  <c r="Y57" i="24" s="1"/>
  <c r="J57" i="24"/>
  <c r="X57" i="24" s="1"/>
  <c r="M57" i="24"/>
  <c r="AA57" i="24" s="1"/>
  <c r="F57" i="24"/>
  <c r="T57" i="24" s="1"/>
  <c r="L57" i="24"/>
  <c r="Z57" i="24" s="1"/>
  <c r="I57" i="24"/>
  <c r="G57" i="24"/>
  <c r="U57" i="24" s="1"/>
  <c r="N57" i="24"/>
  <c r="AB57" i="24" s="1"/>
  <c r="H57" i="24"/>
  <c r="V57" i="24" s="1"/>
  <c r="AG56" i="24"/>
  <c r="S56" i="24"/>
  <c r="E57" i="24"/>
  <c r="S57" i="24" s="1"/>
  <c r="O57" i="24"/>
  <c r="AC57" i="24" s="1"/>
  <c r="R56" i="24"/>
  <c r="AJ56" i="21"/>
  <c r="AI56" i="21"/>
  <c r="AK56" i="21"/>
  <c r="L58" i="21"/>
  <c r="Z58" i="21" s="1"/>
  <c r="AF57" i="21"/>
  <c r="F58" i="21"/>
  <c r="T58" i="21" s="1"/>
  <c r="M58" i="21"/>
  <c r="AA58" i="21" s="1"/>
  <c r="P58" i="21"/>
  <c r="AD58" i="21" s="1"/>
  <c r="H58" i="21"/>
  <c r="V58" i="21" s="1"/>
  <c r="G58" i="21"/>
  <c r="U58" i="21" s="1"/>
  <c r="R57" i="21"/>
  <c r="AG57" i="21"/>
  <c r="N58" i="21"/>
  <c r="AB58" i="21" s="1"/>
  <c r="J58" i="21"/>
  <c r="X58" i="21" s="1"/>
  <c r="O58" i="21"/>
  <c r="AC58" i="21" s="1"/>
  <c r="I58" i="21"/>
  <c r="E58" i="21"/>
  <c r="AG58" i="21" s="1"/>
  <c r="K58" i="21"/>
  <c r="Y58" i="21" s="1"/>
  <c r="AJ55" i="24"/>
  <c r="AK55" i="24"/>
  <c r="AM57" i="24" l="1"/>
  <c r="AM58" i="21"/>
  <c r="AL58" i="21"/>
  <c r="AL57" i="24"/>
  <c r="W57" i="24"/>
  <c r="W58" i="21"/>
  <c r="AH56" i="24"/>
  <c r="AJ56" i="24" s="1"/>
  <c r="AG57" i="24"/>
  <c r="K58" i="24"/>
  <c r="Y58" i="24" s="1"/>
  <c r="H58" i="24"/>
  <c r="V58" i="24" s="1"/>
  <c r="R57" i="24"/>
  <c r="AF57" i="24"/>
  <c r="F58" i="24"/>
  <c r="T58" i="24" s="1"/>
  <c r="P58" i="24"/>
  <c r="AD58" i="24" s="1"/>
  <c r="E58" i="24"/>
  <c r="S58" i="24" s="1"/>
  <c r="O58" i="24"/>
  <c r="AC58" i="24" s="1"/>
  <c r="I58" i="24"/>
  <c r="N58" i="24"/>
  <c r="AB58" i="24" s="1"/>
  <c r="J58" i="24"/>
  <c r="X58" i="24" s="1"/>
  <c r="G58" i="24"/>
  <c r="U58" i="24" s="1"/>
  <c r="M58" i="24"/>
  <c r="AA58" i="24" s="1"/>
  <c r="L58" i="24"/>
  <c r="Z58" i="24" s="1"/>
  <c r="I59" i="21"/>
  <c r="G59" i="21"/>
  <c r="U59" i="21" s="1"/>
  <c r="O59" i="21"/>
  <c r="AC59" i="21" s="1"/>
  <c r="AH57" i="21"/>
  <c r="P59" i="21"/>
  <c r="AD59" i="21" s="1"/>
  <c r="AF58" i="21"/>
  <c r="AH58" i="21" s="1"/>
  <c r="L59" i="21"/>
  <c r="Z59" i="21" s="1"/>
  <c r="R58" i="21"/>
  <c r="N59" i="21"/>
  <c r="AB59" i="21" s="1"/>
  <c r="K59" i="21"/>
  <c r="Y59" i="21" s="1"/>
  <c r="E59" i="21"/>
  <c r="S59" i="21" s="1"/>
  <c r="F59" i="21"/>
  <c r="T59" i="21" s="1"/>
  <c r="S58" i="21"/>
  <c r="J59" i="21"/>
  <c r="X59" i="21" s="1"/>
  <c r="M59" i="21"/>
  <c r="AA59" i="21" s="1"/>
  <c r="H59" i="21"/>
  <c r="V59" i="21" s="1"/>
  <c r="AM58" i="24" l="1"/>
  <c r="AM59" i="21"/>
  <c r="AL59" i="21"/>
  <c r="AL58" i="24"/>
  <c r="W58" i="24"/>
  <c r="W59" i="21"/>
  <c r="AI56" i="24"/>
  <c r="AK56" i="24"/>
  <c r="AH57" i="24"/>
  <c r="AI57" i="24" s="1"/>
  <c r="AG58" i="24"/>
  <c r="O59" i="24"/>
  <c r="AC59" i="24" s="1"/>
  <c r="H59" i="24"/>
  <c r="V59" i="24" s="1"/>
  <c r="P59" i="24"/>
  <c r="AD59" i="24" s="1"/>
  <c r="F59" i="24"/>
  <c r="T59" i="24" s="1"/>
  <c r="M59" i="24"/>
  <c r="AA59" i="24" s="1"/>
  <c r="E59" i="24"/>
  <c r="AG59" i="24" s="1"/>
  <c r="N59" i="24"/>
  <c r="AB59" i="24" s="1"/>
  <c r="I59" i="24"/>
  <c r="J59" i="24"/>
  <c r="X59" i="24" s="1"/>
  <c r="AF58" i="24"/>
  <c r="G59" i="24"/>
  <c r="U59" i="24" s="1"/>
  <c r="R58" i="24"/>
  <c r="K59" i="24"/>
  <c r="Y59" i="24" s="1"/>
  <c r="L59" i="24"/>
  <c r="Z59" i="24" s="1"/>
  <c r="AK57" i="21"/>
  <c r="AJ57" i="21"/>
  <c r="AI57" i="21"/>
  <c r="AK58" i="21"/>
  <c r="AI58" i="21"/>
  <c r="AJ58" i="21"/>
  <c r="AG59" i="21"/>
  <c r="AF59" i="21"/>
  <c r="I60" i="21"/>
  <c r="G60" i="21"/>
  <c r="U60" i="21" s="1"/>
  <c r="K60" i="21"/>
  <c r="Y60" i="21" s="1"/>
  <c r="E60" i="21"/>
  <c r="S60" i="21" s="1"/>
  <c r="L60" i="21"/>
  <c r="Z60" i="21" s="1"/>
  <c r="N60" i="21"/>
  <c r="AB60" i="21" s="1"/>
  <c r="J60" i="21"/>
  <c r="X60" i="21" s="1"/>
  <c r="F60" i="21"/>
  <c r="T60" i="21" s="1"/>
  <c r="M60" i="21"/>
  <c r="AA60" i="21" s="1"/>
  <c r="R59" i="21"/>
  <c r="P60" i="21"/>
  <c r="AD60" i="21" s="1"/>
  <c r="H60" i="21"/>
  <c r="V60" i="21" s="1"/>
  <c r="O60" i="21"/>
  <c r="AC60" i="21" s="1"/>
  <c r="AM59" i="24" l="1"/>
  <c r="AM60" i="21"/>
  <c r="AL60" i="21"/>
  <c r="AL59" i="24"/>
  <c r="W59" i="24"/>
  <c r="W60" i="21"/>
  <c r="AJ57" i="24"/>
  <c r="AH58" i="24"/>
  <c r="AI58" i="24" s="1"/>
  <c r="AK57" i="24"/>
  <c r="S59" i="24"/>
  <c r="O60" i="24"/>
  <c r="AC60" i="24" s="1"/>
  <c r="J60" i="24"/>
  <c r="X60" i="24" s="1"/>
  <c r="N60" i="24"/>
  <c r="AB60" i="24" s="1"/>
  <c r="G60" i="24"/>
  <c r="U60" i="24" s="1"/>
  <c r="M60" i="24"/>
  <c r="AA60" i="24" s="1"/>
  <c r="AF59" i="24"/>
  <c r="AH59" i="24" s="1"/>
  <c r="AI59" i="24" s="1"/>
  <c r="F60" i="24"/>
  <c r="H60" i="24"/>
  <c r="V60" i="24" s="1"/>
  <c r="E60" i="24"/>
  <c r="S60" i="24" s="1"/>
  <c r="I60" i="24"/>
  <c r="K60" i="24"/>
  <c r="Y60" i="24" s="1"/>
  <c r="L60" i="24"/>
  <c r="Z60" i="24" s="1"/>
  <c r="R59" i="24"/>
  <c r="P60" i="24"/>
  <c r="AD60" i="24" s="1"/>
  <c r="AH59" i="21"/>
  <c r="AG60" i="21"/>
  <c r="AF60" i="21"/>
  <c r="K61" i="21"/>
  <c r="Y61" i="21" s="1"/>
  <c r="J61" i="21"/>
  <c r="X61" i="21" s="1"/>
  <c r="P61" i="21"/>
  <c r="AD61" i="21" s="1"/>
  <c r="E61" i="21"/>
  <c r="AG61" i="21" s="1"/>
  <c r="R60" i="21"/>
  <c r="L61" i="21"/>
  <c r="Z61" i="21" s="1"/>
  <c r="F61" i="21"/>
  <c r="T61" i="21" s="1"/>
  <c r="I61" i="21"/>
  <c r="M61" i="21"/>
  <c r="AA61" i="21" s="1"/>
  <c r="O61" i="21"/>
  <c r="AC61" i="21" s="1"/>
  <c r="N61" i="21"/>
  <c r="AB61" i="21" s="1"/>
  <c r="H61" i="21"/>
  <c r="V61" i="21" s="1"/>
  <c r="G61" i="21"/>
  <c r="U61" i="21" s="1"/>
  <c r="AM60" i="24" l="1"/>
  <c r="AM61" i="21"/>
  <c r="AL61" i="21"/>
  <c r="AL60" i="24"/>
  <c r="W60" i="24"/>
  <c r="W61" i="21"/>
  <c r="AK58" i="24"/>
  <c r="AJ58" i="24"/>
  <c r="AG60" i="24"/>
  <c r="AF60" i="24"/>
  <c r="L61" i="24"/>
  <c r="Z61" i="24" s="1"/>
  <c r="O61" i="24"/>
  <c r="AC61" i="24" s="1"/>
  <c r="K61" i="24"/>
  <c r="Y61" i="24" s="1"/>
  <c r="M61" i="24"/>
  <c r="AA61" i="24" s="1"/>
  <c r="H61" i="24"/>
  <c r="V61" i="24" s="1"/>
  <c r="R60" i="24"/>
  <c r="E61" i="24"/>
  <c r="AG61" i="24" s="1"/>
  <c r="F61" i="24"/>
  <c r="T61" i="24" s="1"/>
  <c r="P61" i="24"/>
  <c r="AD61" i="24" s="1"/>
  <c r="I61" i="24"/>
  <c r="T60" i="24"/>
  <c r="J61" i="24"/>
  <c r="X61" i="24" s="1"/>
  <c r="N61" i="24"/>
  <c r="AB61" i="24" s="1"/>
  <c r="G61" i="24"/>
  <c r="U61" i="24" s="1"/>
  <c r="AI59" i="21"/>
  <c r="AJ59" i="21"/>
  <c r="AK59" i="21"/>
  <c r="AH60" i="21"/>
  <c r="AF61" i="21"/>
  <c r="AH61" i="21" s="1"/>
  <c r="E62" i="21"/>
  <c r="S62" i="21" s="1"/>
  <c r="L62" i="21"/>
  <c r="Z62" i="21" s="1"/>
  <c r="K62" i="21"/>
  <c r="Y62" i="21" s="1"/>
  <c r="J62" i="21"/>
  <c r="X62" i="21" s="1"/>
  <c r="G62" i="21"/>
  <c r="U62" i="21" s="1"/>
  <c r="P62" i="21"/>
  <c r="AD62" i="21" s="1"/>
  <c r="F62" i="21"/>
  <c r="T62" i="21" s="1"/>
  <c r="H62" i="21"/>
  <c r="V62" i="21" s="1"/>
  <c r="M62" i="21"/>
  <c r="AA62" i="21" s="1"/>
  <c r="I62" i="21"/>
  <c r="O62" i="21"/>
  <c r="AC62" i="21" s="1"/>
  <c r="N62" i="21"/>
  <c r="AB62" i="21" s="1"/>
  <c r="R61" i="21"/>
  <c r="S61" i="21"/>
  <c r="AJ59" i="24"/>
  <c r="AK59" i="24"/>
  <c r="AM61" i="24" l="1"/>
  <c r="AM62" i="21"/>
  <c r="AL62" i="21"/>
  <c r="AL61" i="24"/>
  <c r="W61" i="24"/>
  <c r="W62" i="21"/>
  <c r="AH60" i="24"/>
  <c r="AJ60" i="24" s="1"/>
  <c r="S61" i="24"/>
  <c r="E62" i="24"/>
  <c r="AG62" i="24" s="1"/>
  <c r="I62" i="24"/>
  <c r="N62" i="24"/>
  <c r="AB62" i="24" s="1"/>
  <c r="R61" i="24"/>
  <c r="L62" i="24"/>
  <c r="Z62" i="24" s="1"/>
  <c r="G62" i="24"/>
  <c r="U62" i="24" s="1"/>
  <c r="M62" i="24"/>
  <c r="AA62" i="24" s="1"/>
  <c r="F62" i="24"/>
  <c r="T62" i="24" s="1"/>
  <c r="H62" i="24"/>
  <c r="V62" i="24" s="1"/>
  <c r="P62" i="24"/>
  <c r="AD62" i="24" s="1"/>
  <c r="AF61" i="24"/>
  <c r="AH61" i="24" s="1"/>
  <c r="AI61" i="24" s="1"/>
  <c r="O62" i="24"/>
  <c r="AC62" i="24" s="1"/>
  <c r="J62" i="24"/>
  <c r="X62" i="24" s="1"/>
  <c r="K62" i="24"/>
  <c r="Y62" i="24" s="1"/>
  <c r="AJ60" i="21"/>
  <c r="AK60" i="21"/>
  <c r="AI60" i="21"/>
  <c r="AK61" i="21"/>
  <c r="AJ61" i="21"/>
  <c r="AI61" i="21"/>
  <c r="AG62" i="21"/>
  <c r="G63" i="21"/>
  <c r="U63" i="21" s="1"/>
  <c r="I63" i="21"/>
  <c r="H63" i="21"/>
  <c r="V63" i="21" s="1"/>
  <c r="R62" i="21"/>
  <c r="O63" i="21"/>
  <c r="AC63" i="21" s="1"/>
  <c r="N63" i="21"/>
  <c r="AB63" i="21" s="1"/>
  <c r="L63" i="21"/>
  <c r="Z63" i="21" s="1"/>
  <c r="F63" i="21"/>
  <c r="T63" i="21" s="1"/>
  <c r="AF62" i="21"/>
  <c r="J63" i="21"/>
  <c r="X63" i="21" s="1"/>
  <c r="E63" i="21"/>
  <c r="AG63" i="21" s="1"/>
  <c r="M63" i="21"/>
  <c r="AA63" i="21" s="1"/>
  <c r="P63" i="21"/>
  <c r="AD63" i="21" s="1"/>
  <c r="K63" i="21"/>
  <c r="Y63" i="21" s="1"/>
  <c r="AM62" i="24" l="1"/>
  <c r="AM63" i="21"/>
  <c r="AL63" i="21"/>
  <c r="AL62" i="24"/>
  <c r="AK60" i="24"/>
  <c r="W62" i="24"/>
  <c r="W63" i="21"/>
  <c r="AI60" i="24"/>
  <c r="S62" i="24"/>
  <c r="I63" i="24"/>
  <c r="G63" i="24"/>
  <c r="U63" i="24" s="1"/>
  <c r="M63" i="24"/>
  <c r="AA63" i="24" s="1"/>
  <c r="R62" i="24"/>
  <c r="AF62" i="24"/>
  <c r="AH62" i="24" s="1"/>
  <c r="N63" i="24"/>
  <c r="AB63" i="24" s="1"/>
  <c r="F63" i="24"/>
  <c r="H63" i="24"/>
  <c r="V63" i="24" s="1"/>
  <c r="P63" i="24"/>
  <c r="AD63" i="24" s="1"/>
  <c r="E63" i="24"/>
  <c r="S63" i="24" s="1"/>
  <c r="L63" i="24"/>
  <c r="Z63" i="24" s="1"/>
  <c r="J63" i="24"/>
  <c r="X63" i="24" s="1"/>
  <c r="K63" i="24"/>
  <c r="Y63" i="24" s="1"/>
  <c r="O63" i="24"/>
  <c r="AC63" i="24" s="1"/>
  <c r="AH62" i="21"/>
  <c r="S63" i="21"/>
  <c r="AF63" i="21"/>
  <c r="AH63" i="21" s="1"/>
  <c r="P64" i="21"/>
  <c r="AD64" i="21" s="1"/>
  <c r="E64" i="21"/>
  <c r="S64" i="21" s="1"/>
  <c r="I64" i="21"/>
  <c r="O64" i="21"/>
  <c r="AC64" i="21" s="1"/>
  <c r="F64" i="21"/>
  <c r="T64" i="21" s="1"/>
  <c r="K64" i="21"/>
  <c r="Y64" i="21" s="1"/>
  <c r="G64" i="21"/>
  <c r="U64" i="21" s="1"/>
  <c r="M64" i="21"/>
  <c r="AA64" i="21" s="1"/>
  <c r="J64" i="21"/>
  <c r="X64" i="21" s="1"/>
  <c r="L64" i="21"/>
  <c r="Z64" i="21" s="1"/>
  <c r="N64" i="21"/>
  <c r="AB64" i="21" s="1"/>
  <c r="H64" i="21"/>
  <c r="V64" i="21" s="1"/>
  <c r="R63" i="21"/>
  <c r="AK61" i="24"/>
  <c r="AJ61" i="24"/>
  <c r="AM63" i="24" l="1"/>
  <c r="AM64" i="21"/>
  <c r="AL64" i="21"/>
  <c r="AL63" i="24"/>
  <c r="W63" i="24"/>
  <c r="W64" i="21"/>
  <c r="AG63" i="24"/>
  <c r="H64" i="24"/>
  <c r="V64" i="24" s="1"/>
  <c r="F64" i="24"/>
  <c r="T64" i="24" s="1"/>
  <c r="G64" i="24"/>
  <c r="U64" i="24" s="1"/>
  <c r="I64" i="24"/>
  <c r="P64" i="24"/>
  <c r="AD64" i="24" s="1"/>
  <c r="M64" i="24"/>
  <c r="AA64" i="24" s="1"/>
  <c r="N64" i="24"/>
  <c r="AB64" i="24" s="1"/>
  <c r="R63" i="24"/>
  <c r="E64" i="24"/>
  <c r="AG64" i="24" s="1"/>
  <c r="T63" i="24"/>
  <c r="K64" i="24"/>
  <c r="Y64" i="24" s="1"/>
  <c r="AF63" i="24"/>
  <c r="J64" i="24"/>
  <c r="X64" i="24" s="1"/>
  <c r="L64" i="24"/>
  <c r="Z64" i="24" s="1"/>
  <c r="O64" i="24"/>
  <c r="AC64" i="24" s="1"/>
  <c r="AI63" i="21"/>
  <c r="AJ63" i="21"/>
  <c r="AK63" i="21"/>
  <c r="AI62" i="21"/>
  <c r="AK62" i="21"/>
  <c r="AJ62" i="21"/>
  <c r="AG64" i="21"/>
  <c r="AF64" i="21"/>
  <c r="I65" i="21"/>
  <c r="K65" i="21"/>
  <c r="Y65" i="21" s="1"/>
  <c r="R64" i="21"/>
  <c r="G65" i="21"/>
  <c r="U65" i="21" s="1"/>
  <c r="F65" i="21"/>
  <c r="T65" i="21" s="1"/>
  <c r="H65" i="21"/>
  <c r="V65" i="21" s="1"/>
  <c r="O65" i="21"/>
  <c r="AC65" i="21" s="1"/>
  <c r="E65" i="21"/>
  <c r="AG65" i="21" s="1"/>
  <c r="N65" i="21"/>
  <c r="AB65" i="21" s="1"/>
  <c r="L65" i="21"/>
  <c r="Z65" i="21" s="1"/>
  <c r="M65" i="21"/>
  <c r="AA65" i="21" s="1"/>
  <c r="P65" i="21"/>
  <c r="AD65" i="21" s="1"/>
  <c r="J65" i="21"/>
  <c r="X65" i="21" s="1"/>
  <c r="AK62" i="24"/>
  <c r="AI62" i="24"/>
  <c r="AJ62" i="24"/>
  <c r="AM64" i="24" l="1"/>
  <c r="AM65" i="21"/>
  <c r="AL65" i="21"/>
  <c r="AL64" i="24"/>
  <c r="W64" i="24"/>
  <c r="W65" i="21"/>
  <c r="AH63" i="24"/>
  <c r="AK63" i="24" s="1"/>
  <c r="S64" i="24"/>
  <c r="J65" i="24"/>
  <c r="X65" i="24" s="1"/>
  <c r="N65" i="24"/>
  <c r="AB65" i="24" s="1"/>
  <c r="R64" i="24"/>
  <c r="H65" i="24"/>
  <c r="V65" i="24" s="1"/>
  <c r="K65" i="24"/>
  <c r="Y65" i="24" s="1"/>
  <c r="E65" i="24"/>
  <c r="S65" i="24" s="1"/>
  <c r="L65" i="24"/>
  <c r="Z65" i="24" s="1"/>
  <c r="AF64" i="24"/>
  <c r="AH64" i="24" s="1"/>
  <c r="G65" i="24"/>
  <c r="U65" i="24" s="1"/>
  <c r="M65" i="24"/>
  <c r="AA65" i="24" s="1"/>
  <c r="O65" i="24"/>
  <c r="AC65" i="24" s="1"/>
  <c r="I65" i="24"/>
  <c r="F65" i="24"/>
  <c r="P65" i="24"/>
  <c r="AD65" i="24" s="1"/>
  <c r="AH64" i="21"/>
  <c r="S65" i="21"/>
  <c r="N66" i="21"/>
  <c r="AB66" i="21" s="1"/>
  <c r="H66" i="21"/>
  <c r="V66" i="21" s="1"/>
  <c r="AF65" i="21"/>
  <c r="AH65" i="21" s="1"/>
  <c r="M66" i="21"/>
  <c r="AA66" i="21" s="1"/>
  <c r="E66" i="21"/>
  <c r="S66" i="21" s="1"/>
  <c r="I66" i="21"/>
  <c r="G66" i="21"/>
  <c r="U66" i="21" s="1"/>
  <c r="J66" i="21"/>
  <c r="X66" i="21" s="1"/>
  <c r="R65" i="21"/>
  <c r="L66" i="21"/>
  <c r="Z66" i="21" s="1"/>
  <c r="F66" i="21"/>
  <c r="T66" i="21" s="1"/>
  <c r="O66" i="21"/>
  <c r="AC66" i="21" s="1"/>
  <c r="K66" i="21"/>
  <c r="Y66" i="21" s="1"/>
  <c r="P66" i="21"/>
  <c r="AD66" i="21" s="1"/>
  <c r="AM65" i="24" l="1"/>
  <c r="AM66" i="21"/>
  <c r="AL66" i="21"/>
  <c r="AL65" i="24"/>
  <c r="W65" i="24"/>
  <c r="W66" i="21"/>
  <c r="AI63" i="24"/>
  <c r="AJ63" i="24"/>
  <c r="AG65" i="24"/>
  <c r="E66" i="24"/>
  <c r="AG66" i="24" s="1"/>
  <c r="I66" i="24"/>
  <c r="T65" i="24"/>
  <c r="H66" i="24"/>
  <c r="V66" i="24" s="1"/>
  <c r="G66" i="24"/>
  <c r="U66" i="24" s="1"/>
  <c r="M66" i="24"/>
  <c r="AA66" i="24" s="1"/>
  <c r="N66" i="24"/>
  <c r="AB66" i="24" s="1"/>
  <c r="P66" i="24"/>
  <c r="AD66" i="24" s="1"/>
  <c r="L66" i="24"/>
  <c r="Z66" i="24" s="1"/>
  <c r="J66" i="24"/>
  <c r="X66" i="24" s="1"/>
  <c r="K66" i="24"/>
  <c r="Y66" i="24" s="1"/>
  <c r="R65" i="24"/>
  <c r="AF65" i="24"/>
  <c r="F66" i="24"/>
  <c r="T66" i="24" s="1"/>
  <c r="O66" i="24"/>
  <c r="AC66" i="24" s="1"/>
  <c r="AK65" i="21"/>
  <c r="AJ65" i="21"/>
  <c r="AI65" i="21"/>
  <c r="AJ64" i="21"/>
  <c r="AI64" i="21"/>
  <c r="AK64" i="21"/>
  <c r="AG66" i="21"/>
  <c r="AF66" i="21"/>
  <c r="G67" i="21"/>
  <c r="U67" i="21" s="1"/>
  <c r="J67" i="21"/>
  <c r="X67" i="21" s="1"/>
  <c r="M67" i="21"/>
  <c r="AA67" i="21" s="1"/>
  <c r="P67" i="21"/>
  <c r="AD67" i="21" s="1"/>
  <c r="L67" i="21"/>
  <c r="Z67" i="21" s="1"/>
  <c r="I67" i="21"/>
  <c r="H67" i="21"/>
  <c r="V67" i="21" s="1"/>
  <c r="N67" i="21"/>
  <c r="AB67" i="21" s="1"/>
  <c r="K67" i="21"/>
  <c r="Y67" i="21" s="1"/>
  <c r="R66" i="21"/>
  <c r="E67" i="21"/>
  <c r="AG67" i="21" s="1"/>
  <c r="O67" i="21"/>
  <c r="AC67" i="21" s="1"/>
  <c r="F67" i="21"/>
  <c r="T67" i="21" s="1"/>
  <c r="AJ64" i="24"/>
  <c r="AI64" i="24"/>
  <c r="AK64" i="24"/>
  <c r="AM66" i="24" l="1"/>
  <c r="AM67" i="21"/>
  <c r="AL67" i="21"/>
  <c r="AL66" i="24"/>
  <c r="W66" i="24"/>
  <c r="W67" i="21"/>
  <c r="AH65" i="24"/>
  <c r="AJ65" i="24" s="1"/>
  <c r="S66" i="24"/>
  <c r="L67" i="24"/>
  <c r="Z67" i="24" s="1"/>
  <c r="E67" i="24"/>
  <c r="AG67" i="24" s="1"/>
  <c r="H67" i="24"/>
  <c r="V67" i="24" s="1"/>
  <c r="J67" i="24"/>
  <c r="X67" i="24" s="1"/>
  <c r="N67" i="24"/>
  <c r="AB67" i="24" s="1"/>
  <c r="F67" i="24"/>
  <c r="M67" i="24"/>
  <c r="AA67" i="24" s="1"/>
  <c r="O67" i="24"/>
  <c r="AC67" i="24" s="1"/>
  <c r="R66" i="24"/>
  <c r="I67" i="24"/>
  <c r="AF66" i="24"/>
  <c r="AH66" i="24" s="1"/>
  <c r="P67" i="24"/>
  <c r="AD67" i="24" s="1"/>
  <c r="G67" i="24"/>
  <c r="U67" i="24" s="1"/>
  <c r="K67" i="24"/>
  <c r="Y67" i="24" s="1"/>
  <c r="AH66" i="21"/>
  <c r="K68" i="21"/>
  <c r="Y68" i="21" s="1"/>
  <c r="P68" i="21"/>
  <c r="AD68" i="21" s="1"/>
  <c r="E68" i="21"/>
  <c r="S68" i="21" s="1"/>
  <c r="AF67" i="21"/>
  <c r="AH67" i="21" s="1"/>
  <c r="H68" i="21"/>
  <c r="V68" i="21" s="1"/>
  <c r="R67" i="21"/>
  <c r="M68" i="21"/>
  <c r="AA68" i="21" s="1"/>
  <c r="F68" i="21"/>
  <c r="T68" i="21" s="1"/>
  <c r="G68" i="21"/>
  <c r="U68" i="21" s="1"/>
  <c r="J68" i="21"/>
  <c r="X68" i="21" s="1"/>
  <c r="I68" i="21"/>
  <c r="L68" i="21"/>
  <c r="Z68" i="21" s="1"/>
  <c r="O68" i="21"/>
  <c r="AC68" i="21" s="1"/>
  <c r="N68" i="21"/>
  <c r="AB68" i="21" s="1"/>
  <c r="S67" i="21"/>
  <c r="AM67" i="24" l="1"/>
  <c r="AM68" i="21"/>
  <c r="AL68" i="21"/>
  <c r="AL67" i="24"/>
  <c r="W67" i="24"/>
  <c r="W68" i="21"/>
  <c r="S67" i="24"/>
  <c r="AI65" i="24"/>
  <c r="AK65" i="24"/>
  <c r="P68" i="24"/>
  <c r="AD68" i="24" s="1"/>
  <c r="T67" i="24"/>
  <c r="H68" i="24"/>
  <c r="V68" i="24" s="1"/>
  <c r="L68" i="24"/>
  <c r="Z68" i="24" s="1"/>
  <c r="G68" i="24"/>
  <c r="U68" i="24" s="1"/>
  <c r="N68" i="24"/>
  <c r="AB68" i="24" s="1"/>
  <c r="F68" i="24"/>
  <c r="T68" i="24" s="1"/>
  <c r="J68" i="24"/>
  <c r="X68" i="24" s="1"/>
  <c r="I68" i="24"/>
  <c r="E68" i="24"/>
  <c r="O68" i="24"/>
  <c r="AC68" i="24" s="1"/>
  <c r="M68" i="24"/>
  <c r="AA68" i="24" s="1"/>
  <c r="AF67" i="24"/>
  <c r="AH67" i="24" s="1"/>
  <c r="AK67" i="24" s="1"/>
  <c r="K68" i="24"/>
  <c r="Y68" i="24" s="1"/>
  <c r="R67" i="24"/>
  <c r="AI67" i="21"/>
  <c r="AJ67" i="21"/>
  <c r="AK67" i="21"/>
  <c r="AK66" i="21"/>
  <c r="AI66" i="21"/>
  <c r="AJ66" i="21"/>
  <c r="AG68" i="21"/>
  <c r="N69" i="21"/>
  <c r="AB69" i="21" s="1"/>
  <c r="K69" i="21"/>
  <c r="Y69" i="21" s="1"/>
  <c r="I69" i="21"/>
  <c r="AF68" i="21"/>
  <c r="O69" i="21"/>
  <c r="AC69" i="21" s="1"/>
  <c r="G69" i="21"/>
  <c r="U69" i="21" s="1"/>
  <c r="M69" i="21"/>
  <c r="AA69" i="21" s="1"/>
  <c r="E69" i="21"/>
  <c r="S69" i="21" s="1"/>
  <c r="R68" i="21"/>
  <c r="J69" i="21"/>
  <c r="X69" i="21" s="1"/>
  <c r="L69" i="21"/>
  <c r="Z69" i="21" s="1"/>
  <c r="H69" i="21"/>
  <c r="V69" i="21" s="1"/>
  <c r="P69" i="21"/>
  <c r="AD69" i="21" s="1"/>
  <c r="F69" i="21"/>
  <c r="T69" i="21" s="1"/>
  <c r="AK66" i="24"/>
  <c r="AJ66" i="24"/>
  <c r="AI66" i="24"/>
  <c r="AM68" i="24" l="1"/>
  <c r="AM69" i="21"/>
  <c r="AL69" i="21"/>
  <c r="AL68" i="24"/>
  <c r="W68" i="24"/>
  <c r="W69" i="21"/>
  <c r="AF68" i="24"/>
  <c r="I69" i="24"/>
  <c r="E69" i="24"/>
  <c r="AG69" i="24" s="1"/>
  <c r="AG68" i="24"/>
  <c r="G69" i="24"/>
  <c r="U69" i="24" s="1"/>
  <c r="N69" i="24"/>
  <c r="AB69" i="24" s="1"/>
  <c r="P69" i="24"/>
  <c r="AD69" i="24" s="1"/>
  <c r="M69" i="24"/>
  <c r="AA69" i="24" s="1"/>
  <c r="K69" i="24"/>
  <c r="Y69" i="24" s="1"/>
  <c r="F69" i="24"/>
  <c r="T69" i="24" s="1"/>
  <c r="R68" i="24"/>
  <c r="J69" i="24"/>
  <c r="X69" i="24" s="1"/>
  <c r="L69" i="24"/>
  <c r="Z69" i="24" s="1"/>
  <c r="H69" i="24"/>
  <c r="V69" i="24" s="1"/>
  <c r="O69" i="24"/>
  <c r="AC69" i="24" s="1"/>
  <c r="S68" i="24"/>
  <c r="AH68" i="21"/>
  <c r="M70" i="21"/>
  <c r="AA70" i="21" s="1"/>
  <c r="AF69" i="21"/>
  <c r="K70" i="21"/>
  <c r="Y70" i="21" s="1"/>
  <c r="F70" i="21"/>
  <c r="T70" i="21" s="1"/>
  <c r="R69" i="21"/>
  <c r="H70" i="21"/>
  <c r="V70" i="21" s="1"/>
  <c r="J70" i="21"/>
  <c r="X70" i="21" s="1"/>
  <c r="E70" i="21"/>
  <c r="I70" i="21"/>
  <c r="P70" i="21"/>
  <c r="AD70" i="21" s="1"/>
  <c r="N70" i="21"/>
  <c r="AB70" i="21" s="1"/>
  <c r="O70" i="21"/>
  <c r="AC70" i="21" s="1"/>
  <c r="G70" i="21"/>
  <c r="U70" i="21" s="1"/>
  <c r="L70" i="21"/>
  <c r="Z70" i="21" s="1"/>
  <c r="AG69" i="21"/>
  <c r="AI67" i="24"/>
  <c r="AJ67" i="24"/>
  <c r="AM69" i="24" l="1"/>
  <c r="AM70" i="21"/>
  <c r="AL70" i="21"/>
  <c r="AL69" i="24"/>
  <c r="W69" i="24"/>
  <c r="W70" i="21"/>
  <c r="AH68" i="24"/>
  <c r="AJ68" i="24" s="1"/>
  <c r="S69" i="24"/>
  <c r="O70" i="24"/>
  <c r="AC70" i="24" s="1"/>
  <c r="I70" i="24"/>
  <c r="R69" i="24"/>
  <c r="L70" i="24"/>
  <c r="Z70" i="24" s="1"/>
  <c r="N70" i="24"/>
  <c r="AB70" i="24" s="1"/>
  <c r="P70" i="24"/>
  <c r="AD70" i="24" s="1"/>
  <c r="K70" i="24"/>
  <c r="Y70" i="24" s="1"/>
  <c r="J70" i="24"/>
  <c r="X70" i="24" s="1"/>
  <c r="F70" i="24"/>
  <c r="T70" i="24" s="1"/>
  <c r="G70" i="24"/>
  <c r="U70" i="24" s="1"/>
  <c r="AF69" i="24"/>
  <c r="AH69" i="24" s="1"/>
  <c r="AK69" i="24" s="1"/>
  <c r="E70" i="24"/>
  <c r="AG70" i="24" s="1"/>
  <c r="M70" i="24"/>
  <c r="AA70" i="24" s="1"/>
  <c r="H70" i="24"/>
  <c r="V70" i="24" s="1"/>
  <c r="AJ68" i="21"/>
  <c r="AK68" i="21"/>
  <c r="AI68" i="21"/>
  <c r="AH69" i="21"/>
  <c r="O71" i="21"/>
  <c r="AC71" i="21" s="1"/>
  <c r="K71" i="21"/>
  <c r="Y71" i="21" s="1"/>
  <c r="E71" i="21"/>
  <c r="AG71" i="21" s="1"/>
  <c r="F71" i="21"/>
  <c r="T71" i="21" s="1"/>
  <c r="L71" i="21"/>
  <c r="Z71" i="21" s="1"/>
  <c r="M71" i="21"/>
  <c r="AA71" i="21" s="1"/>
  <c r="AG70" i="21"/>
  <c r="I71" i="21"/>
  <c r="P71" i="21"/>
  <c r="AD71" i="21" s="1"/>
  <c r="H71" i="21"/>
  <c r="V71" i="21" s="1"/>
  <c r="AF70" i="21"/>
  <c r="J71" i="21"/>
  <c r="X71" i="21" s="1"/>
  <c r="N71" i="21"/>
  <c r="AB71" i="21" s="1"/>
  <c r="R70" i="21"/>
  <c r="S70" i="21"/>
  <c r="G71" i="21"/>
  <c r="U71" i="21" s="1"/>
  <c r="AM70" i="24" l="1"/>
  <c r="AM71" i="21"/>
  <c r="AL71" i="21"/>
  <c r="AL70" i="24"/>
  <c r="W70" i="24"/>
  <c r="W71" i="21"/>
  <c r="AI68" i="24"/>
  <c r="AK68" i="24"/>
  <c r="R70" i="24"/>
  <c r="AF70" i="24"/>
  <c r="AH70" i="24" s="1"/>
  <c r="AK70" i="24" s="1"/>
  <c r="J71" i="24"/>
  <c r="X71" i="24" s="1"/>
  <c r="H71" i="24"/>
  <c r="V71" i="24" s="1"/>
  <c r="F71" i="24"/>
  <c r="P71" i="24"/>
  <c r="AD71" i="24" s="1"/>
  <c r="N71" i="24"/>
  <c r="AB71" i="24" s="1"/>
  <c r="E71" i="24"/>
  <c r="AG71" i="24" s="1"/>
  <c r="O71" i="24"/>
  <c r="AC71" i="24" s="1"/>
  <c r="I71" i="24"/>
  <c r="G71" i="24"/>
  <c r="U71" i="24" s="1"/>
  <c r="M71" i="24"/>
  <c r="AA71" i="24" s="1"/>
  <c r="L71" i="24"/>
  <c r="Z71" i="24" s="1"/>
  <c r="K71" i="24"/>
  <c r="Y71" i="24" s="1"/>
  <c r="S70" i="24"/>
  <c r="AK69" i="21"/>
  <c r="AJ69" i="21"/>
  <c r="AI69" i="21"/>
  <c r="L72" i="21"/>
  <c r="Z72" i="21" s="1"/>
  <c r="J72" i="21"/>
  <c r="X72" i="21" s="1"/>
  <c r="AF71" i="21"/>
  <c r="AH71" i="21" s="1"/>
  <c r="R71" i="21"/>
  <c r="S71" i="21"/>
  <c r="AH70" i="21"/>
  <c r="F72" i="21"/>
  <c r="T72" i="21" s="1"/>
  <c r="O72" i="21"/>
  <c r="AC72" i="21" s="1"/>
  <c r="I72" i="21"/>
  <c r="N72" i="21"/>
  <c r="AB72" i="21" s="1"/>
  <c r="H72" i="21"/>
  <c r="V72" i="21" s="1"/>
  <c r="E72" i="21"/>
  <c r="AG72" i="21" s="1"/>
  <c r="M72" i="21"/>
  <c r="AA72" i="21" s="1"/>
  <c r="P72" i="21"/>
  <c r="AD72" i="21" s="1"/>
  <c r="K72" i="21"/>
  <c r="Y72" i="21" s="1"/>
  <c r="G72" i="21"/>
  <c r="U72" i="21" s="1"/>
  <c r="AJ69" i="24"/>
  <c r="AI69" i="24"/>
  <c r="AM71" i="24" l="1"/>
  <c r="AM72" i="21"/>
  <c r="AL72" i="21"/>
  <c r="AL71" i="24"/>
  <c r="W71" i="24"/>
  <c r="W72" i="21"/>
  <c r="AJ70" i="24"/>
  <c r="AI70" i="24"/>
  <c r="E72" i="24"/>
  <c r="AG72" i="24" s="1"/>
  <c r="T71" i="24"/>
  <c r="O72" i="24"/>
  <c r="AC72" i="24" s="1"/>
  <c r="P72" i="24"/>
  <c r="AD72" i="24" s="1"/>
  <c r="I72" i="24"/>
  <c r="AF71" i="24"/>
  <c r="AH71" i="24" s="1"/>
  <c r="AJ71" i="24" s="1"/>
  <c r="N72" i="24"/>
  <c r="AB72" i="24" s="1"/>
  <c r="K72" i="24"/>
  <c r="Y72" i="24" s="1"/>
  <c r="R71" i="24"/>
  <c r="H72" i="24"/>
  <c r="V72" i="24" s="1"/>
  <c r="G72" i="24"/>
  <c r="U72" i="24" s="1"/>
  <c r="S71" i="24"/>
  <c r="J72" i="24"/>
  <c r="X72" i="24" s="1"/>
  <c r="L72" i="24"/>
  <c r="Z72" i="24" s="1"/>
  <c r="F72" i="24"/>
  <c r="M72" i="24"/>
  <c r="AA72" i="24" s="1"/>
  <c r="AI71" i="21"/>
  <c r="AJ71" i="21"/>
  <c r="AK71" i="21"/>
  <c r="AI70" i="21"/>
  <c r="AK70" i="21"/>
  <c r="AJ70" i="21"/>
  <c r="S72" i="21"/>
  <c r="N73" i="21"/>
  <c r="AB73" i="21" s="1"/>
  <c r="F73" i="21"/>
  <c r="T73" i="21" s="1"/>
  <c r="O73" i="21"/>
  <c r="AC73" i="21" s="1"/>
  <c r="J73" i="21"/>
  <c r="X73" i="21" s="1"/>
  <c r="P73" i="21"/>
  <c r="AD73" i="21" s="1"/>
  <c r="R72" i="21"/>
  <c r="H73" i="21"/>
  <c r="V73" i="21" s="1"/>
  <c r="M73" i="21"/>
  <c r="AA73" i="21" s="1"/>
  <c r="I73" i="21"/>
  <c r="AF72" i="21"/>
  <c r="AH72" i="21" s="1"/>
  <c r="K73" i="21"/>
  <c r="Y73" i="21" s="1"/>
  <c r="L73" i="21"/>
  <c r="Z73" i="21" s="1"/>
  <c r="E73" i="21"/>
  <c r="AG73" i="21" s="1"/>
  <c r="G73" i="21"/>
  <c r="U73" i="21" s="1"/>
  <c r="AM72" i="24" l="1"/>
  <c r="AM73" i="21"/>
  <c r="AL73" i="21"/>
  <c r="AL72" i="24"/>
  <c r="W72" i="24"/>
  <c r="W73" i="21"/>
  <c r="S72" i="24"/>
  <c r="AI71" i="24"/>
  <c r="P73" i="24"/>
  <c r="AD73" i="24" s="1"/>
  <c r="AK71" i="24"/>
  <c r="I73" i="24"/>
  <c r="T72" i="24"/>
  <c r="J73" i="24"/>
  <c r="X73" i="24" s="1"/>
  <c r="N73" i="24"/>
  <c r="AB73" i="24" s="1"/>
  <c r="O73" i="24"/>
  <c r="AC73" i="24" s="1"/>
  <c r="R72" i="24"/>
  <c r="K73" i="24"/>
  <c r="Y73" i="24" s="1"/>
  <c r="M73" i="24"/>
  <c r="AA73" i="24" s="1"/>
  <c r="AF72" i="24"/>
  <c r="AH72" i="24" s="1"/>
  <c r="AJ72" i="24" s="1"/>
  <c r="H73" i="24"/>
  <c r="V73" i="24" s="1"/>
  <c r="F73" i="24"/>
  <c r="T73" i="24" s="1"/>
  <c r="E73" i="24"/>
  <c r="S73" i="24" s="1"/>
  <c r="L73" i="24"/>
  <c r="Z73" i="24" s="1"/>
  <c r="G73" i="24"/>
  <c r="U73" i="24" s="1"/>
  <c r="AJ72" i="21"/>
  <c r="AI72" i="21"/>
  <c r="AK72" i="21"/>
  <c r="M74" i="21"/>
  <c r="AA74" i="21" s="1"/>
  <c r="S73" i="21"/>
  <c r="AF73" i="21"/>
  <c r="AH73" i="21" s="1"/>
  <c r="G74" i="21"/>
  <c r="U74" i="21" s="1"/>
  <c r="N74" i="21"/>
  <c r="AB74" i="21" s="1"/>
  <c r="O74" i="21"/>
  <c r="AC74" i="21" s="1"/>
  <c r="H74" i="21"/>
  <c r="V74" i="21" s="1"/>
  <c r="F74" i="21"/>
  <c r="T74" i="21" s="1"/>
  <c r="K74" i="21"/>
  <c r="Y74" i="21" s="1"/>
  <c r="I74" i="21"/>
  <c r="L74" i="21"/>
  <c r="Z74" i="21" s="1"/>
  <c r="E74" i="21"/>
  <c r="S74" i="21" s="1"/>
  <c r="R73" i="21"/>
  <c r="J74" i="21"/>
  <c r="X74" i="21" s="1"/>
  <c r="P74" i="21"/>
  <c r="AD74" i="21" s="1"/>
  <c r="AM73" i="24" l="1"/>
  <c r="AM74" i="21"/>
  <c r="AL74" i="21"/>
  <c r="AL73" i="24"/>
  <c r="W73" i="24"/>
  <c r="W74" i="21"/>
  <c r="AG73" i="24"/>
  <c r="O74" i="24"/>
  <c r="AC74" i="24" s="1"/>
  <c r="N74" i="24"/>
  <c r="AB74" i="24" s="1"/>
  <c r="K74" i="24"/>
  <c r="Y74" i="24" s="1"/>
  <c r="G74" i="24"/>
  <c r="U74" i="24" s="1"/>
  <c r="AI72" i="24"/>
  <c r="M74" i="24"/>
  <c r="AA74" i="24" s="1"/>
  <c r="F74" i="24"/>
  <c r="T74" i="24" s="1"/>
  <c r="H74" i="24"/>
  <c r="V74" i="24" s="1"/>
  <c r="R73" i="24"/>
  <c r="J74" i="24"/>
  <c r="X74" i="24" s="1"/>
  <c r="E74" i="24"/>
  <c r="AG74" i="24" s="1"/>
  <c r="I74" i="24"/>
  <c r="AF73" i="24"/>
  <c r="L74" i="24"/>
  <c r="Z74" i="24" s="1"/>
  <c r="P74" i="24"/>
  <c r="AD74" i="24" s="1"/>
  <c r="AK72" i="24"/>
  <c r="AK73" i="21"/>
  <c r="AJ73" i="21"/>
  <c r="AI73" i="21"/>
  <c r="E75" i="21"/>
  <c r="AG75" i="21" s="1"/>
  <c r="F75" i="21"/>
  <c r="T75" i="21" s="1"/>
  <c r="M75" i="21"/>
  <c r="AA75" i="21" s="1"/>
  <c r="H75" i="21"/>
  <c r="V75" i="21" s="1"/>
  <c r="R74" i="21"/>
  <c r="P75" i="21"/>
  <c r="AD75" i="21" s="1"/>
  <c r="AF74" i="21"/>
  <c r="I75" i="21"/>
  <c r="O75" i="21"/>
  <c r="AC75" i="21" s="1"/>
  <c r="AG74" i="21"/>
  <c r="G75" i="21"/>
  <c r="U75" i="21" s="1"/>
  <c r="K75" i="21"/>
  <c r="Y75" i="21" s="1"/>
  <c r="L75" i="21"/>
  <c r="Z75" i="21" s="1"/>
  <c r="N75" i="21"/>
  <c r="AB75" i="21" s="1"/>
  <c r="J75" i="21"/>
  <c r="X75" i="21" s="1"/>
  <c r="AM74" i="24" l="1"/>
  <c r="AM75" i="21"/>
  <c r="AL75" i="21"/>
  <c r="AL74" i="24"/>
  <c r="W74" i="24"/>
  <c r="W75" i="21"/>
  <c r="S74" i="24"/>
  <c r="AH73" i="24"/>
  <c r="AK73" i="24" s="1"/>
  <c r="E75" i="24"/>
  <c r="AG75" i="24" s="1"/>
  <c r="AF74" i="24"/>
  <c r="AH74" i="24" s="1"/>
  <c r="AJ74" i="24" s="1"/>
  <c r="J75" i="24"/>
  <c r="X75" i="24" s="1"/>
  <c r="R74" i="24"/>
  <c r="H75" i="24"/>
  <c r="V75" i="24" s="1"/>
  <c r="P75" i="24"/>
  <c r="AD75" i="24" s="1"/>
  <c r="N75" i="24"/>
  <c r="AB75" i="24" s="1"/>
  <c r="M75" i="24"/>
  <c r="AA75" i="24" s="1"/>
  <c r="K75" i="24"/>
  <c r="Y75" i="24" s="1"/>
  <c r="I75" i="24"/>
  <c r="O75" i="24"/>
  <c r="AC75" i="24" s="1"/>
  <c r="L75" i="24"/>
  <c r="Z75" i="24" s="1"/>
  <c r="F75" i="24"/>
  <c r="T75" i="24" s="1"/>
  <c r="G75" i="24"/>
  <c r="U75" i="24" s="1"/>
  <c r="S75" i="21"/>
  <c r="AH74" i="21"/>
  <c r="I76" i="21"/>
  <c r="L76" i="21"/>
  <c r="Z76" i="21" s="1"/>
  <c r="M76" i="21"/>
  <c r="AA76" i="21" s="1"/>
  <c r="E76" i="21"/>
  <c r="AG76" i="21" s="1"/>
  <c r="F76" i="21"/>
  <c r="T76" i="21" s="1"/>
  <c r="AF75" i="21"/>
  <c r="AH75" i="21" s="1"/>
  <c r="K76" i="21"/>
  <c r="Y76" i="21" s="1"/>
  <c r="R75" i="21"/>
  <c r="O76" i="21"/>
  <c r="AC76" i="21" s="1"/>
  <c r="N76" i="21"/>
  <c r="AB76" i="21" s="1"/>
  <c r="P76" i="21"/>
  <c r="AD76" i="21" s="1"/>
  <c r="H76" i="21"/>
  <c r="V76" i="21" s="1"/>
  <c r="G76" i="21"/>
  <c r="U76" i="21" s="1"/>
  <c r="J76" i="21"/>
  <c r="X76" i="21" s="1"/>
  <c r="AM75" i="24" l="1"/>
  <c r="AM76" i="21"/>
  <c r="AL76" i="21"/>
  <c r="AL75" i="24"/>
  <c r="W75" i="24"/>
  <c r="W76" i="21"/>
  <c r="AJ73" i="24"/>
  <c r="AI73" i="24"/>
  <c r="AK74" i="24"/>
  <c r="S75" i="24"/>
  <c r="AI74" i="24"/>
  <c r="N76" i="24"/>
  <c r="AB76" i="24" s="1"/>
  <c r="AF75" i="24"/>
  <c r="AH75" i="24" s="1"/>
  <c r="AJ75" i="24" s="1"/>
  <c r="K76" i="24"/>
  <c r="Y76" i="24" s="1"/>
  <c r="E76" i="24"/>
  <c r="AG76" i="24" s="1"/>
  <c r="J76" i="24"/>
  <c r="X76" i="24" s="1"/>
  <c r="I76" i="24"/>
  <c r="G76" i="24"/>
  <c r="U76" i="24" s="1"/>
  <c r="L76" i="24"/>
  <c r="Z76" i="24" s="1"/>
  <c r="H76" i="24"/>
  <c r="V76" i="24" s="1"/>
  <c r="F76" i="24"/>
  <c r="T76" i="24" s="1"/>
  <c r="P76" i="24"/>
  <c r="AD76" i="24" s="1"/>
  <c r="O76" i="24"/>
  <c r="AC76" i="24" s="1"/>
  <c r="M76" i="24"/>
  <c r="AA76" i="24" s="1"/>
  <c r="R75" i="24"/>
  <c r="AI74" i="21"/>
  <c r="AJ74" i="21"/>
  <c r="AK74" i="21"/>
  <c r="AI75" i="21"/>
  <c r="AJ75" i="21"/>
  <c r="AK75" i="21"/>
  <c r="S76" i="21"/>
  <c r="F77" i="21"/>
  <c r="T77" i="21" s="1"/>
  <c r="E77" i="21"/>
  <c r="AG77" i="21" s="1"/>
  <c r="K77" i="21"/>
  <c r="Y77" i="21" s="1"/>
  <c r="J77" i="21"/>
  <c r="X77" i="21" s="1"/>
  <c r="O77" i="21"/>
  <c r="AC77" i="21" s="1"/>
  <c r="R76" i="21"/>
  <c r="H77" i="21"/>
  <c r="V77" i="21" s="1"/>
  <c r="G77" i="21"/>
  <c r="U77" i="21" s="1"/>
  <c r="P77" i="21"/>
  <c r="AD77" i="21" s="1"/>
  <c r="AF76" i="21"/>
  <c r="AH76" i="21" s="1"/>
  <c r="L77" i="21"/>
  <c r="Z77" i="21" s="1"/>
  <c r="M77" i="21"/>
  <c r="AA77" i="21" s="1"/>
  <c r="I77" i="21"/>
  <c r="N77" i="21"/>
  <c r="AB77" i="21" s="1"/>
  <c r="AM76" i="24" l="1"/>
  <c r="AM77" i="21"/>
  <c r="AL77" i="21"/>
  <c r="AL76" i="24"/>
  <c r="W76" i="24"/>
  <c r="W77" i="21"/>
  <c r="S76" i="24"/>
  <c r="P77" i="24"/>
  <c r="AD77" i="24" s="1"/>
  <c r="J77" i="24"/>
  <c r="X77" i="24" s="1"/>
  <c r="AF76" i="24"/>
  <c r="AH76" i="24" s="1"/>
  <c r="AK76" i="24" s="1"/>
  <c r="O77" i="24"/>
  <c r="AC77" i="24" s="1"/>
  <c r="H77" i="24"/>
  <c r="V77" i="24" s="1"/>
  <c r="N77" i="24"/>
  <c r="AB77" i="24" s="1"/>
  <c r="G77" i="24"/>
  <c r="U77" i="24" s="1"/>
  <c r="R76" i="24"/>
  <c r="E77" i="24"/>
  <c r="L77" i="24"/>
  <c r="Z77" i="24" s="1"/>
  <c r="M77" i="24"/>
  <c r="AA77" i="24" s="1"/>
  <c r="K77" i="24"/>
  <c r="Y77" i="24" s="1"/>
  <c r="I77" i="24"/>
  <c r="F77" i="24"/>
  <c r="T77" i="24" s="1"/>
  <c r="AJ76" i="21"/>
  <c r="AI76" i="21"/>
  <c r="AK76" i="21"/>
  <c r="S77" i="21"/>
  <c r="P78" i="21"/>
  <c r="AD78" i="21" s="1"/>
  <c r="J78" i="21"/>
  <c r="X78" i="21" s="1"/>
  <c r="I78" i="21"/>
  <c r="O78" i="21"/>
  <c r="AC78" i="21" s="1"/>
  <c r="H78" i="21"/>
  <c r="V78" i="21" s="1"/>
  <c r="M78" i="21"/>
  <c r="AA78" i="21" s="1"/>
  <c r="L78" i="21"/>
  <c r="Z78" i="21" s="1"/>
  <c r="E78" i="21"/>
  <c r="S78" i="21" s="1"/>
  <c r="G78" i="21"/>
  <c r="U78" i="21" s="1"/>
  <c r="F78" i="21"/>
  <c r="AF77" i="21"/>
  <c r="AH77" i="21" s="1"/>
  <c r="R77" i="21"/>
  <c r="N78" i="21"/>
  <c r="AB78" i="21" s="1"/>
  <c r="K78" i="21"/>
  <c r="Y78" i="21" s="1"/>
  <c r="AI75" i="24"/>
  <c r="AK75" i="24"/>
  <c r="AM77" i="24" l="1"/>
  <c r="AM78" i="21"/>
  <c r="AL78" i="21"/>
  <c r="AL77" i="24"/>
  <c r="W77" i="24"/>
  <c r="W78" i="21"/>
  <c r="AI76" i="24"/>
  <c r="AJ76" i="24"/>
  <c r="AF77" i="24"/>
  <c r="R77" i="24"/>
  <c r="K78" i="24"/>
  <c r="Y78" i="24" s="1"/>
  <c r="H78" i="24"/>
  <c r="V78" i="24" s="1"/>
  <c r="F78" i="24"/>
  <c r="T78" i="24" s="1"/>
  <c r="I78" i="24"/>
  <c r="O78" i="24"/>
  <c r="AC78" i="24" s="1"/>
  <c r="S77" i="24"/>
  <c r="AG77" i="24"/>
  <c r="N78" i="24"/>
  <c r="AB78" i="24" s="1"/>
  <c r="P78" i="24"/>
  <c r="AD78" i="24" s="1"/>
  <c r="E78" i="24"/>
  <c r="AG78" i="24" s="1"/>
  <c r="G78" i="24"/>
  <c r="U78" i="24" s="1"/>
  <c r="M78" i="24"/>
  <c r="AA78" i="24" s="1"/>
  <c r="J78" i="24"/>
  <c r="X78" i="24" s="1"/>
  <c r="L78" i="24"/>
  <c r="Z78" i="24" s="1"/>
  <c r="AK77" i="21"/>
  <c r="AJ77" i="21"/>
  <c r="AI77" i="21"/>
  <c r="AG78" i="21"/>
  <c r="M79" i="21"/>
  <c r="AA79" i="21" s="1"/>
  <c r="T78" i="21"/>
  <c r="R78" i="21"/>
  <c r="P79" i="21"/>
  <c r="AD79" i="21" s="1"/>
  <c r="N79" i="21"/>
  <c r="AB79" i="21" s="1"/>
  <c r="K79" i="21"/>
  <c r="Y79" i="21" s="1"/>
  <c r="G79" i="21"/>
  <c r="U79" i="21" s="1"/>
  <c r="O79" i="21"/>
  <c r="AC79" i="21" s="1"/>
  <c r="H79" i="21"/>
  <c r="V79" i="21" s="1"/>
  <c r="L79" i="21"/>
  <c r="Z79" i="21" s="1"/>
  <c r="E79" i="21"/>
  <c r="S79" i="21" s="1"/>
  <c r="I79" i="21"/>
  <c r="F79" i="21"/>
  <c r="J79" i="21"/>
  <c r="X79" i="21" s="1"/>
  <c r="AF78" i="21"/>
  <c r="AM78" i="24" l="1"/>
  <c r="AM79" i="21"/>
  <c r="AL79" i="21"/>
  <c r="AL78" i="24"/>
  <c r="W78" i="24"/>
  <c r="W79" i="21"/>
  <c r="AH77" i="24"/>
  <c r="AJ77" i="24" s="1"/>
  <c r="S78" i="24"/>
  <c r="I79" i="24"/>
  <c r="M79" i="24"/>
  <c r="AA79" i="24" s="1"/>
  <c r="R78" i="24"/>
  <c r="F79" i="24"/>
  <c r="T79" i="24" s="1"/>
  <c r="N79" i="24"/>
  <c r="AB79" i="24" s="1"/>
  <c r="O79" i="24"/>
  <c r="AC79" i="24" s="1"/>
  <c r="G79" i="24"/>
  <c r="U79" i="24" s="1"/>
  <c r="P79" i="24"/>
  <c r="AD79" i="24" s="1"/>
  <c r="H79" i="24"/>
  <c r="V79" i="24" s="1"/>
  <c r="E79" i="24"/>
  <c r="AG79" i="24" s="1"/>
  <c r="J79" i="24"/>
  <c r="X79" i="24" s="1"/>
  <c r="K79" i="24"/>
  <c r="Y79" i="24" s="1"/>
  <c r="AF78" i="24"/>
  <c r="AH78" i="24" s="1"/>
  <c r="L79" i="24"/>
  <c r="Z79" i="24" s="1"/>
  <c r="AG79" i="21"/>
  <c r="AH78" i="21"/>
  <c r="AF79" i="21"/>
  <c r="R79" i="21"/>
  <c r="K80" i="21"/>
  <c r="Y80" i="21" s="1"/>
  <c r="L80" i="21"/>
  <c r="Z80" i="21" s="1"/>
  <c r="P80" i="21"/>
  <c r="AD80" i="21" s="1"/>
  <c r="I80" i="21"/>
  <c r="H80" i="21"/>
  <c r="V80" i="21" s="1"/>
  <c r="J80" i="21"/>
  <c r="X80" i="21" s="1"/>
  <c r="T79" i="21"/>
  <c r="M80" i="21"/>
  <c r="AA80" i="21" s="1"/>
  <c r="N80" i="21"/>
  <c r="AB80" i="21" s="1"/>
  <c r="O80" i="21"/>
  <c r="AC80" i="21" s="1"/>
  <c r="F80" i="21"/>
  <c r="T80" i="21" s="1"/>
  <c r="E80" i="21"/>
  <c r="AG80" i="21" s="1"/>
  <c r="G80" i="21"/>
  <c r="U80" i="21" s="1"/>
  <c r="AM79" i="24" l="1"/>
  <c r="AM80" i="21"/>
  <c r="AL80" i="21"/>
  <c r="AL79" i="24"/>
  <c r="W79" i="24"/>
  <c r="W80" i="21"/>
  <c r="AI77" i="24"/>
  <c r="AK77" i="24"/>
  <c r="S79" i="24"/>
  <c r="I80" i="24"/>
  <c r="E80" i="24"/>
  <c r="AG80" i="24" s="1"/>
  <c r="L80" i="24"/>
  <c r="Z80" i="24" s="1"/>
  <c r="G80" i="24"/>
  <c r="U80" i="24" s="1"/>
  <c r="R79" i="24"/>
  <c r="J80" i="24"/>
  <c r="X80" i="24" s="1"/>
  <c r="F80" i="24"/>
  <c r="T80" i="24" s="1"/>
  <c r="AF79" i="24"/>
  <c r="AH79" i="24" s="1"/>
  <c r="AK79" i="24" s="1"/>
  <c r="O80" i="24"/>
  <c r="AC80" i="24" s="1"/>
  <c r="P80" i="24"/>
  <c r="AD80" i="24" s="1"/>
  <c r="N80" i="24"/>
  <c r="AB80" i="24" s="1"/>
  <c r="H80" i="24"/>
  <c r="V80" i="24" s="1"/>
  <c r="M80" i="24"/>
  <c r="AA80" i="24" s="1"/>
  <c r="K80" i="24"/>
  <c r="Y80" i="24" s="1"/>
  <c r="AK78" i="21"/>
  <c r="AI78" i="21"/>
  <c r="AJ78" i="21"/>
  <c r="AH79" i="21"/>
  <c r="AF80" i="21"/>
  <c r="AH80" i="21" s="1"/>
  <c r="S80" i="21"/>
  <c r="J81" i="21"/>
  <c r="X81" i="21" s="1"/>
  <c r="K81" i="21"/>
  <c r="Y81" i="21" s="1"/>
  <c r="H81" i="21"/>
  <c r="V81" i="21" s="1"/>
  <c r="N81" i="21"/>
  <c r="AB81" i="21" s="1"/>
  <c r="O81" i="21"/>
  <c r="AC81" i="21" s="1"/>
  <c r="F81" i="21"/>
  <c r="T81" i="21" s="1"/>
  <c r="M81" i="21"/>
  <c r="AA81" i="21" s="1"/>
  <c r="E81" i="21"/>
  <c r="AG81" i="21" s="1"/>
  <c r="R80" i="21"/>
  <c r="G81" i="21"/>
  <c r="U81" i="21" s="1"/>
  <c r="L81" i="21"/>
  <c r="Z81" i="21" s="1"/>
  <c r="P81" i="21"/>
  <c r="AD81" i="21" s="1"/>
  <c r="I81" i="21"/>
  <c r="AI78" i="24"/>
  <c r="AJ78" i="24"/>
  <c r="AK78" i="24"/>
  <c r="AM80" i="24" l="1"/>
  <c r="AM81" i="21"/>
  <c r="AL81" i="21"/>
  <c r="AL80" i="24"/>
  <c r="W80" i="24"/>
  <c r="S80" i="24"/>
  <c r="AJ79" i="24"/>
  <c r="AI79" i="24"/>
  <c r="AF80" i="24"/>
  <c r="AH80" i="24" s="1"/>
  <c r="AK80" i="24" s="1"/>
  <c r="E81" i="24"/>
  <c r="AG81" i="24" s="1"/>
  <c r="L81" i="24"/>
  <c r="Z81" i="24" s="1"/>
  <c r="K81" i="24"/>
  <c r="Y81" i="24" s="1"/>
  <c r="R80" i="24"/>
  <c r="N81" i="24"/>
  <c r="AB81" i="24" s="1"/>
  <c r="M81" i="24"/>
  <c r="AA81" i="24" s="1"/>
  <c r="O81" i="24"/>
  <c r="AC81" i="24" s="1"/>
  <c r="H81" i="24"/>
  <c r="V81" i="24" s="1"/>
  <c r="I81" i="24"/>
  <c r="G81" i="24"/>
  <c r="U81" i="24" s="1"/>
  <c r="J81" i="24"/>
  <c r="X81" i="24" s="1"/>
  <c r="P81" i="24"/>
  <c r="AD81" i="24" s="1"/>
  <c r="F81" i="24"/>
  <c r="T81" i="24" s="1"/>
  <c r="AI79" i="21"/>
  <c r="AJ79" i="21"/>
  <c r="AK79" i="21"/>
  <c r="AJ80" i="21"/>
  <c r="AK80" i="21"/>
  <c r="AI80" i="21"/>
  <c r="S81" i="21"/>
  <c r="E82" i="21"/>
  <c r="AG82" i="21" s="1"/>
  <c r="W81" i="21"/>
  <c r="AF81" i="21"/>
  <c r="AH81" i="21" s="1"/>
  <c r="J82" i="21"/>
  <c r="X82" i="21" s="1"/>
  <c r="H82" i="21"/>
  <c r="V82" i="21" s="1"/>
  <c r="O82" i="21"/>
  <c r="AC82" i="21" s="1"/>
  <c r="F82" i="21"/>
  <c r="T82" i="21" s="1"/>
  <c r="M82" i="21"/>
  <c r="AA82" i="21" s="1"/>
  <c r="I82" i="21"/>
  <c r="L82" i="21"/>
  <c r="Z82" i="21" s="1"/>
  <c r="K82" i="21"/>
  <c r="Y82" i="21" s="1"/>
  <c r="N82" i="21"/>
  <c r="AB82" i="21" s="1"/>
  <c r="R81" i="21"/>
  <c r="G82" i="21"/>
  <c r="U82" i="21" s="1"/>
  <c r="P82" i="21"/>
  <c r="AD82" i="21" s="1"/>
  <c r="AM81" i="24" l="1"/>
  <c r="AM82" i="21"/>
  <c r="AL82" i="21"/>
  <c r="AL81" i="24"/>
  <c r="W81" i="24"/>
  <c r="W82" i="21"/>
  <c r="S81" i="24"/>
  <c r="M82" i="24"/>
  <c r="AA82" i="24" s="1"/>
  <c r="F82" i="24"/>
  <c r="T82" i="24" s="1"/>
  <c r="N82" i="24"/>
  <c r="AB82" i="24" s="1"/>
  <c r="H82" i="24"/>
  <c r="V82" i="24" s="1"/>
  <c r="G82" i="24"/>
  <c r="U82" i="24" s="1"/>
  <c r="L82" i="24"/>
  <c r="Z82" i="24" s="1"/>
  <c r="E82" i="24"/>
  <c r="O82" i="24"/>
  <c r="AC82" i="24" s="1"/>
  <c r="AF81" i="24"/>
  <c r="AH81" i="24" s="1"/>
  <c r="R81" i="24"/>
  <c r="J82" i="24"/>
  <c r="X82" i="24" s="1"/>
  <c r="K82" i="24"/>
  <c r="Y82" i="24" s="1"/>
  <c r="P82" i="24"/>
  <c r="AD82" i="24" s="1"/>
  <c r="I82" i="24"/>
  <c r="AK81" i="21"/>
  <c r="AJ81" i="21"/>
  <c r="AI81" i="21"/>
  <c r="S82" i="21"/>
  <c r="N83" i="21"/>
  <c r="AB83" i="21" s="1"/>
  <c r="J83" i="21"/>
  <c r="X83" i="21" s="1"/>
  <c r="H83" i="21"/>
  <c r="V83" i="21" s="1"/>
  <c r="M83" i="21"/>
  <c r="AA83" i="21" s="1"/>
  <c r="L83" i="21"/>
  <c r="Z83" i="21" s="1"/>
  <c r="P83" i="21"/>
  <c r="AD83" i="21" s="1"/>
  <c r="G83" i="21"/>
  <c r="U83" i="21" s="1"/>
  <c r="E83" i="21"/>
  <c r="S83" i="21" s="1"/>
  <c r="R82" i="21"/>
  <c r="O83" i="21"/>
  <c r="AC83" i="21" s="1"/>
  <c r="AF82" i="21"/>
  <c r="AH82" i="21" s="1"/>
  <c r="I83" i="21"/>
  <c r="K83" i="21"/>
  <c r="Y83" i="21" s="1"/>
  <c r="F83" i="21"/>
  <c r="T83" i="21" s="1"/>
  <c r="AJ80" i="24"/>
  <c r="AI80" i="24"/>
  <c r="AM82" i="24" l="1"/>
  <c r="AM83" i="21"/>
  <c r="AL83" i="21"/>
  <c r="AL82" i="24"/>
  <c r="W82" i="24"/>
  <c r="W83" i="21"/>
  <c r="AF82" i="24"/>
  <c r="K83" i="24"/>
  <c r="Y83" i="24" s="1"/>
  <c r="F83" i="24"/>
  <c r="T83" i="24" s="1"/>
  <c r="AG82" i="24"/>
  <c r="L83" i="24"/>
  <c r="Z83" i="24" s="1"/>
  <c r="P83" i="24"/>
  <c r="AD83" i="24" s="1"/>
  <c r="H83" i="24"/>
  <c r="V83" i="24" s="1"/>
  <c r="N83" i="24"/>
  <c r="AB83" i="24" s="1"/>
  <c r="R82" i="24"/>
  <c r="J83" i="24"/>
  <c r="X83" i="24" s="1"/>
  <c r="S82" i="24"/>
  <c r="M83" i="24"/>
  <c r="AA83" i="24" s="1"/>
  <c r="E83" i="24"/>
  <c r="AG83" i="24" s="1"/>
  <c r="I83" i="24"/>
  <c r="O83" i="24"/>
  <c r="AC83" i="24" s="1"/>
  <c r="G83" i="24"/>
  <c r="U83" i="24" s="1"/>
  <c r="AI82" i="21"/>
  <c r="AK82" i="21"/>
  <c r="AJ82" i="21"/>
  <c r="AF83" i="21"/>
  <c r="P84" i="21"/>
  <c r="AD84" i="21" s="1"/>
  <c r="I84" i="21"/>
  <c r="E84" i="21"/>
  <c r="S84" i="21" s="1"/>
  <c r="R83" i="21"/>
  <c r="N84" i="21"/>
  <c r="AB84" i="21" s="1"/>
  <c r="M84" i="21"/>
  <c r="AA84" i="21" s="1"/>
  <c r="H84" i="21"/>
  <c r="V84" i="21" s="1"/>
  <c r="O84" i="21"/>
  <c r="AC84" i="21" s="1"/>
  <c r="F84" i="21"/>
  <c r="T84" i="21" s="1"/>
  <c r="J84" i="21"/>
  <c r="X84" i="21" s="1"/>
  <c r="K84" i="21"/>
  <c r="Y84" i="21" s="1"/>
  <c r="AG83" i="21"/>
  <c r="G84" i="21"/>
  <c r="U84" i="21" s="1"/>
  <c r="L84" i="21"/>
  <c r="Z84" i="21" s="1"/>
  <c r="AJ81" i="24"/>
  <c r="AI81" i="24"/>
  <c r="AK81" i="24"/>
  <c r="AM83" i="24" l="1"/>
  <c r="AM84" i="21"/>
  <c r="AL84" i="21"/>
  <c r="AL83" i="24"/>
  <c r="W83" i="24"/>
  <c r="W84" i="21"/>
  <c r="S83" i="24"/>
  <c r="AH82" i="24"/>
  <c r="AI82" i="24" s="1"/>
  <c r="I84" i="24"/>
  <c r="N84" i="24"/>
  <c r="AB84" i="24" s="1"/>
  <c r="O84" i="24"/>
  <c r="AC84" i="24" s="1"/>
  <c r="H84" i="24"/>
  <c r="V84" i="24" s="1"/>
  <c r="P84" i="24"/>
  <c r="AD84" i="24" s="1"/>
  <c r="E84" i="24"/>
  <c r="AF83" i="24"/>
  <c r="AH83" i="24" s="1"/>
  <c r="AK83" i="24" s="1"/>
  <c r="M84" i="24"/>
  <c r="AA84" i="24" s="1"/>
  <c r="F84" i="24"/>
  <c r="T84" i="24" s="1"/>
  <c r="R83" i="24"/>
  <c r="L84" i="24"/>
  <c r="Z84" i="24" s="1"/>
  <c r="G84" i="24"/>
  <c r="U84" i="24" s="1"/>
  <c r="K84" i="24"/>
  <c r="Y84" i="24" s="1"/>
  <c r="J84" i="24"/>
  <c r="X84" i="24" s="1"/>
  <c r="AG84" i="21"/>
  <c r="AH83" i="21"/>
  <c r="AF84" i="21"/>
  <c r="H85" i="21"/>
  <c r="V85" i="21" s="1"/>
  <c r="I85" i="21"/>
  <c r="M85" i="21"/>
  <c r="AA85" i="21" s="1"/>
  <c r="P85" i="21"/>
  <c r="AD85" i="21" s="1"/>
  <c r="R84" i="21"/>
  <c r="G85" i="21"/>
  <c r="U85" i="21" s="1"/>
  <c r="N85" i="21"/>
  <c r="AB85" i="21" s="1"/>
  <c r="K85" i="21"/>
  <c r="Y85" i="21" s="1"/>
  <c r="J85" i="21"/>
  <c r="X85" i="21" s="1"/>
  <c r="F85" i="21"/>
  <c r="T85" i="21" s="1"/>
  <c r="O85" i="21"/>
  <c r="AC85" i="21" s="1"/>
  <c r="E85" i="21"/>
  <c r="S85" i="21" s="1"/>
  <c r="L85" i="21"/>
  <c r="Z85" i="21" s="1"/>
  <c r="AM84" i="24" l="1"/>
  <c r="AM85" i="21"/>
  <c r="AL85" i="21"/>
  <c r="AL84" i="24"/>
  <c r="AJ82" i="24"/>
  <c r="AK82" i="24"/>
  <c r="W84" i="24"/>
  <c r="W85" i="21"/>
  <c r="P85" i="24"/>
  <c r="AD85" i="24" s="1"/>
  <c r="AF84" i="24"/>
  <c r="AG84" i="24"/>
  <c r="I85" i="24"/>
  <c r="S84" i="24"/>
  <c r="F85" i="24"/>
  <c r="T85" i="24" s="1"/>
  <c r="J85" i="24"/>
  <c r="X85" i="24" s="1"/>
  <c r="L85" i="24"/>
  <c r="Z85" i="24" s="1"/>
  <c r="R84" i="24"/>
  <c r="O85" i="24"/>
  <c r="AC85" i="24" s="1"/>
  <c r="G85" i="24"/>
  <c r="U85" i="24" s="1"/>
  <c r="H85" i="24"/>
  <c r="V85" i="24" s="1"/>
  <c r="N85" i="24"/>
  <c r="AB85" i="24" s="1"/>
  <c r="K85" i="24"/>
  <c r="Y85" i="24" s="1"/>
  <c r="E85" i="24"/>
  <c r="S85" i="24" s="1"/>
  <c r="M85" i="24"/>
  <c r="AA85" i="24" s="1"/>
  <c r="AH84" i="21"/>
  <c r="AJ84" i="21" s="1"/>
  <c r="AI83" i="21"/>
  <c r="AJ83" i="21"/>
  <c r="AK83" i="21"/>
  <c r="AG85" i="21"/>
  <c r="AF85" i="21"/>
  <c r="H86" i="21"/>
  <c r="V86" i="21" s="1"/>
  <c r="F86" i="21"/>
  <c r="T86" i="21" s="1"/>
  <c r="O86" i="21"/>
  <c r="AC86" i="21" s="1"/>
  <c r="L86" i="21"/>
  <c r="Z86" i="21" s="1"/>
  <c r="I86" i="21"/>
  <c r="J86" i="21"/>
  <c r="X86" i="21" s="1"/>
  <c r="K86" i="21"/>
  <c r="Y86" i="21" s="1"/>
  <c r="M86" i="21"/>
  <c r="AA86" i="21" s="1"/>
  <c r="N86" i="21"/>
  <c r="AB86" i="21" s="1"/>
  <c r="P86" i="21"/>
  <c r="AD86" i="21" s="1"/>
  <c r="E86" i="21"/>
  <c r="AG86" i="21" s="1"/>
  <c r="G86" i="21"/>
  <c r="U86" i="21" s="1"/>
  <c r="R85" i="21"/>
  <c r="AJ83" i="24"/>
  <c r="AI83" i="24"/>
  <c r="AM85" i="24" l="1"/>
  <c r="AM86" i="21"/>
  <c r="AL86" i="21"/>
  <c r="AL85" i="24"/>
  <c r="W85" i="24"/>
  <c r="W86" i="21"/>
  <c r="AH84" i="24"/>
  <c r="AI84" i="24" s="1"/>
  <c r="J86" i="24"/>
  <c r="X86" i="24" s="1"/>
  <c r="K86" i="24"/>
  <c r="Y86" i="24" s="1"/>
  <c r="P86" i="24"/>
  <c r="AD86" i="24" s="1"/>
  <c r="AG85" i="24"/>
  <c r="F86" i="24"/>
  <c r="H86" i="24"/>
  <c r="V86" i="24" s="1"/>
  <c r="G86" i="24"/>
  <c r="U86" i="24" s="1"/>
  <c r="L86" i="24"/>
  <c r="Z86" i="24" s="1"/>
  <c r="E86" i="24"/>
  <c r="S86" i="24" s="1"/>
  <c r="N86" i="24"/>
  <c r="AB86" i="24" s="1"/>
  <c r="M86" i="24"/>
  <c r="AA86" i="24" s="1"/>
  <c r="I86" i="24"/>
  <c r="AF85" i="24"/>
  <c r="O86" i="24"/>
  <c r="AC86" i="24" s="1"/>
  <c r="R85" i="24"/>
  <c r="AK84" i="21"/>
  <c r="AI84" i="21"/>
  <c r="AH85" i="21"/>
  <c r="S86" i="21"/>
  <c r="G87" i="21"/>
  <c r="U87" i="21" s="1"/>
  <c r="AF86" i="21"/>
  <c r="AH86" i="21" s="1"/>
  <c r="H87" i="21"/>
  <c r="V87" i="21" s="1"/>
  <c r="P87" i="21"/>
  <c r="AD87" i="21" s="1"/>
  <c r="O87" i="21"/>
  <c r="AC87" i="21" s="1"/>
  <c r="F87" i="21"/>
  <c r="T87" i="21" s="1"/>
  <c r="I87" i="21"/>
  <c r="K87" i="21"/>
  <c r="Y87" i="21" s="1"/>
  <c r="L87" i="21"/>
  <c r="Z87" i="21" s="1"/>
  <c r="R86" i="21"/>
  <c r="J87" i="21"/>
  <c r="X87" i="21" s="1"/>
  <c r="E87" i="21"/>
  <c r="S87" i="21" s="1"/>
  <c r="N87" i="21"/>
  <c r="AB87" i="21" s="1"/>
  <c r="M87" i="21"/>
  <c r="AA87" i="21" s="1"/>
  <c r="AM86" i="24" l="1"/>
  <c r="AM87" i="21"/>
  <c r="AL87" i="21"/>
  <c r="AL86" i="24"/>
  <c r="W86" i="24"/>
  <c r="W87" i="21"/>
  <c r="AK84" i="24"/>
  <c r="AJ84" i="24"/>
  <c r="AG86" i="24"/>
  <c r="I87" i="24"/>
  <c r="AH85" i="24"/>
  <c r="AJ85" i="24" s="1"/>
  <c r="T86" i="24"/>
  <c r="AF86" i="24"/>
  <c r="P87" i="24"/>
  <c r="AD87" i="24" s="1"/>
  <c r="O87" i="24"/>
  <c r="AC87" i="24" s="1"/>
  <c r="G87" i="24"/>
  <c r="U87" i="24" s="1"/>
  <c r="N87" i="24"/>
  <c r="AB87" i="24" s="1"/>
  <c r="J87" i="24"/>
  <c r="X87" i="24" s="1"/>
  <c r="R86" i="24"/>
  <c r="M87" i="24"/>
  <c r="AA87" i="24" s="1"/>
  <c r="F87" i="24"/>
  <c r="T87" i="24" s="1"/>
  <c r="L87" i="24"/>
  <c r="Z87" i="24" s="1"/>
  <c r="K87" i="24"/>
  <c r="Y87" i="24" s="1"/>
  <c r="H87" i="24"/>
  <c r="V87" i="24" s="1"/>
  <c r="E87" i="24"/>
  <c r="AG87" i="24" s="1"/>
  <c r="AI86" i="21"/>
  <c r="AK86" i="21"/>
  <c r="AJ86" i="21"/>
  <c r="AK85" i="21"/>
  <c r="AJ85" i="21"/>
  <c r="AI85" i="21"/>
  <c r="N88" i="21"/>
  <c r="AB88" i="21" s="1"/>
  <c r="AG87" i="21"/>
  <c r="I88" i="21"/>
  <c r="AF87" i="21"/>
  <c r="H88" i="21"/>
  <c r="V88" i="21" s="1"/>
  <c r="M88" i="21"/>
  <c r="AA88" i="21" s="1"/>
  <c r="K88" i="21"/>
  <c r="Y88" i="21" s="1"/>
  <c r="F88" i="21"/>
  <c r="T88" i="21" s="1"/>
  <c r="E88" i="21"/>
  <c r="AG88" i="21" s="1"/>
  <c r="R87" i="21"/>
  <c r="L88" i="21"/>
  <c r="Z88" i="21" s="1"/>
  <c r="P88" i="21"/>
  <c r="AD88" i="21" s="1"/>
  <c r="G88" i="21"/>
  <c r="U88" i="21" s="1"/>
  <c r="J88" i="21"/>
  <c r="X88" i="21" s="1"/>
  <c r="O88" i="21"/>
  <c r="AC88" i="21" s="1"/>
  <c r="AM87" i="24" l="1"/>
  <c r="AM88" i="21"/>
  <c r="AL88" i="21"/>
  <c r="AL87" i="24"/>
  <c r="W87" i="24"/>
  <c r="W88" i="21"/>
  <c r="AK85" i="24"/>
  <c r="AI85" i="24"/>
  <c r="AH86" i="24"/>
  <c r="AJ86" i="24" s="1"/>
  <c r="AF87" i="24"/>
  <c r="AH87" i="24" s="1"/>
  <c r="G88" i="24"/>
  <c r="U88" i="24" s="1"/>
  <c r="N88" i="24"/>
  <c r="AB88" i="24" s="1"/>
  <c r="I88" i="24"/>
  <c r="O88" i="24"/>
  <c r="AC88" i="24" s="1"/>
  <c r="F88" i="24"/>
  <c r="T88" i="24" s="1"/>
  <c r="S87" i="24"/>
  <c r="P88" i="24"/>
  <c r="AD88" i="24" s="1"/>
  <c r="L88" i="24"/>
  <c r="Z88" i="24" s="1"/>
  <c r="R87" i="24"/>
  <c r="E88" i="24"/>
  <c r="S88" i="24" s="1"/>
  <c r="J88" i="24"/>
  <c r="X88" i="24" s="1"/>
  <c r="K88" i="24"/>
  <c r="Y88" i="24" s="1"/>
  <c r="H88" i="24"/>
  <c r="V88" i="24" s="1"/>
  <c r="M88" i="24"/>
  <c r="AA88" i="24" s="1"/>
  <c r="AH87" i="21"/>
  <c r="G89" i="21"/>
  <c r="U89" i="21" s="1"/>
  <c r="M89" i="21"/>
  <c r="AA89" i="21" s="1"/>
  <c r="E89" i="21"/>
  <c r="AG89" i="21" s="1"/>
  <c r="I89" i="21"/>
  <c r="N89" i="21"/>
  <c r="AB89" i="21" s="1"/>
  <c r="AF88" i="21"/>
  <c r="AH88" i="21" s="1"/>
  <c r="S88" i="21"/>
  <c r="R88" i="21"/>
  <c r="L89" i="21"/>
  <c r="Z89" i="21" s="1"/>
  <c r="H89" i="21"/>
  <c r="V89" i="21" s="1"/>
  <c r="F89" i="21"/>
  <c r="T89" i="21" s="1"/>
  <c r="P89" i="21"/>
  <c r="AD89" i="21" s="1"/>
  <c r="K89" i="21"/>
  <c r="Y89" i="21" s="1"/>
  <c r="O89" i="21"/>
  <c r="AC89" i="21" s="1"/>
  <c r="J89" i="21"/>
  <c r="AM88" i="24" l="1"/>
  <c r="AM89" i="21"/>
  <c r="AL89" i="21"/>
  <c r="AL88" i="24"/>
  <c r="W88" i="24"/>
  <c r="W89" i="21"/>
  <c r="AI86" i="24"/>
  <c r="AK86" i="24"/>
  <c r="AG88" i="24"/>
  <c r="R88" i="24"/>
  <c r="K89" i="24"/>
  <c r="Y89" i="24" s="1"/>
  <c r="I89" i="24"/>
  <c r="E89" i="24"/>
  <c r="S89" i="24" s="1"/>
  <c r="F89" i="24"/>
  <c r="J89" i="24"/>
  <c r="X89" i="24" s="1"/>
  <c r="AF88" i="24"/>
  <c r="G89" i="24"/>
  <c r="U89" i="24" s="1"/>
  <c r="L89" i="24"/>
  <c r="Z89" i="24" s="1"/>
  <c r="H89" i="24"/>
  <c r="V89" i="24" s="1"/>
  <c r="N89" i="24"/>
  <c r="AB89" i="24" s="1"/>
  <c r="M89" i="24"/>
  <c r="AA89" i="24" s="1"/>
  <c r="O89" i="24"/>
  <c r="AC89" i="24" s="1"/>
  <c r="P89" i="24"/>
  <c r="AD89" i="24" s="1"/>
  <c r="AI87" i="21"/>
  <c r="AJ87" i="21"/>
  <c r="AK87" i="21"/>
  <c r="AJ88" i="21"/>
  <c r="AI88" i="21"/>
  <c r="AK88" i="21"/>
  <c r="S89" i="21"/>
  <c r="J90" i="21"/>
  <c r="X90" i="21" s="1"/>
  <c r="AF89" i="21"/>
  <c r="AH89" i="21" s="1"/>
  <c r="K90" i="21"/>
  <c r="Y90" i="21" s="1"/>
  <c r="H90" i="21"/>
  <c r="V90" i="21" s="1"/>
  <c r="M90" i="21"/>
  <c r="AA90" i="21" s="1"/>
  <c r="R89" i="21"/>
  <c r="G90" i="21"/>
  <c r="U90" i="21" s="1"/>
  <c r="N90" i="21"/>
  <c r="AB90" i="21" s="1"/>
  <c r="P90" i="21"/>
  <c r="AD90" i="21" s="1"/>
  <c r="F90" i="21"/>
  <c r="T90" i="21" s="1"/>
  <c r="I90" i="21"/>
  <c r="E90" i="21"/>
  <c r="AG90" i="21" s="1"/>
  <c r="X89" i="21"/>
  <c r="O90" i="21"/>
  <c r="AC90" i="21" s="1"/>
  <c r="L90" i="21"/>
  <c r="Z90" i="21" s="1"/>
  <c r="AI87" i="24"/>
  <c r="AK87" i="24"/>
  <c r="AJ87" i="24"/>
  <c r="AM89" i="24" l="1"/>
  <c r="AM90" i="21"/>
  <c r="AL90" i="21"/>
  <c r="AL89" i="24"/>
  <c r="W89" i="24"/>
  <c r="W90" i="21"/>
  <c r="AG89" i="24"/>
  <c r="AH88" i="24"/>
  <c r="AJ88" i="24" s="1"/>
  <c r="G90" i="24"/>
  <c r="U90" i="24" s="1"/>
  <c r="T89" i="24"/>
  <c r="K90" i="24"/>
  <c r="Y90" i="24" s="1"/>
  <c r="E90" i="24"/>
  <c r="AG90" i="24" s="1"/>
  <c r="L90" i="24"/>
  <c r="Z90" i="24" s="1"/>
  <c r="O90" i="24"/>
  <c r="AC90" i="24" s="1"/>
  <c r="I90" i="24"/>
  <c r="R89" i="24"/>
  <c r="M90" i="24"/>
  <c r="AA90" i="24" s="1"/>
  <c r="AF89" i="24"/>
  <c r="F90" i="24"/>
  <c r="T90" i="24" s="1"/>
  <c r="N90" i="24"/>
  <c r="AB90" i="24" s="1"/>
  <c r="P90" i="24"/>
  <c r="AD90" i="24" s="1"/>
  <c r="H90" i="24"/>
  <c r="V90" i="24" s="1"/>
  <c r="J90" i="24"/>
  <c r="X90" i="24" s="1"/>
  <c r="AK89" i="21"/>
  <c r="AI89" i="21"/>
  <c r="AJ89" i="21"/>
  <c r="L91" i="21"/>
  <c r="Z91" i="21" s="1"/>
  <c r="H91" i="21"/>
  <c r="V91" i="21" s="1"/>
  <c r="I91" i="21"/>
  <c r="P91" i="21"/>
  <c r="AD91" i="21" s="1"/>
  <c r="R90" i="21"/>
  <c r="M91" i="21"/>
  <c r="AA91" i="21" s="1"/>
  <c r="AF90" i="21"/>
  <c r="AH90" i="21" s="1"/>
  <c r="K91" i="21"/>
  <c r="Y91" i="21" s="1"/>
  <c r="E91" i="21"/>
  <c r="S91" i="21" s="1"/>
  <c r="J91" i="21"/>
  <c r="X91" i="21" s="1"/>
  <c r="G91" i="21"/>
  <c r="U91" i="21" s="1"/>
  <c r="N91" i="21"/>
  <c r="AB91" i="21" s="1"/>
  <c r="O91" i="21"/>
  <c r="AC91" i="21" s="1"/>
  <c r="F91" i="21"/>
  <c r="T91" i="21" s="1"/>
  <c r="S90" i="21"/>
  <c r="AM90" i="24" l="1"/>
  <c r="AM91" i="21"/>
  <c r="AL91" i="21"/>
  <c r="AL90" i="24"/>
  <c r="W90" i="24"/>
  <c r="W91" i="21"/>
  <c r="AK88" i="24"/>
  <c r="AI88" i="24"/>
  <c r="AH89" i="24"/>
  <c r="AJ89" i="24" s="1"/>
  <c r="S90" i="24"/>
  <c r="I91" i="24"/>
  <c r="E91" i="24"/>
  <c r="S91" i="24" s="1"/>
  <c r="K91" i="24"/>
  <c r="Y91" i="24" s="1"/>
  <c r="P91" i="24"/>
  <c r="AD91" i="24" s="1"/>
  <c r="M91" i="24"/>
  <c r="AA91" i="24" s="1"/>
  <c r="H91" i="24"/>
  <c r="V91" i="24" s="1"/>
  <c r="N91" i="24"/>
  <c r="AB91" i="24" s="1"/>
  <c r="J91" i="24"/>
  <c r="X91" i="24" s="1"/>
  <c r="R90" i="24"/>
  <c r="AF90" i="24"/>
  <c r="AH90" i="24" s="1"/>
  <c r="L91" i="24"/>
  <c r="Z91" i="24" s="1"/>
  <c r="G91" i="24"/>
  <c r="U91" i="24" s="1"/>
  <c r="O91" i="24"/>
  <c r="AC91" i="24" s="1"/>
  <c r="F91" i="24"/>
  <c r="T91" i="24" s="1"/>
  <c r="AI90" i="21"/>
  <c r="AK90" i="21"/>
  <c r="AJ90" i="21"/>
  <c r="AG91" i="21"/>
  <c r="F92" i="21"/>
  <c r="T92" i="21" s="1"/>
  <c r="H92" i="21"/>
  <c r="V92" i="21" s="1"/>
  <c r="L92" i="21"/>
  <c r="Z92" i="21" s="1"/>
  <c r="N92" i="21"/>
  <c r="AB92" i="21" s="1"/>
  <c r="E92" i="21"/>
  <c r="AG92" i="21" s="1"/>
  <c r="K92" i="21"/>
  <c r="Y92" i="21" s="1"/>
  <c r="P92" i="21"/>
  <c r="AD92" i="21" s="1"/>
  <c r="O92" i="21"/>
  <c r="AC92" i="21" s="1"/>
  <c r="G92" i="21"/>
  <c r="U92" i="21" s="1"/>
  <c r="R91" i="21"/>
  <c r="I92" i="21"/>
  <c r="M92" i="21"/>
  <c r="AA92" i="21" s="1"/>
  <c r="J92" i="21"/>
  <c r="X92" i="21" s="1"/>
  <c r="AF91" i="21"/>
  <c r="AM91" i="24" l="1"/>
  <c r="AM92" i="21"/>
  <c r="AL92" i="21"/>
  <c r="AL91" i="24"/>
  <c r="W91" i="24"/>
  <c r="W92" i="21"/>
  <c r="AK89" i="24"/>
  <c r="AI89" i="24"/>
  <c r="AG91" i="24"/>
  <c r="L92" i="24"/>
  <c r="Z92" i="24" s="1"/>
  <c r="I92" i="24"/>
  <c r="E92" i="24"/>
  <c r="S92" i="24" s="1"/>
  <c r="J92" i="24"/>
  <c r="X92" i="24" s="1"/>
  <c r="H92" i="24"/>
  <c r="V92" i="24" s="1"/>
  <c r="R91" i="24"/>
  <c r="K92" i="24"/>
  <c r="Y92" i="24" s="1"/>
  <c r="G92" i="24"/>
  <c r="U92" i="24" s="1"/>
  <c r="M92" i="24"/>
  <c r="AA92" i="24" s="1"/>
  <c r="P92" i="24"/>
  <c r="AD92" i="24" s="1"/>
  <c r="O92" i="24"/>
  <c r="AC92" i="24" s="1"/>
  <c r="N92" i="24"/>
  <c r="AB92" i="24" s="1"/>
  <c r="F92" i="24"/>
  <c r="T92" i="24" s="1"/>
  <c r="AF91" i="24"/>
  <c r="AH91" i="21"/>
  <c r="S92" i="21"/>
  <c r="AF92" i="21"/>
  <c r="AH92" i="21" s="1"/>
  <c r="M93" i="21"/>
  <c r="AA93" i="21" s="1"/>
  <c r="I93" i="21"/>
  <c r="H93" i="21"/>
  <c r="V93" i="21" s="1"/>
  <c r="G93" i="21"/>
  <c r="U93" i="21" s="1"/>
  <c r="K93" i="21"/>
  <c r="Y93" i="21" s="1"/>
  <c r="E93" i="21"/>
  <c r="AG93" i="21" s="1"/>
  <c r="L93" i="21"/>
  <c r="Z93" i="21" s="1"/>
  <c r="F93" i="21"/>
  <c r="T93" i="21" s="1"/>
  <c r="O93" i="21"/>
  <c r="AC93" i="21" s="1"/>
  <c r="P93" i="21"/>
  <c r="AD93" i="21" s="1"/>
  <c r="R92" i="21"/>
  <c r="N93" i="21"/>
  <c r="AB93" i="21" s="1"/>
  <c r="J93" i="21"/>
  <c r="X93" i="21" s="1"/>
  <c r="AI90" i="24"/>
  <c r="AK90" i="24"/>
  <c r="AJ90" i="24"/>
  <c r="AM92" i="24" l="1"/>
  <c r="AM93" i="21"/>
  <c r="AG92" i="24"/>
  <c r="AL93" i="21"/>
  <c r="AL92" i="24"/>
  <c r="W92" i="24"/>
  <c r="W93" i="21"/>
  <c r="AH91" i="24"/>
  <c r="AJ91" i="24" s="1"/>
  <c r="F93" i="24"/>
  <c r="T93" i="24" s="1"/>
  <c r="E93" i="24"/>
  <c r="S93" i="24" s="1"/>
  <c r="M93" i="24"/>
  <c r="AA93" i="24" s="1"/>
  <c r="G93" i="24"/>
  <c r="U93" i="24" s="1"/>
  <c r="R92" i="24"/>
  <c r="J93" i="24"/>
  <c r="X93" i="24" s="1"/>
  <c r="I93" i="24"/>
  <c r="P93" i="24"/>
  <c r="AD93" i="24" s="1"/>
  <c r="O93" i="24"/>
  <c r="AC93" i="24" s="1"/>
  <c r="AF92" i="24"/>
  <c r="K93" i="24"/>
  <c r="Y93" i="24" s="1"/>
  <c r="L93" i="24"/>
  <c r="Z93" i="24" s="1"/>
  <c r="H93" i="24"/>
  <c r="V93" i="24" s="1"/>
  <c r="N93" i="24"/>
  <c r="AB93" i="24" s="1"/>
  <c r="AJ92" i="21"/>
  <c r="AI92" i="21"/>
  <c r="AK92" i="21"/>
  <c r="AI91" i="21"/>
  <c r="AJ91" i="21"/>
  <c r="AK91" i="21"/>
  <c r="I94" i="21"/>
  <c r="R93" i="21"/>
  <c r="E94" i="21"/>
  <c r="S94" i="21" s="1"/>
  <c r="F94" i="21"/>
  <c r="T94" i="21" s="1"/>
  <c r="M94" i="21"/>
  <c r="AA94" i="21" s="1"/>
  <c r="AF93" i="21"/>
  <c r="AH93" i="21" s="1"/>
  <c r="G94" i="21"/>
  <c r="U94" i="21" s="1"/>
  <c r="S93" i="21"/>
  <c r="N94" i="21"/>
  <c r="AB94" i="21" s="1"/>
  <c r="H94" i="21"/>
  <c r="V94" i="21" s="1"/>
  <c r="O94" i="21"/>
  <c r="AC94" i="21" s="1"/>
  <c r="P94" i="21"/>
  <c r="AD94" i="21" s="1"/>
  <c r="K94" i="21"/>
  <c r="Y94" i="21" s="1"/>
  <c r="L94" i="21"/>
  <c r="Z94" i="21" s="1"/>
  <c r="J94" i="21"/>
  <c r="X94" i="21" s="1"/>
  <c r="AM93" i="24" l="1"/>
  <c r="AM94" i="21"/>
  <c r="AH92" i="24"/>
  <c r="AI92" i="24" s="1"/>
  <c r="AL94" i="21"/>
  <c r="AL93" i="24"/>
  <c r="W93" i="24"/>
  <c r="W94" i="21"/>
  <c r="AI91" i="24"/>
  <c r="AK91" i="24"/>
  <c r="AG93" i="24"/>
  <c r="O94" i="24"/>
  <c r="AC94" i="24" s="1"/>
  <c r="R93" i="24"/>
  <c r="I94" i="24"/>
  <c r="E94" i="24"/>
  <c r="S94" i="24" s="1"/>
  <c r="L94" i="24"/>
  <c r="Z94" i="24" s="1"/>
  <c r="H94" i="24"/>
  <c r="V94" i="24" s="1"/>
  <c r="AF93" i="24"/>
  <c r="G94" i="24"/>
  <c r="U94" i="24" s="1"/>
  <c r="N94" i="24"/>
  <c r="AB94" i="24" s="1"/>
  <c r="K94" i="24"/>
  <c r="Y94" i="24" s="1"/>
  <c r="M94" i="24"/>
  <c r="AA94" i="24" s="1"/>
  <c r="F94" i="24"/>
  <c r="T94" i="24" s="1"/>
  <c r="J94" i="24"/>
  <c r="X94" i="24" s="1"/>
  <c r="P94" i="24"/>
  <c r="AD94" i="24" s="1"/>
  <c r="AK93" i="21"/>
  <c r="AJ93" i="21"/>
  <c r="AI93" i="21"/>
  <c r="AG94" i="21"/>
  <c r="AF94" i="21"/>
  <c r="I95" i="21"/>
  <c r="E95" i="21"/>
  <c r="AG95" i="21" s="1"/>
  <c r="L95" i="21"/>
  <c r="Z95" i="21" s="1"/>
  <c r="J95" i="21"/>
  <c r="X95" i="21" s="1"/>
  <c r="O95" i="21"/>
  <c r="AC95" i="21" s="1"/>
  <c r="F95" i="21"/>
  <c r="T95" i="21" s="1"/>
  <c r="N95" i="21"/>
  <c r="AB95" i="21" s="1"/>
  <c r="P95" i="21"/>
  <c r="AD95" i="21" s="1"/>
  <c r="G95" i="21"/>
  <c r="U95" i="21" s="1"/>
  <c r="R94" i="21"/>
  <c r="H95" i="21"/>
  <c r="V95" i="21" s="1"/>
  <c r="M95" i="21"/>
  <c r="AA95" i="21" s="1"/>
  <c r="K95" i="21"/>
  <c r="Y95" i="21" s="1"/>
  <c r="AJ92" i="24" l="1"/>
  <c r="AM94" i="24"/>
  <c r="AM95" i="21"/>
  <c r="AK92" i="24"/>
  <c r="AL95" i="21"/>
  <c r="AL94" i="24"/>
  <c r="W94" i="24"/>
  <c r="W95" i="21"/>
  <c r="AG94" i="24"/>
  <c r="AH93" i="24"/>
  <c r="AI93" i="24" s="1"/>
  <c r="AF94" i="24"/>
  <c r="J95" i="24"/>
  <c r="X95" i="24" s="1"/>
  <c r="R94" i="24"/>
  <c r="E95" i="24"/>
  <c r="AG95" i="24" s="1"/>
  <c r="P95" i="24"/>
  <c r="AD95" i="24" s="1"/>
  <c r="N95" i="24"/>
  <c r="AB95" i="24" s="1"/>
  <c r="F95" i="24"/>
  <c r="T95" i="24" s="1"/>
  <c r="K95" i="24"/>
  <c r="Y95" i="24" s="1"/>
  <c r="G95" i="24"/>
  <c r="U95" i="24" s="1"/>
  <c r="O95" i="24"/>
  <c r="AC95" i="24" s="1"/>
  <c r="H95" i="24"/>
  <c r="V95" i="24" s="1"/>
  <c r="L95" i="24"/>
  <c r="Z95" i="24" s="1"/>
  <c r="I95" i="24"/>
  <c r="M95" i="24"/>
  <c r="AA95" i="24" s="1"/>
  <c r="AH94" i="21"/>
  <c r="S95" i="21"/>
  <c r="H96" i="21"/>
  <c r="V96" i="21" s="1"/>
  <c r="E96" i="21"/>
  <c r="S96" i="21" s="1"/>
  <c r="N96" i="21"/>
  <c r="AB96" i="21" s="1"/>
  <c r="J96" i="21"/>
  <c r="X96" i="21" s="1"/>
  <c r="O96" i="21"/>
  <c r="AC96" i="21" s="1"/>
  <c r="K96" i="21"/>
  <c r="Y96" i="21" s="1"/>
  <c r="I96" i="21"/>
  <c r="G96" i="21"/>
  <c r="U96" i="21" s="1"/>
  <c r="AF95" i="21"/>
  <c r="AH95" i="21" s="1"/>
  <c r="F96" i="21"/>
  <c r="T96" i="21" s="1"/>
  <c r="R95" i="21"/>
  <c r="M96" i="21"/>
  <c r="AA96" i="21" s="1"/>
  <c r="L96" i="21"/>
  <c r="Z96" i="21" s="1"/>
  <c r="P96" i="21"/>
  <c r="AD96" i="21" s="1"/>
  <c r="AM95" i="24" l="1"/>
  <c r="AM96" i="21"/>
  <c r="AL96" i="21"/>
  <c r="AL95" i="24"/>
  <c r="AK93" i="24"/>
  <c r="AJ93" i="24"/>
  <c r="S95" i="24"/>
  <c r="W95" i="24"/>
  <c r="W96" i="21"/>
  <c r="AH94" i="24"/>
  <c r="AK94" i="24" s="1"/>
  <c r="N96" i="24"/>
  <c r="AB96" i="24" s="1"/>
  <c r="G96" i="24"/>
  <c r="U96" i="24" s="1"/>
  <c r="R95" i="24"/>
  <c r="O96" i="24"/>
  <c r="AC96" i="24" s="1"/>
  <c r="I96" i="24"/>
  <c r="H96" i="24"/>
  <c r="V96" i="24" s="1"/>
  <c r="L96" i="24"/>
  <c r="Z96" i="24" s="1"/>
  <c r="K96" i="24"/>
  <c r="Y96" i="24" s="1"/>
  <c r="P96" i="24"/>
  <c r="AD96" i="24" s="1"/>
  <c r="F96" i="24"/>
  <c r="T96" i="24" s="1"/>
  <c r="J96" i="24"/>
  <c r="X96" i="24" s="1"/>
  <c r="M96" i="24"/>
  <c r="AA96" i="24" s="1"/>
  <c r="AF95" i="24"/>
  <c r="AH95" i="24" s="1"/>
  <c r="E96" i="24"/>
  <c r="S96" i="24" s="1"/>
  <c r="AI95" i="21"/>
  <c r="AJ95" i="21"/>
  <c r="AK95" i="21"/>
  <c r="AK94" i="21"/>
  <c r="AI94" i="21"/>
  <c r="AJ94" i="21"/>
  <c r="AG96" i="21"/>
  <c r="L97" i="21"/>
  <c r="Z97" i="21" s="1"/>
  <c r="J97" i="21"/>
  <c r="X97" i="21" s="1"/>
  <c r="O97" i="21"/>
  <c r="AC97" i="21" s="1"/>
  <c r="AF96" i="21"/>
  <c r="G97" i="21"/>
  <c r="U97" i="21" s="1"/>
  <c r="M97" i="21"/>
  <c r="AA97" i="21" s="1"/>
  <c r="R96" i="21"/>
  <c r="E97" i="21"/>
  <c r="AG97" i="21" s="1"/>
  <c r="K97" i="21"/>
  <c r="Y97" i="21" s="1"/>
  <c r="I97" i="21"/>
  <c r="H97" i="21"/>
  <c r="V97" i="21" s="1"/>
  <c r="F97" i="21"/>
  <c r="T97" i="21" s="1"/>
  <c r="P97" i="21"/>
  <c r="AD97" i="21" s="1"/>
  <c r="N97" i="21"/>
  <c r="AB97" i="21" s="1"/>
  <c r="AM96" i="24" l="1"/>
  <c r="AM97" i="21"/>
  <c r="AL97" i="21"/>
  <c r="AL96" i="24"/>
  <c r="AJ94" i="24"/>
  <c r="AI94" i="24"/>
  <c r="W96" i="24"/>
  <c r="W97" i="21"/>
  <c r="AF96" i="24"/>
  <c r="K97" i="24"/>
  <c r="Y97" i="24" s="1"/>
  <c r="AG96" i="24"/>
  <c r="O97" i="24"/>
  <c r="AC97" i="24" s="1"/>
  <c r="I97" i="24"/>
  <c r="F97" i="24"/>
  <c r="T97" i="24" s="1"/>
  <c r="E97" i="24"/>
  <c r="AG97" i="24" s="1"/>
  <c r="M97" i="24"/>
  <c r="AA97" i="24" s="1"/>
  <c r="G97" i="24"/>
  <c r="U97" i="24" s="1"/>
  <c r="R96" i="24"/>
  <c r="P97" i="24"/>
  <c r="AD97" i="24" s="1"/>
  <c r="N97" i="24"/>
  <c r="AB97" i="24" s="1"/>
  <c r="J97" i="24"/>
  <c r="X97" i="24" s="1"/>
  <c r="L97" i="24"/>
  <c r="Z97" i="24" s="1"/>
  <c r="H97" i="24"/>
  <c r="V97" i="24" s="1"/>
  <c r="AH96" i="21"/>
  <c r="S97" i="21"/>
  <c r="L98" i="21"/>
  <c r="Z98" i="21" s="1"/>
  <c r="P98" i="21"/>
  <c r="AD98" i="21" s="1"/>
  <c r="AF97" i="21"/>
  <c r="AH97" i="21" s="1"/>
  <c r="F98" i="21"/>
  <c r="T98" i="21" s="1"/>
  <c r="M98" i="21"/>
  <c r="AA98" i="21" s="1"/>
  <c r="R97" i="21"/>
  <c r="O98" i="21"/>
  <c r="AC98" i="21" s="1"/>
  <c r="E98" i="21"/>
  <c r="AG98" i="21" s="1"/>
  <c r="H98" i="21"/>
  <c r="V98" i="21" s="1"/>
  <c r="I98" i="21"/>
  <c r="K98" i="21"/>
  <c r="Y98" i="21" s="1"/>
  <c r="N98" i="21"/>
  <c r="AB98" i="21" s="1"/>
  <c r="J98" i="21"/>
  <c r="X98" i="21" s="1"/>
  <c r="G98" i="21"/>
  <c r="U98" i="21" s="1"/>
  <c r="AK95" i="24"/>
  <c r="AJ95" i="24"/>
  <c r="AI95" i="24"/>
  <c r="AM97" i="24" l="1"/>
  <c r="AM98" i="21"/>
  <c r="AL98" i="21"/>
  <c r="AL97" i="24"/>
  <c r="W97" i="24"/>
  <c r="W98" i="21"/>
  <c r="AH96" i="24"/>
  <c r="AK96" i="24" s="1"/>
  <c r="S97" i="24"/>
  <c r="N98" i="24"/>
  <c r="AB98" i="24" s="1"/>
  <c r="O98" i="24"/>
  <c r="AC98" i="24" s="1"/>
  <c r="L98" i="24"/>
  <c r="Z98" i="24" s="1"/>
  <c r="P98" i="24"/>
  <c r="AD98" i="24" s="1"/>
  <c r="J98" i="24"/>
  <c r="X98" i="24" s="1"/>
  <c r="G98" i="24"/>
  <c r="U98" i="24" s="1"/>
  <c r="H98" i="24"/>
  <c r="V98" i="24" s="1"/>
  <c r="K98" i="24"/>
  <c r="Y98" i="24" s="1"/>
  <c r="E98" i="24"/>
  <c r="AG98" i="24" s="1"/>
  <c r="F98" i="24"/>
  <c r="T98" i="24" s="1"/>
  <c r="R97" i="24"/>
  <c r="AF97" i="24"/>
  <c r="AH97" i="24" s="1"/>
  <c r="AK97" i="24" s="1"/>
  <c r="I98" i="24"/>
  <c r="M98" i="24"/>
  <c r="AA98" i="24" s="1"/>
  <c r="AK97" i="21"/>
  <c r="AJ97" i="21"/>
  <c r="AI97" i="21"/>
  <c r="AJ96" i="21"/>
  <c r="AK96" i="21"/>
  <c r="AI96" i="21"/>
  <c r="H99" i="21"/>
  <c r="V99" i="21" s="1"/>
  <c r="S98" i="21"/>
  <c r="AF98" i="21"/>
  <c r="AH98" i="21" s="1"/>
  <c r="J99" i="21"/>
  <c r="X99" i="21" s="1"/>
  <c r="N99" i="21"/>
  <c r="AB99" i="21" s="1"/>
  <c r="E99" i="21"/>
  <c r="S99" i="21" s="1"/>
  <c r="F99" i="21"/>
  <c r="T99" i="21" s="1"/>
  <c r="K99" i="21"/>
  <c r="Y99" i="21" s="1"/>
  <c r="P99" i="21"/>
  <c r="AD99" i="21" s="1"/>
  <c r="R98" i="21"/>
  <c r="M99" i="21"/>
  <c r="AA99" i="21" s="1"/>
  <c r="O99" i="21"/>
  <c r="AC99" i="21" s="1"/>
  <c r="I99" i="21"/>
  <c r="G99" i="21"/>
  <c r="U99" i="21" s="1"/>
  <c r="L99" i="21"/>
  <c r="Z99" i="21" s="1"/>
  <c r="AM98" i="24" l="1"/>
  <c r="AM99" i="21"/>
  <c r="AL99" i="21"/>
  <c r="AL98" i="24"/>
  <c r="W98" i="24"/>
  <c r="W99" i="21"/>
  <c r="AJ96" i="24"/>
  <c r="AI96" i="24"/>
  <c r="AI97" i="24"/>
  <c r="AJ97" i="24"/>
  <c r="M99" i="24"/>
  <c r="AA99" i="24" s="1"/>
  <c r="AF98" i="24"/>
  <c r="AH98" i="24" s="1"/>
  <c r="F99" i="24"/>
  <c r="T99" i="24" s="1"/>
  <c r="N99" i="24"/>
  <c r="AB99" i="24" s="1"/>
  <c r="O99" i="24"/>
  <c r="AC99" i="24" s="1"/>
  <c r="L99" i="24"/>
  <c r="Z99" i="24" s="1"/>
  <c r="G99" i="24"/>
  <c r="U99" i="24" s="1"/>
  <c r="P99" i="24"/>
  <c r="AD99" i="24" s="1"/>
  <c r="H99" i="24"/>
  <c r="V99" i="24" s="1"/>
  <c r="S98" i="24"/>
  <c r="E99" i="24"/>
  <c r="S99" i="24" s="1"/>
  <c r="I99" i="24"/>
  <c r="K99" i="24"/>
  <c r="Y99" i="24" s="1"/>
  <c r="R98" i="24"/>
  <c r="J99" i="24"/>
  <c r="X99" i="24" s="1"/>
  <c r="AI98" i="21"/>
  <c r="AK98" i="21"/>
  <c r="AJ98" i="21"/>
  <c r="AG99" i="21"/>
  <c r="AF99" i="21"/>
  <c r="K100" i="21"/>
  <c r="Y100" i="21" s="1"/>
  <c r="L100" i="21"/>
  <c r="Z100" i="21" s="1"/>
  <c r="E100" i="21"/>
  <c r="AG100" i="21" s="1"/>
  <c r="M100" i="21"/>
  <c r="AA100" i="21" s="1"/>
  <c r="J100" i="21"/>
  <c r="X100" i="21" s="1"/>
  <c r="H100" i="21"/>
  <c r="V100" i="21" s="1"/>
  <c r="R99" i="21"/>
  <c r="G100" i="21"/>
  <c r="U100" i="21" s="1"/>
  <c r="P100" i="21"/>
  <c r="AD100" i="21" s="1"/>
  <c r="O100" i="21"/>
  <c r="AC100" i="21" s="1"/>
  <c r="N100" i="21"/>
  <c r="AB100" i="21" s="1"/>
  <c r="I100" i="21"/>
  <c r="F100" i="21"/>
  <c r="AM99" i="24" l="1"/>
  <c r="AM100" i="21"/>
  <c r="AL100" i="21"/>
  <c r="AL99" i="24"/>
  <c r="W99" i="24"/>
  <c r="W100" i="21"/>
  <c r="AG99" i="24"/>
  <c r="P100" i="24"/>
  <c r="AD100" i="24" s="1"/>
  <c r="F100" i="24"/>
  <c r="T100" i="24" s="1"/>
  <c r="E100" i="24"/>
  <c r="S100" i="24" s="1"/>
  <c r="J100" i="24"/>
  <c r="X100" i="24" s="1"/>
  <c r="O100" i="24"/>
  <c r="AC100" i="24" s="1"/>
  <c r="G100" i="24"/>
  <c r="U100" i="24" s="1"/>
  <c r="L100" i="24"/>
  <c r="Z100" i="24" s="1"/>
  <c r="I100" i="24"/>
  <c r="R99" i="24"/>
  <c r="K100" i="24"/>
  <c r="Y100" i="24" s="1"/>
  <c r="N100" i="24"/>
  <c r="AB100" i="24" s="1"/>
  <c r="H100" i="24"/>
  <c r="V100" i="24" s="1"/>
  <c r="AF99" i="24"/>
  <c r="M100" i="24"/>
  <c r="AA100" i="24" s="1"/>
  <c r="AH99" i="21"/>
  <c r="H101" i="21"/>
  <c r="V101" i="21" s="1"/>
  <c r="S100" i="21"/>
  <c r="N101" i="21"/>
  <c r="AB101" i="21" s="1"/>
  <c r="F101" i="21"/>
  <c r="T101" i="21" s="1"/>
  <c r="R100" i="21"/>
  <c r="E101" i="21"/>
  <c r="AG101" i="21" s="1"/>
  <c r="L101" i="21"/>
  <c r="Z101" i="21" s="1"/>
  <c r="M101" i="21"/>
  <c r="AA101" i="21" s="1"/>
  <c r="P101" i="21"/>
  <c r="AD101" i="21" s="1"/>
  <c r="I101" i="21"/>
  <c r="AF100" i="21"/>
  <c r="AH100" i="21" s="1"/>
  <c r="K101" i="21"/>
  <c r="Y101" i="21" s="1"/>
  <c r="T100" i="21"/>
  <c r="G101" i="21"/>
  <c r="U101" i="21" s="1"/>
  <c r="O101" i="21"/>
  <c r="AC101" i="21" s="1"/>
  <c r="J101" i="21"/>
  <c r="X101" i="21" s="1"/>
  <c r="AK98" i="24"/>
  <c r="AJ98" i="24"/>
  <c r="AI98" i="24"/>
  <c r="AM100" i="24" l="1"/>
  <c r="AM101" i="21"/>
  <c r="AL101" i="21"/>
  <c r="AL100" i="24"/>
  <c r="W100" i="24"/>
  <c r="W101" i="21"/>
  <c r="AH99" i="24"/>
  <c r="AI99" i="24" s="1"/>
  <c r="AG100" i="24"/>
  <c r="K101" i="24"/>
  <c r="Y101" i="24" s="1"/>
  <c r="AF100" i="24"/>
  <c r="J101" i="24"/>
  <c r="X101" i="24" s="1"/>
  <c r="I101" i="24"/>
  <c r="P101" i="24"/>
  <c r="AD101" i="24" s="1"/>
  <c r="F101" i="24"/>
  <c r="T101" i="24" s="1"/>
  <c r="H101" i="24"/>
  <c r="V101" i="24" s="1"/>
  <c r="G101" i="24"/>
  <c r="U101" i="24" s="1"/>
  <c r="L101" i="24"/>
  <c r="Z101" i="24" s="1"/>
  <c r="R100" i="24"/>
  <c r="M101" i="24"/>
  <c r="AA101" i="24" s="1"/>
  <c r="O101" i="24"/>
  <c r="AC101" i="24" s="1"/>
  <c r="E101" i="24"/>
  <c r="AG101" i="24" s="1"/>
  <c r="N101" i="24"/>
  <c r="AB101" i="24" s="1"/>
  <c r="AJ100" i="21"/>
  <c r="AI100" i="21"/>
  <c r="AK100" i="21"/>
  <c r="AI99" i="21"/>
  <c r="AJ99" i="21"/>
  <c r="AK99" i="21"/>
  <c r="S101" i="21"/>
  <c r="H102" i="21"/>
  <c r="V102" i="21" s="1"/>
  <c r="I102" i="21"/>
  <c r="O102" i="21"/>
  <c r="AC102" i="21" s="1"/>
  <c r="P102" i="21"/>
  <c r="AD102" i="21" s="1"/>
  <c r="K102" i="21"/>
  <c r="Y102" i="21" s="1"/>
  <c r="N102" i="21"/>
  <c r="AB102" i="21" s="1"/>
  <c r="M102" i="21"/>
  <c r="AA102" i="21" s="1"/>
  <c r="R101" i="21"/>
  <c r="F102" i="21"/>
  <c r="T102" i="21" s="1"/>
  <c r="J102" i="21"/>
  <c r="X102" i="21" s="1"/>
  <c r="AF101" i="21"/>
  <c r="AH101" i="21" s="1"/>
  <c r="L102" i="21"/>
  <c r="Z102" i="21" s="1"/>
  <c r="G102" i="21"/>
  <c r="U102" i="21" s="1"/>
  <c r="E102" i="21"/>
  <c r="AG102" i="21" s="1"/>
  <c r="AM101" i="24" l="1"/>
  <c r="AM102" i="21"/>
  <c r="AL102" i="21"/>
  <c r="AL101" i="24"/>
  <c r="W101" i="24"/>
  <c r="W102" i="21"/>
  <c r="AJ99" i="24"/>
  <c r="AH100" i="24"/>
  <c r="AJ100" i="24" s="1"/>
  <c r="AK99" i="24"/>
  <c r="AF101" i="24"/>
  <c r="AH101" i="24" s="1"/>
  <c r="AI101" i="24" s="1"/>
  <c r="I102" i="24"/>
  <c r="S101" i="24"/>
  <c r="K102" i="24"/>
  <c r="Y102" i="24" s="1"/>
  <c r="E102" i="24"/>
  <c r="S102" i="24" s="1"/>
  <c r="M102" i="24"/>
  <c r="AA102" i="24" s="1"/>
  <c r="N102" i="24"/>
  <c r="AB102" i="24" s="1"/>
  <c r="G102" i="24"/>
  <c r="U102" i="24" s="1"/>
  <c r="O102" i="24"/>
  <c r="AC102" i="24" s="1"/>
  <c r="H102" i="24"/>
  <c r="V102" i="24" s="1"/>
  <c r="J102" i="24"/>
  <c r="X102" i="24" s="1"/>
  <c r="F102" i="24"/>
  <c r="R101" i="24"/>
  <c r="L102" i="24"/>
  <c r="Z102" i="24" s="1"/>
  <c r="P102" i="24"/>
  <c r="AD102" i="24" s="1"/>
  <c r="AK101" i="21"/>
  <c r="AI101" i="21"/>
  <c r="AJ101" i="21"/>
  <c r="S102" i="21"/>
  <c r="P103" i="21"/>
  <c r="AD103" i="21" s="1"/>
  <c r="O103" i="21"/>
  <c r="AC103" i="21" s="1"/>
  <c r="N103" i="21"/>
  <c r="AB103" i="21" s="1"/>
  <c r="F103" i="21"/>
  <c r="T103" i="21" s="1"/>
  <c r="AF102" i="21"/>
  <c r="AH102" i="21" s="1"/>
  <c r="I103" i="21"/>
  <c r="E103" i="21"/>
  <c r="S103" i="21" s="1"/>
  <c r="M103" i="21"/>
  <c r="AA103" i="21" s="1"/>
  <c r="H103" i="21"/>
  <c r="V103" i="21" s="1"/>
  <c r="L103" i="21"/>
  <c r="Z103" i="21" s="1"/>
  <c r="J103" i="21"/>
  <c r="X103" i="21" s="1"/>
  <c r="R102" i="21"/>
  <c r="K103" i="21"/>
  <c r="Y103" i="21" s="1"/>
  <c r="G103" i="21"/>
  <c r="U103" i="21" s="1"/>
  <c r="AM102" i="24" l="1"/>
  <c r="AM103" i="21"/>
  <c r="AL103" i="21"/>
  <c r="AL102" i="24"/>
  <c r="W102" i="24"/>
  <c r="W103" i="21"/>
  <c r="AI100" i="24"/>
  <c r="AK100" i="24"/>
  <c r="AG102" i="24"/>
  <c r="AJ101" i="24"/>
  <c r="AK101" i="24"/>
  <c r="AF102" i="24"/>
  <c r="P103" i="24"/>
  <c r="AD103" i="24" s="1"/>
  <c r="O103" i="24"/>
  <c r="AC103" i="24" s="1"/>
  <c r="H103" i="24"/>
  <c r="V103" i="24" s="1"/>
  <c r="R102" i="24"/>
  <c r="J103" i="24"/>
  <c r="X103" i="24" s="1"/>
  <c r="K103" i="24"/>
  <c r="Y103" i="24" s="1"/>
  <c r="N103" i="24"/>
  <c r="AB103" i="24" s="1"/>
  <c r="E103" i="24"/>
  <c r="AG103" i="24" s="1"/>
  <c r="F103" i="24"/>
  <c r="T103" i="24" s="1"/>
  <c r="L103" i="24"/>
  <c r="Z103" i="24" s="1"/>
  <c r="G103" i="24"/>
  <c r="U103" i="24" s="1"/>
  <c r="M103" i="24"/>
  <c r="AA103" i="24" s="1"/>
  <c r="T102" i="24"/>
  <c r="I103" i="24"/>
  <c r="AI102" i="21"/>
  <c r="AK102" i="21"/>
  <c r="AJ102" i="21"/>
  <c r="AG103" i="21"/>
  <c r="J104" i="21"/>
  <c r="X104" i="21" s="1"/>
  <c r="G104" i="21"/>
  <c r="U104" i="21" s="1"/>
  <c r="H104" i="21"/>
  <c r="V104" i="21" s="1"/>
  <c r="M104" i="21"/>
  <c r="AA104" i="21" s="1"/>
  <c r="E104" i="21"/>
  <c r="S104" i="21" s="1"/>
  <c r="P104" i="21"/>
  <c r="AD104" i="21" s="1"/>
  <c r="F104" i="21"/>
  <c r="T104" i="21" s="1"/>
  <c r="I104" i="21"/>
  <c r="O104" i="21"/>
  <c r="AC104" i="21" s="1"/>
  <c r="AF103" i="21"/>
  <c r="L104" i="21"/>
  <c r="Z104" i="21" s="1"/>
  <c r="R103" i="21"/>
  <c r="K104" i="21"/>
  <c r="Y104" i="21" s="1"/>
  <c r="N104" i="21"/>
  <c r="AB104" i="21" s="1"/>
  <c r="AM103" i="24" l="1"/>
  <c r="AM104" i="21"/>
  <c r="AL104" i="21"/>
  <c r="AL103" i="24"/>
  <c r="W103" i="24"/>
  <c r="W104" i="21"/>
  <c r="AH102" i="24"/>
  <c r="AK102" i="24" s="1"/>
  <c r="F104" i="24"/>
  <c r="T104" i="24" s="1"/>
  <c r="K104" i="24"/>
  <c r="Y104" i="24" s="1"/>
  <c r="O104" i="24"/>
  <c r="AC104" i="24" s="1"/>
  <c r="E104" i="24"/>
  <c r="S104" i="24" s="1"/>
  <c r="R103" i="24"/>
  <c r="S103" i="24"/>
  <c r="P104" i="24"/>
  <c r="AD104" i="24" s="1"/>
  <c r="AF103" i="24"/>
  <c r="AH103" i="24" s="1"/>
  <c r="AK103" i="24" s="1"/>
  <c r="L104" i="24"/>
  <c r="Z104" i="24" s="1"/>
  <c r="N104" i="24"/>
  <c r="AB104" i="24" s="1"/>
  <c r="H104" i="24"/>
  <c r="V104" i="24" s="1"/>
  <c r="G104" i="24"/>
  <c r="U104" i="24" s="1"/>
  <c r="J104" i="24"/>
  <c r="X104" i="24" s="1"/>
  <c r="I104" i="24"/>
  <c r="M104" i="24"/>
  <c r="AA104" i="24" s="1"/>
  <c r="AG104" i="21"/>
  <c r="AH103" i="21"/>
  <c r="E105" i="21"/>
  <c r="S105" i="21" s="1"/>
  <c r="AF104" i="21"/>
  <c r="R104" i="21"/>
  <c r="J105" i="21"/>
  <c r="X105" i="21" s="1"/>
  <c r="P105" i="21"/>
  <c r="AD105" i="21" s="1"/>
  <c r="I105" i="21"/>
  <c r="L105" i="21"/>
  <c r="Z105" i="21" s="1"/>
  <c r="K105" i="21"/>
  <c r="Y105" i="21" s="1"/>
  <c r="O105" i="21"/>
  <c r="AC105" i="21" s="1"/>
  <c r="F105" i="21"/>
  <c r="T105" i="21" s="1"/>
  <c r="H105" i="21"/>
  <c r="V105" i="21" s="1"/>
  <c r="M105" i="21"/>
  <c r="AA105" i="21" s="1"/>
  <c r="G105" i="21"/>
  <c r="U105" i="21" s="1"/>
  <c r="N105" i="21"/>
  <c r="AB105" i="21" s="1"/>
  <c r="AM104" i="24" l="1"/>
  <c r="AM105" i="21"/>
  <c r="AL105" i="21"/>
  <c r="AL104" i="24"/>
  <c r="W104" i="24"/>
  <c r="W105" i="21"/>
  <c r="AG104" i="24"/>
  <c r="AJ102" i="24"/>
  <c r="AI102" i="24"/>
  <c r="AI103" i="24"/>
  <c r="AJ103" i="24"/>
  <c r="J105" i="24"/>
  <c r="X105" i="24" s="1"/>
  <c r="AF104" i="24"/>
  <c r="F105" i="24"/>
  <c r="T105" i="24" s="1"/>
  <c r="H105" i="24"/>
  <c r="V105" i="24" s="1"/>
  <c r="G105" i="24"/>
  <c r="U105" i="24" s="1"/>
  <c r="I105" i="24"/>
  <c r="P105" i="24"/>
  <c r="AD105" i="24" s="1"/>
  <c r="O105" i="24"/>
  <c r="AC105" i="24" s="1"/>
  <c r="L105" i="24"/>
  <c r="Z105" i="24" s="1"/>
  <c r="M105" i="24"/>
  <c r="AA105" i="24" s="1"/>
  <c r="R104" i="24"/>
  <c r="E105" i="24"/>
  <c r="S105" i="24" s="1"/>
  <c r="N105" i="24"/>
  <c r="AB105" i="24" s="1"/>
  <c r="K105" i="24"/>
  <c r="Y105" i="24" s="1"/>
  <c r="AH104" i="21"/>
  <c r="AJ104" i="21" s="1"/>
  <c r="AI103" i="21"/>
  <c r="AJ103" i="21"/>
  <c r="AK103" i="21"/>
  <c r="AG105" i="21"/>
  <c r="M106" i="21"/>
  <c r="AA106" i="21" s="1"/>
  <c r="AF105" i="21"/>
  <c r="O106" i="21"/>
  <c r="AC106" i="21" s="1"/>
  <c r="R105" i="21"/>
  <c r="E106" i="21"/>
  <c r="AG106" i="21" s="1"/>
  <c r="H106" i="21"/>
  <c r="V106" i="21" s="1"/>
  <c r="G106" i="21"/>
  <c r="U106" i="21" s="1"/>
  <c r="F106" i="21"/>
  <c r="T106" i="21" s="1"/>
  <c r="L106" i="21"/>
  <c r="Z106" i="21" s="1"/>
  <c r="I106" i="21"/>
  <c r="J106" i="21"/>
  <c r="X106" i="21" s="1"/>
  <c r="K106" i="21"/>
  <c r="Y106" i="21" s="1"/>
  <c r="P106" i="21"/>
  <c r="AD106" i="21" s="1"/>
  <c r="N106" i="21"/>
  <c r="AB106" i="21" s="1"/>
  <c r="AM105" i="24" l="1"/>
  <c r="AM106" i="21"/>
  <c r="AL106" i="21"/>
  <c r="AL105" i="24"/>
  <c r="W105" i="24"/>
  <c r="W106" i="21"/>
  <c r="AH104" i="24"/>
  <c r="AI104" i="24" s="1"/>
  <c r="AG105" i="24"/>
  <c r="M106" i="24"/>
  <c r="AA106" i="24" s="1"/>
  <c r="F106" i="24"/>
  <c r="T106" i="24" s="1"/>
  <c r="I106" i="24"/>
  <c r="O106" i="24"/>
  <c r="AC106" i="24" s="1"/>
  <c r="J106" i="24"/>
  <c r="X106" i="24" s="1"/>
  <c r="E106" i="24"/>
  <c r="AG106" i="24" s="1"/>
  <c r="K106" i="24"/>
  <c r="Y106" i="24" s="1"/>
  <c r="AF105" i="24"/>
  <c r="L106" i="24"/>
  <c r="Z106" i="24" s="1"/>
  <c r="P106" i="24"/>
  <c r="AD106" i="24" s="1"/>
  <c r="H106" i="24"/>
  <c r="V106" i="24" s="1"/>
  <c r="N106" i="24"/>
  <c r="AB106" i="24" s="1"/>
  <c r="G106" i="24"/>
  <c r="U106" i="24" s="1"/>
  <c r="R105" i="24"/>
  <c r="AK104" i="21"/>
  <c r="AI104" i="21"/>
  <c r="AH105" i="21"/>
  <c r="S106" i="21"/>
  <c r="N107" i="21"/>
  <c r="AB107" i="21" s="1"/>
  <c r="F107" i="21"/>
  <c r="T107" i="21" s="1"/>
  <c r="G107" i="21"/>
  <c r="U107" i="21" s="1"/>
  <c r="R106" i="21"/>
  <c r="AF106" i="21"/>
  <c r="AH106" i="21" s="1"/>
  <c r="K107" i="21"/>
  <c r="Y107" i="21" s="1"/>
  <c r="O107" i="21"/>
  <c r="AC107" i="21" s="1"/>
  <c r="E107" i="21"/>
  <c r="AG107" i="21" s="1"/>
  <c r="H107" i="21"/>
  <c r="V107" i="21" s="1"/>
  <c r="J107" i="21"/>
  <c r="X107" i="21" s="1"/>
  <c r="L107" i="21"/>
  <c r="Z107" i="21" s="1"/>
  <c r="I107" i="21"/>
  <c r="M107" i="21"/>
  <c r="AA107" i="21" s="1"/>
  <c r="P107" i="21"/>
  <c r="AD107" i="21" s="1"/>
  <c r="AM106" i="24" l="1"/>
  <c r="AM107" i="21"/>
  <c r="AL107" i="21"/>
  <c r="AL106" i="24"/>
  <c r="W106" i="24"/>
  <c r="W107" i="21"/>
  <c r="AJ104" i="24"/>
  <c r="AK104" i="24"/>
  <c r="AF106" i="24"/>
  <c r="AH106" i="24" s="1"/>
  <c r="AH105" i="24"/>
  <c r="AJ105" i="24" s="1"/>
  <c r="N107" i="24"/>
  <c r="AB107" i="24" s="1"/>
  <c r="S106" i="24"/>
  <c r="P107" i="24"/>
  <c r="AD107" i="24" s="1"/>
  <c r="K107" i="24"/>
  <c r="Y107" i="24" s="1"/>
  <c r="M107" i="24"/>
  <c r="AA107" i="24" s="1"/>
  <c r="F107" i="24"/>
  <c r="T107" i="24" s="1"/>
  <c r="R106" i="24"/>
  <c r="L107" i="24"/>
  <c r="Z107" i="24" s="1"/>
  <c r="G107" i="24"/>
  <c r="U107" i="24" s="1"/>
  <c r="I107" i="24"/>
  <c r="O107" i="24"/>
  <c r="AC107" i="24" s="1"/>
  <c r="H107" i="24"/>
  <c r="V107" i="24" s="1"/>
  <c r="E107" i="24"/>
  <c r="AG107" i="24" s="1"/>
  <c r="J107" i="24"/>
  <c r="X107" i="24" s="1"/>
  <c r="AK106" i="21"/>
  <c r="AI106" i="21"/>
  <c r="AJ106" i="21"/>
  <c r="AK105" i="21"/>
  <c r="AJ105" i="21"/>
  <c r="AI105" i="21"/>
  <c r="L108" i="21"/>
  <c r="Z108" i="21" s="1"/>
  <c r="S107" i="21"/>
  <c r="E108" i="21"/>
  <c r="S108" i="21" s="1"/>
  <c r="R107" i="21"/>
  <c r="H108" i="21"/>
  <c r="V108" i="21" s="1"/>
  <c r="AF107" i="21"/>
  <c r="AH107" i="21" s="1"/>
  <c r="P108" i="21"/>
  <c r="AD108" i="21" s="1"/>
  <c r="G108" i="21"/>
  <c r="U108" i="21" s="1"/>
  <c r="O108" i="21"/>
  <c r="AC108" i="21" s="1"/>
  <c r="F108" i="21"/>
  <c r="T108" i="21" s="1"/>
  <c r="I108" i="21"/>
  <c r="N108" i="21"/>
  <c r="AB108" i="21" s="1"/>
  <c r="K108" i="21"/>
  <c r="Y108" i="21" s="1"/>
  <c r="J108" i="21"/>
  <c r="X108" i="21" s="1"/>
  <c r="M108" i="21"/>
  <c r="AA108" i="21" s="1"/>
  <c r="AM107" i="24" l="1"/>
  <c r="AM108" i="21"/>
  <c r="AL108" i="21"/>
  <c r="AL107" i="24"/>
  <c r="W107" i="24"/>
  <c r="W108" i="21"/>
  <c r="AK105" i="24"/>
  <c r="AI105" i="24"/>
  <c r="S107" i="24"/>
  <c r="M108" i="24"/>
  <c r="AA108" i="24" s="1"/>
  <c r="L108" i="24"/>
  <c r="Z108" i="24" s="1"/>
  <c r="R107" i="24"/>
  <c r="E108" i="24"/>
  <c r="AG108" i="24" s="1"/>
  <c r="O108" i="24"/>
  <c r="AC108" i="24" s="1"/>
  <c r="AF107" i="24"/>
  <c r="AH107" i="24" s="1"/>
  <c r="AK107" i="24" s="1"/>
  <c r="F108" i="24"/>
  <c r="T108" i="24" s="1"/>
  <c r="J108" i="24"/>
  <c r="X108" i="24" s="1"/>
  <c r="H108" i="24"/>
  <c r="V108" i="24" s="1"/>
  <c r="K108" i="24"/>
  <c r="Y108" i="24" s="1"/>
  <c r="G108" i="24"/>
  <c r="U108" i="24" s="1"/>
  <c r="I108" i="24"/>
  <c r="N108" i="24"/>
  <c r="AB108" i="24" s="1"/>
  <c r="P108" i="24"/>
  <c r="AD108" i="24" s="1"/>
  <c r="AI107" i="21"/>
  <c r="AJ107" i="21"/>
  <c r="AK107" i="21"/>
  <c r="AG108" i="21"/>
  <c r="L109" i="21"/>
  <c r="Z109" i="21" s="1"/>
  <c r="K109" i="21"/>
  <c r="Y109" i="21" s="1"/>
  <c r="J109" i="21"/>
  <c r="X109" i="21" s="1"/>
  <c r="E109" i="21"/>
  <c r="S109" i="21" s="1"/>
  <c r="AF108" i="21"/>
  <c r="I109" i="21"/>
  <c r="M109" i="21"/>
  <c r="AA109" i="21" s="1"/>
  <c r="H109" i="21"/>
  <c r="V109" i="21" s="1"/>
  <c r="G109" i="21"/>
  <c r="U109" i="21" s="1"/>
  <c r="N109" i="21"/>
  <c r="AB109" i="21" s="1"/>
  <c r="R108" i="21"/>
  <c r="O109" i="21"/>
  <c r="AC109" i="21" s="1"/>
  <c r="F109" i="21"/>
  <c r="P109" i="21"/>
  <c r="AD109" i="21" s="1"/>
  <c r="AI106" i="24"/>
  <c r="AJ106" i="24"/>
  <c r="AK106" i="24"/>
  <c r="AM108" i="24" l="1"/>
  <c r="AM109" i="21"/>
  <c r="AL109" i="21"/>
  <c r="AL108" i="24"/>
  <c r="W108" i="24"/>
  <c r="W109" i="21"/>
  <c r="AI107" i="24"/>
  <c r="AJ107" i="24"/>
  <c r="G109" i="24"/>
  <c r="U109" i="24" s="1"/>
  <c r="R108" i="24"/>
  <c r="K109" i="24"/>
  <c r="Y109" i="24" s="1"/>
  <c r="N109" i="24"/>
  <c r="AB109" i="24" s="1"/>
  <c r="S108" i="24"/>
  <c r="O109" i="24"/>
  <c r="AC109" i="24" s="1"/>
  <c r="H109" i="24"/>
  <c r="V109" i="24" s="1"/>
  <c r="L109" i="24"/>
  <c r="Z109" i="24" s="1"/>
  <c r="F109" i="24"/>
  <c r="T109" i="24" s="1"/>
  <c r="J109" i="24"/>
  <c r="X109" i="24" s="1"/>
  <c r="P109" i="24"/>
  <c r="AD109" i="24" s="1"/>
  <c r="I109" i="24"/>
  <c r="E109" i="24"/>
  <c r="AG109" i="24" s="1"/>
  <c r="M109" i="24"/>
  <c r="AA109" i="24" s="1"/>
  <c r="AF108" i="24"/>
  <c r="AH108" i="24" s="1"/>
  <c r="AK108" i="24" s="1"/>
  <c r="AG109" i="21"/>
  <c r="AH108" i="21"/>
  <c r="AF109" i="21"/>
  <c r="I110" i="21"/>
  <c r="M110" i="21"/>
  <c r="AA110" i="21" s="1"/>
  <c r="J110" i="21"/>
  <c r="X110" i="21" s="1"/>
  <c r="H110" i="21"/>
  <c r="V110" i="21" s="1"/>
  <c r="G110" i="21"/>
  <c r="U110" i="21" s="1"/>
  <c r="R109" i="21"/>
  <c r="E110" i="21"/>
  <c r="AG110" i="21" s="1"/>
  <c r="L110" i="21"/>
  <c r="Z110" i="21" s="1"/>
  <c r="P110" i="21"/>
  <c r="AD110" i="21" s="1"/>
  <c r="O110" i="21"/>
  <c r="AC110" i="21" s="1"/>
  <c r="T109" i="21"/>
  <c r="N110" i="21"/>
  <c r="AB110" i="21" s="1"/>
  <c r="K110" i="21"/>
  <c r="Y110" i="21" s="1"/>
  <c r="F110" i="21"/>
  <c r="T110" i="21" s="1"/>
  <c r="AM109" i="24" l="1"/>
  <c r="AM110" i="21"/>
  <c r="AL110" i="21"/>
  <c r="AL109" i="24"/>
  <c r="W109" i="24"/>
  <c r="W110" i="21"/>
  <c r="S109" i="24"/>
  <c r="I110" i="24"/>
  <c r="P110" i="24"/>
  <c r="AD110" i="24" s="1"/>
  <c r="AJ108" i="24"/>
  <c r="AI108" i="24"/>
  <c r="K110" i="24"/>
  <c r="Y110" i="24" s="1"/>
  <c r="R109" i="24"/>
  <c r="AF109" i="24"/>
  <c r="AH109" i="24" s="1"/>
  <c r="AJ109" i="24" s="1"/>
  <c r="O110" i="24"/>
  <c r="AC110" i="24" s="1"/>
  <c r="M110" i="24"/>
  <c r="AA110" i="24" s="1"/>
  <c r="G110" i="24"/>
  <c r="U110" i="24" s="1"/>
  <c r="H110" i="24"/>
  <c r="V110" i="24" s="1"/>
  <c r="J110" i="24"/>
  <c r="X110" i="24" s="1"/>
  <c r="E110" i="24"/>
  <c r="S110" i="24" s="1"/>
  <c r="N110" i="24"/>
  <c r="AB110" i="24" s="1"/>
  <c r="F110" i="24"/>
  <c r="T110" i="24" s="1"/>
  <c r="L110" i="24"/>
  <c r="Z110" i="24" s="1"/>
  <c r="AJ108" i="21"/>
  <c r="AK108" i="21"/>
  <c r="AI108" i="21"/>
  <c r="S110" i="21"/>
  <c r="AH109" i="21"/>
  <c r="H111" i="21"/>
  <c r="V111" i="21" s="1"/>
  <c r="M111" i="21"/>
  <c r="AA111" i="21" s="1"/>
  <c r="J111" i="21"/>
  <c r="X111" i="21" s="1"/>
  <c r="I111" i="21"/>
  <c r="N111" i="21"/>
  <c r="AB111" i="21" s="1"/>
  <c r="E111" i="21"/>
  <c r="AG111" i="21" s="1"/>
  <c r="R110" i="21"/>
  <c r="P111" i="21"/>
  <c r="AD111" i="21" s="1"/>
  <c r="F111" i="21"/>
  <c r="T111" i="21" s="1"/>
  <c r="L111" i="21"/>
  <c r="Z111" i="21" s="1"/>
  <c r="G111" i="21"/>
  <c r="U111" i="21" s="1"/>
  <c r="K111" i="21"/>
  <c r="Y111" i="21" s="1"/>
  <c r="O111" i="21"/>
  <c r="AC111" i="21" s="1"/>
  <c r="AF110" i="21"/>
  <c r="AH110" i="21" s="1"/>
  <c r="AM110" i="24" l="1"/>
  <c r="AM111" i="21"/>
  <c r="AL111" i="21"/>
  <c r="AL110" i="24"/>
  <c r="W110" i="24"/>
  <c r="W111" i="21"/>
  <c r="N111" i="24"/>
  <c r="AB111" i="24" s="1"/>
  <c r="F111" i="24"/>
  <c r="T111" i="24" s="1"/>
  <c r="AF110" i="24"/>
  <c r="H111" i="24"/>
  <c r="V111" i="24" s="1"/>
  <c r="O111" i="24"/>
  <c r="AC111" i="24" s="1"/>
  <c r="K111" i="24"/>
  <c r="Y111" i="24" s="1"/>
  <c r="L111" i="24"/>
  <c r="Z111" i="24" s="1"/>
  <c r="G111" i="24"/>
  <c r="U111" i="24" s="1"/>
  <c r="I111" i="24"/>
  <c r="M111" i="24"/>
  <c r="AA111" i="24" s="1"/>
  <c r="R110" i="24"/>
  <c r="E111" i="24"/>
  <c r="AG111" i="24" s="1"/>
  <c r="P111" i="24"/>
  <c r="AD111" i="24" s="1"/>
  <c r="J111" i="24"/>
  <c r="X111" i="24" s="1"/>
  <c r="AG110" i="24"/>
  <c r="AI110" i="21"/>
  <c r="AK110" i="21"/>
  <c r="AJ110" i="21"/>
  <c r="AK109" i="21"/>
  <c r="AJ109" i="21"/>
  <c r="AI109" i="21"/>
  <c r="AK109" i="24"/>
  <c r="AI109" i="24"/>
  <c r="AF111" i="21"/>
  <c r="AH111" i="21" s="1"/>
  <c r="S111" i="21"/>
  <c r="N112" i="21"/>
  <c r="AB112" i="21" s="1"/>
  <c r="R111" i="21"/>
  <c r="E112" i="21"/>
  <c r="AG112" i="21" s="1"/>
  <c r="H112" i="21"/>
  <c r="V112" i="21" s="1"/>
  <c r="M112" i="21"/>
  <c r="AA112" i="21" s="1"/>
  <c r="K112" i="21"/>
  <c r="Y112" i="21" s="1"/>
  <c r="I112" i="21"/>
  <c r="F112" i="21"/>
  <c r="T112" i="21" s="1"/>
  <c r="G112" i="21"/>
  <c r="U112" i="21" s="1"/>
  <c r="P112" i="21"/>
  <c r="AD112" i="21" s="1"/>
  <c r="O112" i="21"/>
  <c r="AC112" i="21" s="1"/>
  <c r="J112" i="21"/>
  <c r="X112" i="21" s="1"/>
  <c r="L112" i="21"/>
  <c r="Z112" i="21" s="1"/>
  <c r="AM111" i="24" l="1"/>
  <c r="AM112" i="21"/>
  <c r="AL112" i="21"/>
  <c r="AL111" i="24"/>
  <c r="W111" i="24"/>
  <c r="W112" i="21"/>
  <c r="AH110" i="24"/>
  <c r="AK110" i="24" s="1"/>
  <c r="S111" i="24"/>
  <c r="G112" i="24"/>
  <c r="U112" i="24" s="1"/>
  <c r="H112" i="24"/>
  <c r="V112" i="24" s="1"/>
  <c r="O112" i="24"/>
  <c r="AC112" i="24" s="1"/>
  <c r="P112" i="24"/>
  <c r="AD112" i="24" s="1"/>
  <c r="N112" i="24"/>
  <c r="AB112" i="24" s="1"/>
  <c r="I112" i="24"/>
  <c r="K112" i="24"/>
  <c r="Y112" i="24" s="1"/>
  <c r="J112" i="24"/>
  <c r="X112" i="24" s="1"/>
  <c r="M112" i="24"/>
  <c r="AA112" i="24" s="1"/>
  <c r="F112" i="24"/>
  <c r="T112" i="24" s="1"/>
  <c r="AF111" i="24"/>
  <c r="AH111" i="24" s="1"/>
  <c r="AK111" i="24" s="1"/>
  <c r="R111" i="24"/>
  <c r="L112" i="24"/>
  <c r="Z112" i="24" s="1"/>
  <c r="E112" i="24"/>
  <c r="AG112" i="24" s="1"/>
  <c r="AI111" i="21"/>
  <c r="AJ111" i="21"/>
  <c r="AK111" i="21"/>
  <c r="S112" i="21"/>
  <c r="H113" i="21"/>
  <c r="V113" i="21" s="1"/>
  <c r="J113" i="21"/>
  <c r="X113" i="21" s="1"/>
  <c r="E113" i="21"/>
  <c r="AG113" i="21" s="1"/>
  <c r="R112" i="21"/>
  <c r="G113" i="21"/>
  <c r="U113" i="21" s="1"/>
  <c r="P113" i="21"/>
  <c r="AD113" i="21" s="1"/>
  <c r="K113" i="21"/>
  <c r="Y113" i="21" s="1"/>
  <c r="L113" i="21"/>
  <c r="Z113" i="21" s="1"/>
  <c r="M113" i="21"/>
  <c r="AA113" i="21" s="1"/>
  <c r="F113" i="21"/>
  <c r="T113" i="21" s="1"/>
  <c r="I113" i="21"/>
  <c r="O113" i="21"/>
  <c r="AC113" i="21" s="1"/>
  <c r="AF112" i="21"/>
  <c r="AH112" i="21" s="1"/>
  <c r="N113" i="21"/>
  <c r="AB113" i="21" s="1"/>
  <c r="AM112" i="24" l="1"/>
  <c r="AM113" i="21"/>
  <c r="AL113" i="21"/>
  <c r="AL112" i="24"/>
  <c r="W112" i="24"/>
  <c r="W113" i="21"/>
  <c r="AI110" i="24"/>
  <c r="AJ110" i="24"/>
  <c r="O113" i="24"/>
  <c r="AC113" i="24" s="1"/>
  <c r="S112" i="24"/>
  <c r="J113" i="24"/>
  <c r="X113" i="24" s="1"/>
  <c r="AF112" i="24"/>
  <c r="AH112" i="24" s="1"/>
  <c r="AJ112" i="24" s="1"/>
  <c r="R112" i="24"/>
  <c r="N113" i="24"/>
  <c r="AB113" i="24" s="1"/>
  <c r="K113" i="24"/>
  <c r="Y113" i="24" s="1"/>
  <c r="E113" i="24"/>
  <c r="S113" i="24" s="1"/>
  <c r="H113" i="24"/>
  <c r="V113" i="24" s="1"/>
  <c r="G113" i="24"/>
  <c r="U113" i="24" s="1"/>
  <c r="P113" i="24"/>
  <c r="AD113" i="24" s="1"/>
  <c r="L113" i="24"/>
  <c r="Z113" i="24" s="1"/>
  <c r="F113" i="24"/>
  <c r="T113" i="24" s="1"/>
  <c r="M113" i="24"/>
  <c r="AA113" i="24" s="1"/>
  <c r="I113" i="24"/>
  <c r="AJ112" i="21"/>
  <c r="AI112" i="21"/>
  <c r="AK112" i="21"/>
  <c r="S113" i="21"/>
  <c r="AF113" i="21"/>
  <c r="AH113" i="21" s="1"/>
  <c r="M114" i="21"/>
  <c r="AA114" i="21" s="1"/>
  <c r="O114" i="21"/>
  <c r="AC114" i="21" s="1"/>
  <c r="K114" i="21"/>
  <c r="Y114" i="21" s="1"/>
  <c r="G114" i="21"/>
  <c r="U114" i="21" s="1"/>
  <c r="R113" i="21"/>
  <c r="I114" i="21"/>
  <c r="P114" i="21"/>
  <c r="AD114" i="21" s="1"/>
  <c r="J114" i="21"/>
  <c r="X114" i="21" s="1"/>
  <c r="H114" i="21"/>
  <c r="V114" i="21" s="1"/>
  <c r="F114" i="21"/>
  <c r="T114" i="21" s="1"/>
  <c r="E114" i="21"/>
  <c r="S114" i="21" s="1"/>
  <c r="L114" i="21"/>
  <c r="Z114" i="21" s="1"/>
  <c r="N114" i="21"/>
  <c r="AB114" i="21" s="1"/>
  <c r="AI111" i="24"/>
  <c r="AJ111" i="24"/>
  <c r="AM113" i="24" l="1"/>
  <c r="AM114" i="21"/>
  <c r="AL114" i="21"/>
  <c r="AL113" i="24"/>
  <c r="W113" i="24"/>
  <c r="W114" i="21"/>
  <c r="AG113" i="24"/>
  <c r="AK112" i="24"/>
  <c r="AI112" i="24"/>
  <c r="O114" i="24"/>
  <c r="AC114" i="24" s="1"/>
  <c r="R113" i="24"/>
  <c r="F114" i="24"/>
  <c r="T114" i="24" s="1"/>
  <c r="G114" i="24"/>
  <c r="U114" i="24" s="1"/>
  <c r="L114" i="24"/>
  <c r="Z114" i="24" s="1"/>
  <c r="J114" i="24"/>
  <c r="X114" i="24" s="1"/>
  <c r="M114" i="24"/>
  <c r="AA114" i="24" s="1"/>
  <c r="N114" i="24"/>
  <c r="AB114" i="24" s="1"/>
  <c r="K114" i="24"/>
  <c r="Y114" i="24" s="1"/>
  <c r="P114" i="24"/>
  <c r="AD114" i="24" s="1"/>
  <c r="AF113" i="24"/>
  <c r="E114" i="24"/>
  <c r="S114" i="24" s="1"/>
  <c r="H114" i="24"/>
  <c r="V114" i="24" s="1"/>
  <c r="I114" i="24"/>
  <c r="AK113" i="21"/>
  <c r="AI113" i="21"/>
  <c r="AJ113" i="21"/>
  <c r="AG114" i="21"/>
  <c r="I115" i="21"/>
  <c r="AF114" i="21"/>
  <c r="L115" i="21"/>
  <c r="Z115" i="21" s="1"/>
  <c r="M115" i="21"/>
  <c r="AA115" i="21" s="1"/>
  <c r="O115" i="21"/>
  <c r="AC115" i="21" s="1"/>
  <c r="F115" i="21"/>
  <c r="T115" i="21" s="1"/>
  <c r="N115" i="21"/>
  <c r="AB115" i="21" s="1"/>
  <c r="H115" i="21"/>
  <c r="V115" i="21" s="1"/>
  <c r="P115" i="21"/>
  <c r="AD115" i="21" s="1"/>
  <c r="K115" i="21"/>
  <c r="Y115" i="21" s="1"/>
  <c r="R114" i="21"/>
  <c r="E115" i="21"/>
  <c r="AG115" i="21" s="1"/>
  <c r="G115" i="21"/>
  <c r="U115" i="21" s="1"/>
  <c r="J115" i="21"/>
  <c r="X115" i="21" s="1"/>
  <c r="AM114" i="24" l="1"/>
  <c r="AM115" i="21"/>
  <c r="AL115" i="21"/>
  <c r="AL114" i="24"/>
  <c r="W114" i="24"/>
  <c r="W115" i="21"/>
  <c r="AH113" i="24"/>
  <c r="AK113" i="24" s="1"/>
  <c r="AG114" i="24"/>
  <c r="H115" i="24"/>
  <c r="V115" i="24" s="1"/>
  <c r="AF114" i="24"/>
  <c r="J115" i="24"/>
  <c r="X115" i="24" s="1"/>
  <c r="O115" i="24"/>
  <c r="AC115" i="24" s="1"/>
  <c r="M115" i="24"/>
  <c r="AA115" i="24" s="1"/>
  <c r="G115" i="24"/>
  <c r="U115" i="24" s="1"/>
  <c r="F115" i="24"/>
  <c r="T115" i="24" s="1"/>
  <c r="L115" i="24"/>
  <c r="Z115" i="24" s="1"/>
  <c r="K115" i="24"/>
  <c r="Y115" i="24" s="1"/>
  <c r="I115" i="24"/>
  <c r="R114" i="24"/>
  <c r="P115" i="24"/>
  <c r="AD115" i="24" s="1"/>
  <c r="E115" i="24"/>
  <c r="S115" i="24" s="1"/>
  <c r="N115" i="24"/>
  <c r="AB115" i="24" s="1"/>
  <c r="AH114" i="21"/>
  <c r="R115" i="21"/>
  <c r="G116" i="21"/>
  <c r="U116" i="21" s="1"/>
  <c r="L116" i="21"/>
  <c r="Z116" i="21" s="1"/>
  <c r="S115" i="21"/>
  <c r="H116" i="21"/>
  <c r="V116" i="21" s="1"/>
  <c r="O116" i="21"/>
  <c r="AC116" i="21" s="1"/>
  <c r="N116" i="21"/>
  <c r="AB116" i="21" s="1"/>
  <c r="E116" i="21"/>
  <c r="AG116" i="21" s="1"/>
  <c r="AF115" i="21"/>
  <c r="AH115" i="21" s="1"/>
  <c r="M116" i="21"/>
  <c r="AA116" i="21" s="1"/>
  <c r="K116" i="21"/>
  <c r="Y116" i="21" s="1"/>
  <c r="F116" i="21"/>
  <c r="T116" i="21" s="1"/>
  <c r="P116" i="21"/>
  <c r="AD116" i="21" s="1"/>
  <c r="I116" i="21"/>
  <c r="J116" i="21"/>
  <c r="X116" i="21" s="1"/>
  <c r="AM115" i="24" l="1"/>
  <c r="AM116" i="21"/>
  <c r="AL116" i="21"/>
  <c r="AL115" i="24"/>
  <c r="W115" i="24"/>
  <c r="W116" i="21"/>
  <c r="AJ113" i="24"/>
  <c r="AI113" i="24"/>
  <c r="AH114" i="24"/>
  <c r="AI114" i="24" s="1"/>
  <c r="M116" i="24"/>
  <c r="AA116" i="24" s="1"/>
  <c r="L116" i="24"/>
  <c r="Z116" i="24" s="1"/>
  <c r="R115" i="24"/>
  <c r="P116" i="24"/>
  <c r="AD116" i="24" s="1"/>
  <c r="I116" i="24"/>
  <c r="O116" i="24"/>
  <c r="AC116" i="24" s="1"/>
  <c r="AF115" i="24"/>
  <c r="H116" i="24"/>
  <c r="V116" i="24" s="1"/>
  <c r="K116" i="24"/>
  <c r="Y116" i="24" s="1"/>
  <c r="E116" i="24"/>
  <c r="S116" i="24" s="1"/>
  <c r="J116" i="24"/>
  <c r="X116" i="24" s="1"/>
  <c r="N116" i="24"/>
  <c r="AB116" i="24" s="1"/>
  <c r="F116" i="24"/>
  <c r="T116" i="24" s="1"/>
  <c r="G116" i="24"/>
  <c r="U116" i="24" s="1"/>
  <c r="AG115" i="24"/>
  <c r="AI115" i="21"/>
  <c r="AJ115" i="21"/>
  <c r="AK115" i="21"/>
  <c r="AI114" i="21"/>
  <c r="AK114" i="21"/>
  <c r="AJ114" i="21"/>
  <c r="S116" i="21"/>
  <c r="N117" i="21"/>
  <c r="AB117" i="21" s="1"/>
  <c r="R116" i="21"/>
  <c r="F117" i="21"/>
  <c r="T117" i="21" s="1"/>
  <c r="I117" i="21"/>
  <c r="O117" i="21"/>
  <c r="AC117" i="21" s="1"/>
  <c r="L117" i="21"/>
  <c r="AF116" i="21"/>
  <c r="AH116" i="21" s="1"/>
  <c r="K117" i="21"/>
  <c r="K142" i="21" s="1"/>
  <c r="E117" i="21"/>
  <c r="M117" i="21"/>
  <c r="AA117" i="21" s="1"/>
  <c r="G117" i="21"/>
  <c r="G142" i="21" s="1"/>
  <c r="H117" i="21"/>
  <c r="H142" i="21" s="1"/>
  <c r="J117" i="21"/>
  <c r="P117" i="21"/>
  <c r="AD117" i="21" s="1"/>
  <c r="AH115" i="24" l="1"/>
  <c r="AK115" i="24" s="1"/>
  <c r="AM116" i="24"/>
  <c r="AM117" i="21"/>
  <c r="S117" i="21"/>
  <c r="E142" i="21"/>
  <c r="E144" i="21" s="1"/>
  <c r="AL117" i="21"/>
  <c r="AL116" i="24"/>
  <c r="W116" i="24"/>
  <c r="W117" i="21"/>
  <c r="AG116" i="24"/>
  <c r="AK114" i="24"/>
  <c r="AJ114" i="24"/>
  <c r="AF116" i="24"/>
  <c r="I117" i="24"/>
  <c r="F117" i="24"/>
  <c r="T117" i="24" s="1"/>
  <c r="H117" i="24"/>
  <c r="V117" i="24" s="1"/>
  <c r="M117" i="24"/>
  <c r="AA117" i="24" s="1"/>
  <c r="G117" i="24"/>
  <c r="U117" i="24" s="1"/>
  <c r="R116" i="24"/>
  <c r="J117" i="24"/>
  <c r="J142" i="24" s="1"/>
  <c r="N117" i="24"/>
  <c r="AB117" i="24" s="1"/>
  <c r="P117" i="24"/>
  <c r="AD117" i="24" s="1"/>
  <c r="L117" i="24"/>
  <c r="Z117" i="24" s="1"/>
  <c r="K117" i="24"/>
  <c r="Y117" i="24" s="1"/>
  <c r="O117" i="24"/>
  <c r="AC117" i="24" s="1"/>
  <c r="E117" i="24"/>
  <c r="AG117" i="24" s="1"/>
  <c r="L142" i="21"/>
  <c r="Z117" i="21"/>
  <c r="AJ116" i="21"/>
  <c r="AI116" i="21"/>
  <c r="AK116" i="21"/>
  <c r="N142" i="21"/>
  <c r="P142" i="21"/>
  <c r="I142" i="21"/>
  <c r="O142" i="21"/>
  <c r="M142" i="21"/>
  <c r="Y117" i="21"/>
  <c r="U117" i="21"/>
  <c r="AF117" i="21"/>
  <c r="V117" i="21"/>
  <c r="F142" i="21"/>
  <c r="M118" i="21"/>
  <c r="AA118" i="21" s="1"/>
  <c r="J142" i="21"/>
  <c r="J118" i="21"/>
  <c r="X118" i="21" s="1"/>
  <c r="AG117" i="21"/>
  <c r="X117" i="21"/>
  <c r="H118" i="21"/>
  <c r="V118" i="21" s="1"/>
  <c r="P118" i="21"/>
  <c r="AD118" i="21" s="1"/>
  <c r="G118" i="21"/>
  <c r="U118" i="21" s="1"/>
  <c r="K118" i="21"/>
  <c r="Y118" i="21" s="1"/>
  <c r="O118" i="21"/>
  <c r="AC118" i="21" s="1"/>
  <c r="N118" i="21"/>
  <c r="AB118" i="21" s="1"/>
  <c r="AO37" i="21" s="1"/>
  <c r="R117" i="21"/>
  <c r="F118" i="21"/>
  <c r="T118" i="21" s="1"/>
  <c r="E118" i="21"/>
  <c r="AG118" i="21" s="1"/>
  <c r="I118" i="21"/>
  <c r="L118" i="21"/>
  <c r="Z118" i="21" s="1"/>
  <c r="AJ115" i="24" l="1"/>
  <c r="AI115" i="24"/>
  <c r="AM117" i="24"/>
  <c r="AM118" i="21"/>
  <c r="E143" i="21"/>
  <c r="AL118" i="21"/>
  <c r="AL117" i="24"/>
  <c r="I142" i="24"/>
  <c r="W118" i="21"/>
  <c r="AH116" i="24"/>
  <c r="AI116" i="24" s="1"/>
  <c r="F142" i="24"/>
  <c r="K142" i="24"/>
  <c r="M142" i="24"/>
  <c r="G142" i="24"/>
  <c r="N142" i="24"/>
  <c r="H142" i="24"/>
  <c r="W117" i="24"/>
  <c r="P142" i="24"/>
  <c r="O142" i="24"/>
  <c r="S117" i="24"/>
  <c r="E142" i="24"/>
  <c r="I118" i="24"/>
  <c r="X117" i="24"/>
  <c r="G118" i="24"/>
  <c r="U118" i="24" s="1"/>
  <c r="K118" i="24"/>
  <c r="Y118" i="24" s="1"/>
  <c r="M118" i="24"/>
  <c r="AA118" i="24" s="1"/>
  <c r="P118" i="24"/>
  <c r="AD118" i="24" s="1"/>
  <c r="E118" i="24"/>
  <c r="AG118" i="24" s="1"/>
  <c r="N118" i="24"/>
  <c r="AB118" i="24" s="1"/>
  <c r="AO37" i="24" s="1"/>
  <c r="J118" i="24"/>
  <c r="X118" i="24" s="1"/>
  <c r="L142" i="24"/>
  <c r="O118" i="24"/>
  <c r="AC118" i="24" s="1"/>
  <c r="R117" i="24"/>
  <c r="AF117" i="24"/>
  <c r="AH117" i="24" s="1"/>
  <c r="AJ117" i="24" s="1"/>
  <c r="L118" i="24"/>
  <c r="Z118" i="24" s="1"/>
  <c r="F118" i="24"/>
  <c r="H118" i="24"/>
  <c r="V118" i="24" s="1"/>
  <c r="AO49" i="21"/>
  <c r="AP37" i="21"/>
  <c r="L143" i="21"/>
  <c r="AH117" i="21"/>
  <c r="S118" i="21"/>
  <c r="I143" i="21"/>
  <c r="F143" i="21"/>
  <c r="H143" i="21"/>
  <c r="J143" i="21"/>
  <c r="G143" i="21"/>
  <c r="N143" i="21"/>
  <c r="P143" i="21"/>
  <c r="M143" i="21"/>
  <c r="O143" i="21"/>
  <c r="K143" i="21"/>
  <c r="F119" i="21"/>
  <c r="T119" i="21" s="1"/>
  <c r="N119" i="21"/>
  <c r="AB119" i="21" s="1"/>
  <c r="L119" i="21"/>
  <c r="Z119" i="21" s="1"/>
  <c r="K119" i="21"/>
  <c r="Y119" i="21" s="1"/>
  <c r="R118" i="21"/>
  <c r="H119" i="21"/>
  <c r="V119" i="21" s="1"/>
  <c r="AF118" i="21"/>
  <c r="AH118" i="21" s="1"/>
  <c r="P119" i="21"/>
  <c r="AD119" i="21" s="1"/>
  <c r="J119" i="21"/>
  <c r="X119" i="21" s="1"/>
  <c r="G119" i="21"/>
  <c r="U119" i="21" s="1"/>
  <c r="M119" i="21"/>
  <c r="AA119" i="21" s="1"/>
  <c r="O119" i="21"/>
  <c r="AC119" i="21" s="1"/>
  <c r="I119" i="21"/>
  <c r="E119" i="21"/>
  <c r="AM118" i="24" l="1"/>
  <c r="AM119" i="21"/>
  <c r="AL119" i="21"/>
  <c r="AL118" i="24"/>
  <c r="W118" i="24"/>
  <c r="W119" i="21"/>
  <c r="AK116" i="24"/>
  <c r="AJ116" i="24"/>
  <c r="S118" i="24"/>
  <c r="G143" i="24"/>
  <c r="I143" i="24"/>
  <c r="H143" i="24"/>
  <c r="AP37" i="24"/>
  <c r="I40" i="19" s="1"/>
  <c r="I119" i="24"/>
  <c r="O119" i="24"/>
  <c r="AC119" i="24" s="1"/>
  <c r="G119" i="24"/>
  <c r="U119" i="24" s="1"/>
  <c r="L119" i="24"/>
  <c r="Z119" i="24" s="1"/>
  <c r="E119" i="24"/>
  <c r="S119" i="24" s="1"/>
  <c r="T118" i="24"/>
  <c r="AF118" i="24"/>
  <c r="AH118" i="24" s="1"/>
  <c r="F119" i="24"/>
  <c r="T119" i="24" s="1"/>
  <c r="P119" i="24"/>
  <c r="AD119" i="24" s="1"/>
  <c r="N119" i="24"/>
  <c r="AB119" i="24" s="1"/>
  <c r="J119" i="24"/>
  <c r="X119" i="24" s="1"/>
  <c r="K119" i="24"/>
  <c r="Y119" i="24" s="1"/>
  <c r="R118" i="24"/>
  <c r="H119" i="24"/>
  <c r="V119" i="24" s="1"/>
  <c r="M119" i="24"/>
  <c r="AA119" i="24" s="1"/>
  <c r="E143" i="24"/>
  <c r="F143" i="24"/>
  <c r="M143" i="24"/>
  <c r="J143" i="24"/>
  <c r="N143" i="24"/>
  <c r="K143" i="24"/>
  <c r="L143" i="24"/>
  <c r="P143" i="24"/>
  <c r="O143" i="24"/>
  <c r="AI118" i="21"/>
  <c r="AK118" i="21"/>
  <c r="AJ118" i="21"/>
  <c r="AK117" i="21"/>
  <c r="AJ117" i="21"/>
  <c r="AI117" i="21"/>
  <c r="E120" i="21"/>
  <c r="S120" i="21" s="1"/>
  <c r="L120" i="21"/>
  <c r="Z120" i="21" s="1"/>
  <c r="G120" i="21"/>
  <c r="U120" i="21" s="1"/>
  <c r="I120" i="21"/>
  <c r="R119" i="21"/>
  <c r="K120" i="21"/>
  <c r="Y120" i="21" s="1"/>
  <c r="O120" i="21"/>
  <c r="AC120" i="21" s="1"/>
  <c r="J120" i="21"/>
  <c r="X120" i="21" s="1"/>
  <c r="AF119" i="21"/>
  <c r="AH119" i="21" s="1"/>
  <c r="H120" i="21"/>
  <c r="V120" i="21" s="1"/>
  <c r="F120" i="21"/>
  <c r="T120" i="21" s="1"/>
  <c r="M120" i="21"/>
  <c r="AA120" i="21" s="1"/>
  <c r="N120" i="21"/>
  <c r="AB120" i="21" s="1"/>
  <c r="AO38" i="21" s="1"/>
  <c r="S119" i="21"/>
  <c r="P120" i="21"/>
  <c r="AD120" i="21" s="1"/>
  <c r="AK117" i="24"/>
  <c r="AI117" i="24"/>
  <c r="AM119" i="24" l="1"/>
  <c r="AM120" i="21"/>
  <c r="AL120" i="21"/>
  <c r="AO35" i="21" s="1"/>
  <c r="AL119" i="24"/>
  <c r="W119" i="24"/>
  <c r="W120" i="21"/>
  <c r="AO51" i="21" s="1"/>
  <c r="AF119" i="24"/>
  <c r="AH119" i="24" s="1"/>
  <c r="AI119" i="24" s="1"/>
  <c r="E120" i="24"/>
  <c r="S120" i="24" s="1"/>
  <c r="O120" i="24"/>
  <c r="AC120" i="24" s="1"/>
  <c r="H120" i="24"/>
  <c r="V120" i="24" s="1"/>
  <c r="L120" i="24"/>
  <c r="Z120" i="24" s="1"/>
  <c r="F120" i="24"/>
  <c r="T120" i="24" s="1"/>
  <c r="J120" i="24"/>
  <c r="X120" i="24" s="1"/>
  <c r="N120" i="24"/>
  <c r="AB120" i="24" s="1"/>
  <c r="AO38" i="24" s="1"/>
  <c r="K120" i="24"/>
  <c r="Y120" i="24" s="1"/>
  <c r="M120" i="24"/>
  <c r="AA120" i="24" s="1"/>
  <c r="G120" i="24"/>
  <c r="U120" i="24" s="1"/>
  <c r="R119" i="24"/>
  <c r="I120" i="24"/>
  <c r="P120" i="24"/>
  <c r="AD120" i="24" s="1"/>
  <c r="AO25" i="21"/>
  <c r="AO48" i="21"/>
  <c r="I30" i="19"/>
  <c r="AI119" i="21"/>
  <c r="AJ119" i="21"/>
  <c r="AK119" i="21"/>
  <c r="AP38" i="21"/>
  <c r="P121" i="21"/>
  <c r="AD121" i="21" s="1"/>
  <c r="N121" i="21"/>
  <c r="AB121" i="21" s="1"/>
  <c r="O121" i="21"/>
  <c r="AC121" i="21" s="1"/>
  <c r="H121" i="21"/>
  <c r="V121" i="21" s="1"/>
  <c r="L121" i="21"/>
  <c r="Z121" i="21" s="1"/>
  <c r="R120" i="21"/>
  <c r="M121" i="21"/>
  <c r="AA121" i="21" s="1"/>
  <c r="I121" i="21"/>
  <c r="G121" i="21"/>
  <c r="U121" i="21" s="1"/>
  <c r="E121" i="21"/>
  <c r="S121" i="21" s="1"/>
  <c r="AF120" i="21"/>
  <c r="AH120" i="21" s="1"/>
  <c r="K121" i="21"/>
  <c r="Y121" i="21" s="1"/>
  <c r="J121" i="21"/>
  <c r="X121" i="21" s="1"/>
  <c r="F121" i="21"/>
  <c r="T121" i="21" s="1"/>
  <c r="AK118" i="24"/>
  <c r="AJ118" i="24"/>
  <c r="AI118" i="24"/>
  <c r="AP35" i="21" l="1"/>
  <c r="AM120" i="24"/>
  <c r="AM121" i="21"/>
  <c r="AL121" i="21"/>
  <c r="AL120" i="24"/>
  <c r="AO35" i="24" s="1"/>
  <c r="W120" i="24"/>
  <c r="AO18" i="24" s="1"/>
  <c r="W121" i="21"/>
  <c r="AK119" i="24"/>
  <c r="AP38" i="24"/>
  <c r="J42" i="19" s="1"/>
  <c r="AJ119" i="24"/>
  <c r="AF120" i="24"/>
  <c r="AH120" i="24" s="1"/>
  <c r="AK120" i="24" s="1"/>
  <c r="G121" i="24"/>
  <c r="U121" i="24" s="1"/>
  <c r="P121" i="24"/>
  <c r="AD121" i="24" s="1"/>
  <c r="O121" i="24"/>
  <c r="AC121" i="24" s="1"/>
  <c r="N121" i="24"/>
  <c r="AB121" i="24" s="1"/>
  <c r="M121" i="24"/>
  <c r="AA121" i="24" s="1"/>
  <c r="R120" i="24"/>
  <c r="F121" i="24"/>
  <c r="I121" i="24"/>
  <c r="J121" i="24"/>
  <c r="X121" i="24" s="1"/>
  <c r="K121" i="24"/>
  <c r="Y121" i="24" s="1"/>
  <c r="L121" i="24"/>
  <c r="Z121" i="24" s="1"/>
  <c r="E121" i="24"/>
  <c r="S121" i="24" s="1"/>
  <c r="H121" i="24"/>
  <c r="V121" i="24" s="1"/>
  <c r="AQ25" i="21"/>
  <c r="AR25" i="21"/>
  <c r="AO25" i="24"/>
  <c r="AU25" i="24" s="1"/>
  <c r="AT25" i="21"/>
  <c r="AU25" i="21"/>
  <c r="AS25" i="21"/>
  <c r="AJ120" i="21"/>
  <c r="AK120" i="21"/>
  <c r="I122" i="21"/>
  <c r="E122" i="21"/>
  <c r="S122" i="21" s="1"/>
  <c r="AI120" i="21"/>
  <c r="N122" i="21"/>
  <c r="AB122" i="21" s="1"/>
  <c r="H122" i="21"/>
  <c r="V122" i="21" s="1"/>
  <c r="F122" i="21"/>
  <c r="M122" i="21"/>
  <c r="AA122" i="21" s="1"/>
  <c r="J122" i="21"/>
  <c r="X122" i="21" s="1"/>
  <c r="L122" i="21"/>
  <c r="Z122" i="21" s="1"/>
  <c r="R121" i="21"/>
  <c r="G122" i="21"/>
  <c r="U122" i="21" s="1"/>
  <c r="P122" i="21"/>
  <c r="AD122" i="21" s="1"/>
  <c r="K122" i="21"/>
  <c r="Y122" i="21" s="1"/>
  <c r="O122" i="21"/>
  <c r="AC122" i="21" s="1"/>
  <c r="AF121" i="21"/>
  <c r="AH121" i="21" s="1"/>
  <c r="AM121" i="24" l="1"/>
  <c r="AM122" i="21"/>
  <c r="E40" i="19"/>
  <c r="E31" i="19"/>
  <c r="AP35" i="24"/>
  <c r="AL122" i="21"/>
  <c r="AL121" i="24"/>
  <c r="AI120" i="24"/>
  <c r="AJ120" i="24"/>
  <c r="W121" i="24"/>
  <c r="W122" i="21"/>
  <c r="L34" i="19"/>
  <c r="J32" i="19"/>
  <c r="I31" i="19"/>
  <c r="N9" i="19" s="1"/>
  <c r="M45" i="19"/>
  <c r="K33" i="19"/>
  <c r="I41" i="19"/>
  <c r="K43" i="19"/>
  <c r="M35" i="19"/>
  <c r="L44" i="19"/>
  <c r="E41" i="19"/>
  <c r="E30" i="19"/>
  <c r="AF121" i="24"/>
  <c r="AH121" i="24" s="1"/>
  <c r="AK121" i="24" s="1"/>
  <c r="E122" i="24"/>
  <c r="S122" i="24" s="1"/>
  <c r="K122" i="24"/>
  <c r="Y122" i="24" s="1"/>
  <c r="T121" i="24"/>
  <c r="G122" i="24"/>
  <c r="U122" i="24" s="1"/>
  <c r="L122" i="24"/>
  <c r="Z122" i="24" s="1"/>
  <c r="P122" i="24"/>
  <c r="AD122" i="24" s="1"/>
  <c r="R121" i="24"/>
  <c r="N122" i="24"/>
  <c r="AB122" i="24" s="1"/>
  <c r="I122" i="24"/>
  <c r="F122" i="24"/>
  <c r="T122" i="24" s="1"/>
  <c r="O122" i="24"/>
  <c r="AC122" i="24" s="1"/>
  <c r="H122" i="24"/>
  <c r="V122" i="24" s="1"/>
  <c r="M122" i="24"/>
  <c r="AA122" i="24" s="1"/>
  <c r="J122" i="24"/>
  <c r="X122" i="24" s="1"/>
  <c r="AO26" i="21"/>
  <c r="AQ25" i="24"/>
  <c r="E7" i="19" s="1"/>
  <c r="AS25" i="24"/>
  <c r="AT25" i="24"/>
  <c r="AR25" i="24"/>
  <c r="AO52" i="21"/>
  <c r="AJ121" i="21"/>
  <c r="AK121" i="21"/>
  <c r="AI121" i="21"/>
  <c r="N123" i="21"/>
  <c r="AB123" i="21" s="1"/>
  <c r="H123" i="21"/>
  <c r="V123" i="21" s="1"/>
  <c r="J123" i="21"/>
  <c r="X123" i="21" s="1"/>
  <c r="I123" i="21"/>
  <c r="F123" i="21"/>
  <c r="T123" i="21" s="1"/>
  <c r="L123" i="21"/>
  <c r="Z123" i="21" s="1"/>
  <c r="O123" i="21"/>
  <c r="AC123" i="21" s="1"/>
  <c r="E123" i="21"/>
  <c r="S123" i="21" s="1"/>
  <c r="AF122" i="21"/>
  <c r="AH122" i="21" s="1"/>
  <c r="G123" i="21"/>
  <c r="U123" i="21" s="1"/>
  <c r="R122" i="21"/>
  <c r="P123" i="21"/>
  <c r="AD123" i="21" s="1"/>
  <c r="T122" i="21"/>
  <c r="K123" i="21"/>
  <c r="Y123" i="21" s="1"/>
  <c r="M123" i="21"/>
  <c r="AA123" i="21" s="1"/>
  <c r="AM122" i="24" l="1"/>
  <c r="AM123" i="21"/>
  <c r="E42" i="19"/>
  <c r="E43" i="19" s="1"/>
  <c r="E44" i="19" s="1"/>
  <c r="E45" i="19" s="1"/>
  <c r="O8" i="19"/>
  <c r="N8" i="19"/>
  <c r="E61" i="19"/>
  <c r="E60" i="19"/>
  <c r="E50" i="19"/>
  <c r="E51" i="19"/>
  <c r="E32" i="19"/>
  <c r="E33" i="19" s="1"/>
  <c r="E34" i="19" s="1"/>
  <c r="E35" i="19" s="1"/>
  <c r="AL123" i="21"/>
  <c r="AL122" i="24"/>
  <c r="AO26" i="24"/>
  <c r="W122" i="24"/>
  <c r="W123" i="21"/>
  <c r="AI121" i="24"/>
  <c r="AJ121" i="24"/>
  <c r="K123" i="24"/>
  <c r="Y123" i="24" s="1"/>
  <c r="AF122" i="24"/>
  <c r="AH122" i="24" s="1"/>
  <c r="AK122" i="24" s="1"/>
  <c r="G123" i="24"/>
  <c r="U123" i="24" s="1"/>
  <c r="E123" i="24"/>
  <c r="S123" i="24" s="1"/>
  <c r="M123" i="24"/>
  <c r="AA123" i="24" s="1"/>
  <c r="H123" i="24"/>
  <c r="V123" i="24" s="1"/>
  <c r="N123" i="24"/>
  <c r="AB123" i="24" s="1"/>
  <c r="F123" i="24"/>
  <c r="T123" i="24" s="1"/>
  <c r="P123" i="24"/>
  <c r="AD123" i="24" s="1"/>
  <c r="I123" i="24"/>
  <c r="R122" i="24"/>
  <c r="L123" i="24"/>
  <c r="Z123" i="24" s="1"/>
  <c r="O123" i="24"/>
  <c r="AC123" i="24" s="1"/>
  <c r="J123" i="24"/>
  <c r="X123" i="24" s="1"/>
  <c r="E17" i="19"/>
  <c r="AQ26" i="21"/>
  <c r="AJ122" i="21"/>
  <c r="AK122" i="21"/>
  <c r="AI122" i="21"/>
  <c r="AF123" i="21"/>
  <c r="AH123" i="21" s="1"/>
  <c r="O124" i="21"/>
  <c r="AC124" i="21" s="1"/>
  <c r="E124" i="21"/>
  <c r="S124" i="21" s="1"/>
  <c r="J124" i="21"/>
  <c r="X124" i="21" s="1"/>
  <c r="H124" i="21"/>
  <c r="V124" i="21" s="1"/>
  <c r="K124" i="21"/>
  <c r="Y124" i="21" s="1"/>
  <c r="M124" i="21"/>
  <c r="AA124" i="21" s="1"/>
  <c r="F124" i="21"/>
  <c r="T124" i="21" s="1"/>
  <c r="G124" i="21"/>
  <c r="U124" i="21" s="1"/>
  <c r="I124" i="21"/>
  <c r="P124" i="21"/>
  <c r="AD124" i="21" s="1"/>
  <c r="L124" i="21"/>
  <c r="Z124" i="21" s="1"/>
  <c r="R123" i="21"/>
  <c r="N124" i="21"/>
  <c r="AB124" i="21" s="1"/>
  <c r="AO39" i="21" s="1"/>
  <c r="N10" i="19" l="1"/>
  <c r="F15" i="17" s="1"/>
  <c r="S15" i="17" s="1"/>
  <c r="AM123" i="24"/>
  <c r="AM124" i="21"/>
  <c r="E62" i="19"/>
  <c r="E63" i="19" s="1"/>
  <c r="E64" i="19" s="1"/>
  <c r="E65" i="19" s="1"/>
  <c r="O10" i="19"/>
  <c r="H15" i="17" s="1"/>
  <c r="H14" i="17"/>
  <c r="U14" i="17" s="1"/>
  <c r="E52" i="19"/>
  <c r="E53" i="19" s="1"/>
  <c r="E54" i="19" s="1"/>
  <c r="E55" i="19" s="1"/>
  <c r="F14" i="17"/>
  <c r="S14" i="17" s="1"/>
  <c r="AL124" i="21"/>
  <c r="AL123" i="24"/>
  <c r="W123" i="24"/>
  <c r="W124" i="21"/>
  <c r="AO19" i="24"/>
  <c r="AJ122" i="24"/>
  <c r="AI122" i="24"/>
  <c r="O124" i="24"/>
  <c r="AC124" i="24" s="1"/>
  <c r="K124" i="24"/>
  <c r="Y124" i="24" s="1"/>
  <c r="N124" i="24"/>
  <c r="AB124" i="24" s="1"/>
  <c r="AO39" i="24" s="1"/>
  <c r="P124" i="24"/>
  <c r="AD124" i="24" s="1"/>
  <c r="I124" i="24"/>
  <c r="F124" i="24"/>
  <c r="T124" i="24" s="1"/>
  <c r="L124" i="24"/>
  <c r="Z124" i="24" s="1"/>
  <c r="G124" i="24"/>
  <c r="U124" i="24" s="1"/>
  <c r="M124" i="24"/>
  <c r="AA124" i="24" s="1"/>
  <c r="J124" i="24"/>
  <c r="X124" i="24" s="1"/>
  <c r="E124" i="24"/>
  <c r="S124" i="24" s="1"/>
  <c r="H124" i="24"/>
  <c r="V124" i="24" s="1"/>
  <c r="AF123" i="24"/>
  <c r="AH123" i="24" s="1"/>
  <c r="AI123" i="24" s="1"/>
  <c r="R123" i="24"/>
  <c r="AR26" i="21"/>
  <c r="AT26" i="24"/>
  <c r="AQ26" i="24"/>
  <c r="AR26" i="24"/>
  <c r="AU26" i="24"/>
  <c r="AS26" i="24"/>
  <c r="AS26" i="21"/>
  <c r="AT26" i="21"/>
  <c r="AU26" i="21"/>
  <c r="AI123" i="21"/>
  <c r="AK123" i="21"/>
  <c r="AJ123" i="21"/>
  <c r="AP39" i="21"/>
  <c r="I125" i="21"/>
  <c r="E125" i="21"/>
  <c r="S125" i="21" s="1"/>
  <c r="M125" i="21"/>
  <c r="AA125" i="21" s="1"/>
  <c r="N125" i="21"/>
  <c r="AB125" i="21" s="1"/>
  <c r="P125" i="21"/>
  <c r="AD125" i="21" s="1"/>
  <c r="H125" i="21"/>
  <c r="V125" i="21" s="1"/>
  <c r="R124" i="21"/>
  <c r="O125" i="21"/>
  <c r="AC125" i="21" s="1"/>
  <c r="G125" i="21"/>
  <c r="U125" i="21" s="1"/>
  <c r="AF124" i="21"/>
  <c r="AH124" i="21" s="1"/>
  <c r="J125" i="21"/>
  <c r="X125" i="21" s="1"/>
  <c r="K125" i="21"/>
  <c r="Y125" i="21" s="1"/>
  <c r="L125" i="21"/>
  <c r="Z125" i="21" s="1"/>
  <c r="F125" i="21"/>
  <c r="T125" i="21" s="1"/>
  <c r="U15" i="17" l="1"/>
  <c r="J15" i="17"/>
  <c r="K15" i="17" s="1"/>
  <c r="AM124" i="24"/>
  <c r="AM125" i="21"/>
  <c r="J14" i="17"/>
  <c r="K14" i="17" s="1"/>
  <c r="AL125" i="21"/>
  <c r="AL124" i="24"/>
  <c r="W124" i="24"/>
  <c r="W125" i="21"/>
  <c r="AK123" i="24"/>
  <c r="AP39" i="24"/>
  <c r="K44" i="19" s="1"/>
  <c r="AJ123" i="24"/>
  <c r="J125" i="24"/>
  <c r="X125" i="24" s="1"/>
  <c r="E125" i="24"/>
  <c r="S125" i="24" s="1"/>
  <c r="O125" i="24"/>
  <c r="AC125" i="24" s="1"/>
  <c r="P125" i="24"/>
  <c r="AD125" i="24" s="1"/>
  <c r="G125" i="24"/>
  <c r="U125" i="24" s="1"/>
  <c r="K125" i="24"/>
  <c r="Y125" i="24" s="1"/>
  <c r="L125" i="24"/>
  <c r="Z125" i="24" s="1"/>
  <c r="N125" i="24"/>
  <c r="AB125" i="24" s="1"/>
  <c r="F125" i="24"/>
  <c r="T125" i="24" s="1"/>
  <c r="AF124" i="24"/>
  <c r="AH124" i="24" s="1"/>
  <c r="AI124" i="24" s="1"/>
  <c r="I125" i="24"/>
  <c r="M125" i="24"/>
  <c r="AA125" i="24" s="1"/>
  <c r="R124" i="24"/>
  <c r="H125" i="24"/>
  <c r="V125" i="24" s="1"/>
  <c r="I22" i="19"/>
  <c r="F19" i="19"/>
  <c r="F9" i="19"/>
  <c r="H21" i="19"/>
  <c r="E18" i="19"/>
  <c r="E8" i="19"/>
  <c r="N7" i="19" s="1"/>
  <c r="F11" i="17" s="1"/>
  <c r="I12" i="19"/>
  <c r="G20" i="19"/>
  <c r="H11" i="19"/>
  <c r="G10" i="19"/>
  <c r="AI124" i="21"/>
  <c r="AJ124" i="21"/>
  <c r="AK124" i="21"/>
  <c r="H126" i="21"/>
  <c r="V126" i="21" s="1"/>
  <c r="G126" i="21"/>
  <c r="U126" i="21" s="1"/>
  <c r="J126" i="21"/>
  <c r="X126" i="21" s="1"/>
  <c r="L126" i="21"/>
  <c r="Z126" i="21" s="1"/>
  <c r="I126" i="21"/>
  <c r="K126" i="21"/>
  <c r="Y126" i="21" s="1"/>
  <c r="O126" i="21"/>
  <c r="AC126" i="21" s="1"/>
  <c r="F126" i="21"/>
  <c r="AF125" i="21"/>
  <c r="E126" i="21"/>
  <c r="S126" i="21" s="1"/>
  <c r="M126" i="21"/>
  <c r="AA126" i="21" s="1"/>
  <c r="R125" i="21"/>
  <c r="P126" i="21"/>
  <c r="AD126" i="21" s="1"/>
  <c r="N126" i="21"/>
  <c r="AB126" i="21" s="1"/>
  <c r="AM125" i="24" l="1"/>
  <c r="AM126" i="21"/>
  <c r="S11" i="17"/>
  <c r="AL126" i="21"/>
  <c r="AL125" i="24"/>
  <c r="W125" i="24"/>
  <c r="W126" i="21"/>
  <c r="K34" i="19"/>
  <c r="AJ124" i="24"/>
  <c r="J43" i="19"/>
  <c r="AK124" i="24"/>
  <c r="I42" i="19"/>
  <c r="L45" i="19"/>
  <c r="I32" i="19"/>
  <c r="J33" i="19"/>
  <c r="L35" i="19"/>
  <c r="E126" i="24"/>
  <c r="S126" i="24" s="1"/>
  <c r="L126" i="24"/>
  <c r="Z126" i="24" s="1"/>
  <c r="R125" i="24"/>
  <c r="P126" i="24"/>
  <c r="AD126" i="24" s="1"/>
  <c r="AF125" i="24"/>
  <c r="AH125" i="24" s="1"/>
  <c r="AI125" i="24" s="1"/>
  <c r="J126" i="24"/>
  <c r="X126" i="24" s="1"/>
  <c r="G126" i="24"/>
  <c r="U126" i="24" s="1"/>
  <c r="K126" i="24"/>
  <c r="Y126" i="24" s="1"/>
  <c r="O126" i="24"/>
  <c r="AC126" i="24" s="1"/>
  <c r="M126" i="24"/>
  <c r="AA126" i="24" s="1"/>
  <c r="F126" i="24"/>
  <c r="T126" i="24" s="1"/>
  <c r="H126" i="24"/>
  <c r="V126" i="24" s="1"/>
  <c r="N126" i="24"/>
  <c r="AB126" i="24" s="1"/>
  <c r="I126" i="24"/>
  <c r="AO27" i="21"/>
  <c r="AH125" i="21"/>
  <c r="J127" i="21"/>
  <c r="X127" i="21" s="1"/>
  <c r="P127" i="21"/>
  <c r="AD127" i="21" s="1"/>
  <c r="AF126" i="21"/>
  <c r="O127" i="21"/>
  <c r="AC127" i="21" s="1"/>
  <c r="N127" i="21"/>
  <c r="AB127" i="21" s="1"/>
  <c r="R126" i="21"/>
  <c r="M127" i="21"/>
  <c r="AA127" i="21" s="1"/>
  <c r="F127" i="21"/>
  <c r="T127" i="21" s="1"/>
  <c r="I127" i="21"/>
  <c r="K127" i="21"/>
  <c r="Y127" i="21" s="1"/>
  <c r="L127" i="21"/>
  <c r="Z127" i="21" s="1"/>
  <c r="G127" i="21"/>
  <c r="U127" i="21" s="1"/>
  <c r="T126" i="21"/>
  <c r="H127" i="21"/>
  <c r="V127" i="21" s="1"/>
  <c r="E127" i="21"/>
  <c r="S127" i="21" s="1"/>
  <c r="AM126" i="24" l="1"/>
  <c r="AM127" i="21"/>
  <c r="AL127" i="21"/>
  <c r="AL126" i="24"/>
  <c r="W126" i="24"/>
  <c r="W127" i="21"/>
  <c r="AO27" i="24"/>
  <c r="AQ27" i="24" s="1"/>
  <c r="AK125" i="24"/>
  <c r="AJ125" i="24"/>
  <c r="G127" i="24"/>
  <c r="U127" i="24" s="1"/>
  <c r="O127" i="24"/>
  <c r="AC127" i="24" s="1"/>
  <c r="N127" i="24"/>
  <c r="AB127" i="24" s="1"/>
  <c r="L127" i="24"/>
  <c r="Z127" i="24" s="1"/>
  <c r="M127" i="24"/>
  <c r="AA127" i="24" s="1"/>
  <c r="K127" i="24"/>
  <c r="Y127" i="24" s="1"/>
  <c r="E127" i="24"/>
  <c r="S127" i="24" s="1"/>
  <c r="J127" i="24"/>
  <c r="X127" i="24" s="1"/>
  <c r="I127" i="24"/>
  <c r="F127" i="24"/>
  <c r="T127" i="24" s="1"/>
  <c r="P127" i="24"/>
  <c r="AD127" i="24" s="1"/>
  <c r="AF126" i="24"/>
  <c r="AH126" i="24" s="1"/>
  <c r="AK126" i="24" s="1"/>
  <c r="H127" i="24"/>
  <c r="V127" i="24" s="1"/>
  <c r="R126" i="24"/>
  <c r="AK125" i="21"/>
  <c r="AJ125" i="21"/>
  <c r="AI125" i="21"/>
  <c r="AH126" i="21"/>
  <c r="R127" i="21"/>
  <c r="AF127" i="21"/>
  <c r="N128" i="21"/>
  <c r="AB128" i="21" s="1"/>
  <c r="AO40" i="21" s="1"/>
  <c r="I128" i="21"/>
  <c r="G128" i="21"/>
  <c r="U128" i="21" s="1"/>
  <c r="O128" i="21"/>
  <c r="AC128" i="21" s="1"/>
  <c r="K128" i="21"/>
  <c r="Y128" i="21" s="1"/>
  <c r="F128" i="21"/>
  <c r="M128" i="21"/>
  <c r="AA128" i="21" s="1"/>
  <c r="P128" i="21"/>
  <c r="AD128" i="21" s="1"/>
  <c r="H128" i="21"/>
  <c r="V128" i="21" s="1"/>
  <c r="J128" i="21"/>
  <c r="X128" i="21" s="1"/>
  <c r="E128" i="21"/>
  <c r="L128" i="21"/>
  <c r="Z128" i="21" s="1"/>
  <c r="AM127" i="24" l="1"/>
  <c r="AM128" i="21"/>
  <c r="AL128" i="21"/>
  <c r="AL127" i="24"/>
  <c r="W127" i="24"/>
  <c r="W128" i="21"/>
  <c r="AI126" i="24"/>
  <c r="AJ126" i="24"/>
  <c r="AF127" i="24"/>
  <c r="AH127" i="24" s="1"/>
  <c r="AI127" i="24" s="1"/>
  <c r="M128" i="24"/>
  <c r="AA128" i="24" s="1"/>
  <c r="G128" i="24"/>
  <c r="U128" i="24" s="1"/>
  <c r="I128" i="24"/>
  <c r="N128" i="24"/>
  <c r="AB128" i="24" s="1"/>
  <c r="AO40" i="24" s="1"/>
  <c r="L128" i="24"/>
  <c r="Z128" i="24" s="1"/>
  <c r="K128" i="24"/>
  <c r="Y128" i="24" s="1"/>
  <c r="R127" i="24"/>
  <c r="P128" i="24"/>
  <c r="AD128" i="24" s="1"/>
  <c r="E128" i="24"/>
  <c r="S128" i="24" s="1"/>
  <c r="F128" i="24"/>
  <c r="T128" i="24" s="1"/>
  <c r="O128" i="24"/>
  <c r="AC128" i="24" s="1"/>
  <c r="J128" i="24"/>
  <c r="X128" i="24" s="1"/>
  <c r="H128" i="24"/>
  <c r="V128" i="24" s="1"/>
  <c r="AT27" i="24"/>
  <c r="AS27" i="24"/>
  <c r="AR27" i="21"/>
  <c r="AR27" i="24"/>
  <c r="AI126" i="21"/>
  <c r="AJ126" i="21"/>
  <c r="AK126" i="21"/>
  <c r="AH127" i="21"/>
  <c r="AF128" i="21"/>
  <c r="AH128" i="21" s="1"/>
  <c r="AP40" i="21"/>
  <c r="M129" i="21"/>
  <c r="AA129" i="21" s="1"/>
  <c r="O129" i="21"/>
  <c r="AC129" i="21" s="1"/>
  <c r="S128" i="21"/>
  <c r="L129" i="21"/>
  <c r="Z129" i="21" s="1"/>
  <c r="J129" i="21"/>
  <c r="X129" i="21" s="1"/>
  <c r="R128" i="21"/>
  <c r="I129" i="21"/>
  <c r="F129" i="21"/>
  <c r="T129" i="21" s="1"/>
  <c r="T128" i="21"/>
  <c r="E129" i="21"/>
  <c r="S129" i="21" s="1"/>
  <c r="P129" i="21"/>
  <c r="AD129" i="21" s="1"/>
  <c r="K129" i="21"/>
  <c r="Y129" i="21" s="1"/>
  <c r="G129" i="21"/>
  <c r="U129" i="21" s="1"/>
  <c r="H129" i="21"/>
  <c r="V129" i="21" s="1"/>
  <c r="N129" i="21"/>
  <c r="AB129" i="21" s="1"/>
  <c r="AM128" i="24" l="1"/>
  <c r="AM129" i="21"/>
  <c r="AL129" i="21"/>
  <c r="AL128" i="24"/>
  <c r="AJ127" i="24"/>
  <c r="W128" i="24"/>
  <c r="W129" i="21"/>
  <c r="AK127" i="24"/>
  <c r="AP40" i="24"/>
  <c r="I43" i="19" s="1"/>
  <c r="L129" i="24"/>
  <c r="Z129" i="24" s="1"/>
  <c r="G129" i="24"/>
  <c r="U129" i="24" s="1"/>
  <c r="P129" i="24"/>
  <c r="AD129" i="24" s="1"/>
  <c r="E129" i="24"/>
  <c r="AG129" i="24" s="1"/>
  <c r="AF128" i="24"/>
  <c r="AH128" i="24" s="1"/>
  <c r="AK128" i="24" s="1"/>
  <c r="F129" i="24"/>
  <c r="H129" i="24"/>
  <c r="V129" i="24" s="1"/>
  <c r="M129" i="24"/>
  <c r="AA129" i="24" s="1"/>
  <c r="N129" i="24"/>
  <c r="AB129" i="24" s="1"/>
  <c r="O129" i="24"/>
  <c r="AC129" i="24" s="1"/>
  <c r="I129" i="24"/>
  <c r="K129" i="24"/>
  <c r="Y129" i="24" s="1"/>
  <c r="J129" i="24"/>
  <c r="X129" i="24" s="1"/>
  <c r="R128" i="24"/>
  <c r="F20" i="19"/>
  <c r="F10" i="19"/>
  <c r="AT27" i="21"/>
  <c r="AS27" i="21"/>
  <c r="AQ27" i="21"/>
  <c r="AK127" i="21"/>
  <c r="AJ127" i="21"/>
  <c r="AJ128" i="21"/>
  <c r="AK128" i="21"/>
  <c r="AI127" i="21"/>
  <c r="G130" i="21"/>
  <c r="U130" i="21" s="1"/>
  <c r="E130" i="21"/>
  <c r="S130" i="21" s="1"/>
  <c r="AF129" i="21"/>
  <c r="M130" i="21"/>
  <c r="AA130" i="21" s="1"/>
  <c r="P130" i="21"/>
  <c r="AD130" i="21" s="1"/>
  <c r="R129" i="21"/>
  <c r="K130" i="21"/>
  <c r="Y130" i="21" s="1"/>
  <c r="I130" i="21"/>
  <c r="L130" i="21"/>
  <c r="Z130" i="21" s="1"/>
  <c r="F130" i="21"/>
  <c r="T130" i="21" s="1"/>
  <c r="J130" i="21"/>
  <c r="X130" i="21" s="1"/>
  <c r="O130" i="21"/>
  <c r="AC130" i="21" s="1"/>
  <c r="N130" i="21"/>
  <c r="AB130" i="21" s="1"/>
  <c r="H130" i="21"/>
  <c r="V130" i="21" s="1"/>
  <c r="AI128" i="21"/>
  <c r="AM129" i="24" l="1"/>
  <c r="AM130" i="21"/>
  <c r="AL130" i="21"/>
  <c r="AL129" i="24"/>
  <c r="W129" i="24"/>
  <c r="W130" i="21"/>
  <c r="I33" i="19"/>
  <c r="S129" i="24"/>
  <c r="J34" i="19"/>
  <c r="K45" i="19"/>
  <c r="K35" i="19"/>
  <c r="J44" i="19"/>
  <c r="T129" i="24"/>
  <c r="AJ128" i="24"/>
  <c r="AI128" i="24"/>
  <c r="O130" i="24"/>
  <c r="AC130" i="24" s="1"/>
  <c r="R129" i="24"/>
  <c r="M130" i="24"/>
  <c r="AA130" i="24" s="1"/>
  <c r="E130" i="24"/>
  <c r="AG130" i="24" s="1"/>
  <c r="I130" i="24"/>
  <c r="AF129" i="24"/>
  <c r="AH129" i="24" s="1"/>
  <c r="H130" i="24"/>
  <c r="V130" i="24" s="1"/>
  <c r="G130" i="24"/>
  <c r="U130" i="24" s="1"/>
  <c r="L130" i="24"/>
  <c r="Z130" i="24" s="1"/>
  <c r="F130" i="24"/>
  <c r="T130" i="24" s="1"/>
  <c r="P130" i="24"/>
  <c r="AD130" i="24" s="1"/>
  <c r="K130" i="24"/>
  <c r="Y130" i="24" s="1"/>
  <c r="N130" i="24"/>
  <c r="AB130" i="24" s="1"/>
  <c r="J130" i="24"/>
  <c r="X130" i="24" s="1"/>
  <c r="AO28" i="21"/>
  <c r="E9" i="19"/>
  <c r="E19" i="19"/>
  <c r="G21" i="19"/>
  <c r="G11" i="19"/>
  <c r="H12" i="19"/>
  <c r="H22" i="19"/>
  <c r="AH129" i="21"/>
  <c r="L131" i="21"/>
  <c r="Z131" i="21" s="1"/>
  <c r="N131" i="21"/>
  <c r="AB131" i="21" s="1"/>
  <c r="J131" i="21"/>
  <c r="X131" i="21" s="1"/>
  <c r="F131" i="21"/>
  <c r="T131" i="21" s="1"/>
  <c r="P131" i="21"/>
  <c r="AD131" i="21" s="1"/>
  <c r="E131" i="21"/>
  <c r="AF130" i="21"/>
  <c r="AH130" i="21" s="1"/>
  <c r="H131" i="21"/>
  <c r="V131" i="21" s="1"/>
  <c r="M131" i="21"/>
  <c r="AA131" i="21" s="1"/>
  <c r="G131" i="21"/>
  <c r="U131" i="21" s="1"/>
  <c r="O131" i="21"/>
  <c r="AC131" i="21" s="1"/>
  <c r="K131" i="21"/>
  <c r="Y131" i="21" s="1"/>
  <c r="I131" i="21"/>
  <c r="R130" i="21"/>
  <c r="AM130" i="24" l="1"/>
  <c r="AM131" i="21"/>
  <c r="AL131" i="21"/>
  <c r="AL130" i="24"/>
  <c r="W130" i="24"/>
  <c r="W131" i="21"/>
  <c r="AO28" i="24"/>
  <c r="S130" i="24"/>
  <c r="N131" i="24"/>
  <c r="AB131" i="24" s="1"/>
  <c r="L131" i="24"/>
  <c r="Z131" i="24" s="1"/>
  <c r="G131" i="24"/>
  <c r="U131" i="24" s="1"/>
  <c r="J131" i="24"/>
  <c r="X131" i="24" s="1"/>
  <c r="AF130" i="24"/>
  <c r="AH130" i="24" s="1"/>
  <c r="AI130" i="24" s="1"/>
  <c r="K131" i="24"/>
  <c r="Y131" i="24" s="1"/>
  <c r="M131" i="24"/>
  <c r="AA131" i="24" s="1"/>
  <c r="F131" i="24"/>
  <c r="T131" i="24" s="1"/>
  <c r="I131" i="24"/>
  <c r="O131" i="24"/>
  <c r="AC131" i="24" s="1"/>
  <c r="P131" i="24"/>
  <c r="AD131" i="24" s="1"/>
  <c r="E131" i="24"/>
  <c r="S131" i="24" s="1"/>
  <c r="H131" i="24"/>
  <c r="V131" i="24" s="1"/>
  <c r="R130" i="24"/>
  <c r="AK129" i="21"/>
  <c r="AJ129" i="21"/>
  <c r="AJ130" i="21"/>
  <c r="AK130" i="21"/>
  <c r="AI129" i="21"/>
  <c r="I132" i="21"/>
  <c r="S131" i="21"/>
  <c r="N132" i="21"/>
  <c r="AB132" i="21" s="1"/>
  <c r="AO41" i="21" s="1"/>
  <c r="E132" i="21"/>
  <c r="AF131" i="21"/>
  <c r="AH131" i="21" s="1"/>
  <c r="G132" i="21"/>
  <c r="U132" i="21" s="1"/>
  <c r="H132" i="21"/>
  <c r="V132" i="21" s="1"/>
  <c r="O132" i="21"/>
  <c r="AC132" i="21" s="1"/>
  <c r="L132" i="21"/>
  <c r="Z132" i="21" s="1"/>
  <c r="J132" i="21"/>
  <c r="X132" i="21" s="1"/>
  <c r="P132" i="21"/>
  <c r="AD132" i="21" s="1"/>
  <c r="M132" i="21"/>
  <c r="AA132" i="21" s="1"/>
  <c r="R131" i="21"/>
  <c r="K132" i="21"/>
  <c r="Y132" i="21" s="1"/>
  <c r="F132" i="21"/>
  <c r="T132" i="21" s="1"/>
  <c r="AI130" i="21"/>
  <c r="AI129" i="24"/>
  <c r="AJ129" i="24"/>
  <c r="AK129" i="24"/>
  <c r="AM131" i="24" l="1"/>
  <c r="AM132" i="21"/>
  <c r="AL132" i="21"/>
  <c r="AL131" i="24"/>
  <c r="W131" i="24"/>
  <c r="W132" i="21"/>
  <c r="AG131" i="24"/>
  <c r="AF131" i="24"/>
  <c r="M132" i="24"/>
  <c r="AA132" i="24" s="1"/>
  <c r="R131" i="24"/>
  <c r="E132" i="24"/>
  <c r="S132" i="24" s="1"/>
  <c r="L132" i="24"/>
  <c r="Z132" i="24" s="1"/>
  <c r="O132" i="24"/>
  <c r="AC132" i="24" s="1"/>
  <c r="H132" i="24"/>
  <c r="V132" i="24" s="1"/>
  <c r="G132" i="24"/>
  <c r="K132" i="24"/>
  <c r="Y132" i="24" s="1"/>
  <c r="I132" i="24"/>
  <c r="P132" i="24"/>
  <c r="AD132" i="24" s="1"/>
  <c r="F132" i="24"/>
  <c r="T132" i="24" s="1"/>
  <c r="J132" i="24"/>
  <c r="X132" i="24" s="1"/>
  <c r="N132" i="24"/>
  <c r="AB132" i="24" s="1"/>
  <c r="AO41" i="24" s="1"/>
  <c r="AI131" i="21"/>
  <c r="AJ131" i="21"/>
  <c r="AK131" i="21"/>
  <c r="S132" i="21"/>
  <c r="AP41" i="21"/>
  <c r="H133" i="21"/>
  <c r="V133" i="21" s="1"/>
  <c r="L133" i="21"/>
  <c r="Z133" i="21" s="1"/>
  <c r="E133" i="21"/>
  <c r="S133" i="21" s="1"/>
  <c r="K133" i="21"/>
  <c r="Y133" i="21" s="1"/>
  <c r="N133" i="21"/>
  <c r="AB133" i="21" s="1"/>
  <c r="F133" i="21"/>
  <c r="T133" i="21" s="1"/>
  <c r="R132" i="21"/>
  <c r="I133" i="21"/>
  <c r="O133" i="21"/>
  <c r="AC133" i="21" s="1"/>
  <c r="J133" i="21"/>
  <c r="X133" i="21" s="1"/>
  <c r="G133" i="21"/>
  <c r="U133" i="21" s="1"/>
  <c r="P133" i="21"/>
  <c r="AD133" i="21" s="1"/>
  <c r="AF132" i="21"/>
  <c r="AH132" i="21" s="1"/>
  <c r="M133" i="21"/>
  <c r="AA133" i="21" s="1"/>
  <c r="AJ130" i="24"/>
  <c r="AK130" i="24"/>
  <c r="AM132" i="24" l="1"/>
  <c r="AM133" i="21"/>
  <c r="AL133" i="21"/>
  <c r="AL132" i="24"/>
  <c r="W132" i="24"/>
  <c r="W133" i="21"/>
  <c r="AP41" i="24"/>
  <c r="I44" i="19" s="1"/>
  <c r="AG132" i="24"/>
  <c r="AH131" i="24"/>
  <c r="AK131" i="24" s="1"/>
  <c r="U132" i="24"/>
  <c r="AF132" i="24"/>
  <c r="R132" i="24"/>
  <c r="P133" i="24"/>
  <c r="AD133" i="24" s="1"/>
  <c r="O133" i="24"/>
  <c r="AC133" i="24" s="1"/>
  <c r="J133" i="24"/>
  <c r="X133" i="24" s="1"/>
  <c r="I133" i="24"/>
  <c r="N133" i="24"/>
  <c r="AB133" i="24" s="1"/>
  <c r="M133" i="24"/>
  <c r="AA133" i="24" s="1"/>
  <c r="E133" i="24"/>
  <c r="S133" i="24" s="1"/>
  <c r="K133" i="24"/>
  <c r="Y133" i="24" s="1"/>
  <c r="F133" i="24"/>
  <c r="T133" i="24" s="1"/>
  <c r="L133" i="24"/>
  <c r="Z133" i="24" s="1"/>
  <c r="H133" i="24"/>
  <c r="V133" i="24" s="1"/>
  <c r="G133" i="24"/>
  <c r="U133" i="24" s="1"/>
  <c r="AR28" i="24"/>
  <c r="AQ28" i="24"/>
  <c r="AS28" i="24"/>
  <c r="AR28" i="21"/>
  <c r="AS28" i="21"/>
  <c r="AQ28" i="21"/>
  <c r="AI132" i="21"/>
  <c r="AJ132" i="21"/>
  <c r="AK132" i="21"/>
  <c r="M134" i="21"/>
  <c r="AA134" i="21" s="1"/>
  <c r="N134" i="21"/>
  <c r="AB134" i="21" s="1"/>
  <c r="P134" i="21"/>
  <c r="AD134" i="21" s="1"/>
  <c r="L134" i="21"/>
  <c r="Z134" i="21" s="1"/>
  <c r="O134" i="21"/>
  <c r="AC134" i="21" s="1"/>
  <c r="I134" i="21"/>
  <c r="E134" i="21"/>
  <c r="S134" i="21" s="1"/>
  <c r="K134" i="21"/>
  <c r="Y134" i="21" s="1"/>
  <c r="R133" i="21"/>
  <c r="F134" i="21"/>
  <c r="T134" i="21" s="1"/>
  <c r="J134" i="21"/>
  <c r="X134" i="21" s="1"/>
  <c r="G134" i="21"/>
  <c r="U134" i="21" s="1"/>
  <c r="H134" i="21"/>
  <c r="V134" i="21" s="1"/>
  <c r="AF133" i="21"/>
  <c r="AM133" i="24" l="1"/>
  <c r="AM134" i="21"/>
  <c r="AL134" i="21"/>
  <c r="AL133" i="24"/>
  <c r="W133" i="24"/>
  <c r="W134" i="21"/>
  <c r="J45" i="19"/>
  <c r="J35" i="19"/>
  <c r="I34" i="19"/>
  <c r="AH132" i="24"/>
  <c r="AJ132" i="24" s="1"/>
  <c r="AG133" i="24"/>
  <c r="AI131" i="24"/>
  <c r="AJ131" i="24"/>
  <c r="J134" i="24"/>
  <c r="X134" i="24" s="1"/>
  <c r="M134" i="24"/>
  <c r="AA134" i="24" s="1"/>
  <c r="L134" i="24"/>
  <c r="Z134" i="24" s="1"/>
  <c r="R133" i="24"/>
  <c r="E134" i="24"/>
  <c r="S134" i="24" s="1"/>
  <c r="K134" i="24"/>
  <c r="Y134" i="24" s="1"/>
  <c r="P134" i="24"/>
  <c r="AD134" i="24" s="1"/>
  <c r="AF133" i="24"/>
  <c r="N134" i="24"/>
  <c r="AB134" i="24" s="1"/>
  <c r="O134" i="24"/>
  <c r="AC134" i="24" s="1"/>
  <c r="H134" i="24"/>
  <c r="V134" i="24" s="1"/>
  <c r="F134" i="24"/>
  <c r="G134" i="24"/>
  <c r="U134" i="24" s="1"/>
  <c r="I134" i="24"/>
  <c r="AO29" i="21"/>
  <c r="E20" i="19"/>
  <c r="E10" i="19"/>
  <c r="G22" i="19"/>
  <c r="G12" i="19"/>
  <c r="F11" i="19"/>
  <c r="F21" i="19"/>
  <c r="AH133" i="21"/>
  <c r="AF134" i="21"/>
  <c r="R134" i="21"/>
  <c r="I135" i="21"/>
  <c r="H135" i="21"/>
  <c r="V135" i="21" s="1"/>
  <c r="M135" i="21"/>
  <c r="AA135" i="21" s="1"/>
  <c r="O135" i="21"/>
  <c r="AC135" i="21" s="1"/>
  <c r="K135" i="21"/>
  <c r="Y135" i="21" s="1"/>
  <c r="J135" i="21"/>
  <c r="X135" i="21" s="1"/>
  <c r="P135" i="21"/>
  <c r="AD135" i="21" s="1"/>
  <c r="N135" i="21"/>
  <c r="AB135" i="21" s="1"/>
  <c r="E135" i="21"/>
  <c r="S135" i="21" s="1"/>
  <c r="L135" i="21"/>
  <c r="Z135" i="21" s="1"/>
  <c r="F135" i="21"/>
  <c r="T135" i="21" s="1"/>
  <c r="G135" i="21"/>
  <c r="U135" i="21" s="1"/>
  <c r="AQ37" i="24"/>
  <c r="AM134" i="24" l="1"/>
  <c r="AM135" i="21"/>
  <c r="AL135" i="21"/>
  <c r="AL134" i="24"/>
  <c r="W135" i="21"/>
  <c r="AK132" i="24"/>
  <c r="AH133" i="24"/>
  <c r="AI133" i="24" s="1"/>
  <c r="AI132" i="24"/>
  <c r="AG134" i="24"/>
  <c r="I135" i="24"/>
  <c r="J135" i="24"/>
  <c r="X135" i="24" s="1"/>
  <c r="W134" i="24"/>
  <c r="M135" i="24"/>
  <c r="AA135" i="24" s="1"/>
  <c r="H135" i="24"/>
  <c r="V135" i="24" s="1"/>
  <c r="E135" i="24"/>
  <c r="AG135" i="24" s="1"/>
  <c r="AF134" i="24"/>
  <c r="N135" i="24"/>
  <c r="AB135" i="24" s="1"/>
  <c r="G135" i="24"/>
  <c r="U135" i="24" s="1"/>
  <c r="L135" i="24"/>
  <c r="Z135" i="24" s="1"/>
  <c r="R134" i="24"/>
  <c r="O135" i="24"/>
  <c r="AC135" i="24" s="1"/>
  <c r="K135" i="24"/>
  <c r="Y135" i="24" s="1"/>
  <c r="F135" i="24"/>
  <c r="T135" i="24" s="1"/>
  <c r="T134" i="24"/>
  <c r="P135" i="24"/>
  <c r="AD135" i="24" s="1"/>
  <c r="AK133" i="21"/>
  <c r="AJ133" i="21"/>
  <c r="AI133" i="21"/>
  <c r="AH134" i="21"/>
  <c r="H136" i="21"/>
  <c r="V136" i="21" s="1"/>
  <c r="V23" i="21" s="1"/>
  <c r="N136" i="21"/>
  <c r="AB136" i="21" s="1"/>
  <c r="E136" i="21"/>
  <c r="L136" i="21"/>
  <c r="F136" i="21"/>
  <c r="T136" i="21" s="1"/>
  <c r="T23" i="21" s="1"/>
  <c r="O136" i="21"/>
  <c r="AC136" i="21" s="1"/>
  <c r="AC23" i="21" s="1"/>
  <c r="R135" i="21"/>
  <c r="M136" i="21"/>
  <c r="AA136" i="21" s="1"/>
  <c r="AA23" i="21" s="1"/>
  <c r="G136" i="21"/>
  <c r="U136" i="21" s="1"/>
  <c r="U23" i="21" s="1"/>
  <c r="AF135" i="21"/>
  <c r="J136" i="21"/>
  <c r="X136" i="21" s="1"/>
  <c r="X23" i="21" s="1"/>
  <c r="K136" i="21"/>
  <c r="Y136" i="21" s="1"/>
  <c r="Y23" i="21" s="1"/>
  <c r="I136" i="21"/>
  <c r="W136" i="21" s="1"/>
  <c r="P136" i="21"/>
  <c r="W23" i="21" l="1"/>
  <c r="AM135" i="24"/>
  <c r="AM136" i="21"/>
  <c r="AL136" i="21"/>
  <c r="AL135" i="24"/>
  <c r="W135" i="24"/>
  <c r="AB23" i="21"/>
  <c r="AO42" i="21"/>
  <c r="AP42" i="21" s="1"/>
  <c r="AQ37" i="21" s="1"/>
  <c r="AK133" i="24"/>
  <c r="AO29" i="24"/>
  <c r="AR29" i="24" s="1"/>
  <c r="AJ133" i="24"/>
  <c r="AH134" i="24"/>
  <c r="AJ134" i="24" s="1"/>
  <c r="S135" i="24"/>
  <c r="AF135" i="24"/>
  <c r="AH135" i="24" s="1"/>
  <c r="L136" i="24"/>
  <c r="Z136" i="24" s="1"/>
  <c r="Z23" i="24" s="1"/>
  <c r="O136" i="24"/>
  <c r="AC136" i="24" s="1"/>
  <c r="AC23" i="24" s="1"/>
  <c r="AC22" i="24" s="1"/>
  <c r="P136" i="24"/>
  <c r="AD136" i="24" s="1"/>
  <c r="AD23" i="24" s="1"/>
  <c r="R135" i="24"/>
  <c r="N136" i="24"/>
  <c r="AB136" i="24" s="1"/>
  <c r="E136" i="24"/>
  <c r="AG136" i="24" s="1"/>
  <c r="I136" i="24"/>
  <c r="W136" i="24" s="1"/>
  <c r="G136" i="24"/>
  <c r="U136" i="24" s="1"/>
  <c r="U23" i="24" s="1"/>
  <c r="U22" i="24" s="1"/>
  <c r="J136" i="24"/>
  <c r="X136" i="24" s="1"/>
  <c r="X23" i="24" s="1"/>
  <c r="X22" i="24" s="1"/>
  <c r="M136" i="24"/>
  <c r="AA136" i="24" s="1"/>
  <c r="AA23" i="24" s="1"/>
  <c r="AA22" i="24" s="1"/>
  <c r="F136" i="24"/>
  <c r="T136" i="24" s="1"/>
  <c r="T23" i="24" s="1"/>
  <c r="T22" i="24" s="1"/>
  <c r="K136" i="24"/>
  <c r="Y136" i="24" s="1"/>
  <c r="Y23" i="24" s="1"/>
  <c r="Y22" i="24" s="1"/>
  <c r="H136" i="24"/>
  <c r="V136" i="24" s="1"/>
  <c r="V23" i="24" s="1"/>
  <c r="V22" i="24" s="1"/>
  <c r="Z136" i="21"/>
  <c r="Z23" i="21" s="1"/>
  <c r="AD136" i="21"/>
  <c r="AD23" i="21" s="1"/>
  <c r="AJ134" i="21"/>
  <c r="AK134" i="21"/>
  <c r="S136" i="21"/>
  <c r="AI134" i="21"/>
  <c r="AH135" i="21"/>
  <c r="R136" i="21"/>
  <c r="AF136" i="21"/>
  <c r="AH136" i="21" s="1"/>
  <c r="AM136" i="24" l="1"/>
  <c r="AL136" i="24"/>
  <c r="W23" i="24"/>
  <c r="W22" i="24" s="1"/>
  <c r="AB23" i="24"/>
  <c r="AB22" i="24" s="1"/>
  <c r="AO42" i="24"/>
  <c r="AP42" i="24" s="1"/>
  <c r="I45" i="19" s="1"/>
  <c r="O9" i="19" s="1"/>
  <c r="H18" i="17" s="1"/>
  <c r="U18" i="17" s="1"/>
  <c r="AI134" i="24"/>
  <c r="AK134" i="24"/>
  <c r="AF136" i="24"/>
  <c r="AH136" i="24" s="1"/>
  <c r="S136" i="24"/>
  <c r="S23" i="24" s="1"/>
  <c r="R136" i="24"/>
  <c r="Z22" i="24"/>
  <c r="AD22" i="24"/>
  <c r="AQ29" i="24"/>
  <c r="AR29" i="21"/>
  <c r="AQ29" i="21"/>
  <c r="S23" i="21"/>
  <c r="AJ136" i="21"/>
  <c r="AK136" i="21"/>
  <c r="AI135" i="21"/>
  <c r="AJ135" i="21"/>
  <c r="AK135" i="21"/>
  <c r="AI136" i="21"/>
  <c r="AK135" i="24"/>
  <c r="AI135" i="24"/>
  <c r="AJ135" i="24"/>
  <c r="S22" i="24" l="1"/>
  <c r="I35" i="19"/>
  <c r="F18" i="17" s="1"/>
  <c r="S18" i="17" s="1"/>
  <c r="AO30" i="21"/>
  <c r="AQ30" i="21" s="1"/>
  <c r="E21" i="19"/>
  <c r="E11" i="19"/>
  <c r="F22" i="19"/>
  <c r="F12" i="19"/>
  <c r="AK136" i="24"/>
  <c r="AI136" i="24"/>
  <c r="AJ136" i="24"/>
  <c r="J18" i="17" l="1"/>
  <c r="AO30" i="24"/>
  <c r="AQ30" i="24" s="1"/>
  <c r="E12" i="19" s="1"/>
  <c r="K18" i="17" l="1"/>
  <c r="E22" i="19"/>
  <c r="O7" i="19" s="1"/>
  <c r="H11" i="17" s="1"/>
  <c r="U11" i="17" s="1"/>
  <c r="J11" i="17" l="1"/>
  <c r="K11" i="17" l="1"/>
</calcChain>
</file>

<file path=xl/sharedStrings.xml><?xml version="1.0" encoding="utf-8"?>
<sst xmlns="http://schemas.openxmlformats.org/spreadsheetml/2006/main" count="1591" uniqueCount="471">
  <si>
    <t>Menu</t>
  </si>
  <si>
    <t>Home</t>
  </si>
  <si>
    <t>Results</t>
  </si>
  <si>
    <t>Sensitvity analysis</t>
  </si>
  <si>
    <t>Introduction to working with the model</t>
  </si>
  <si>
    <t>Methodology</t>
  </si>
  <si>
    <t>Model type</t>
  </si>
  <si>
    <t>General information</t>
  </si>
  <si>
    <t>4. Cells containing automatically calculated values cannot be altered and have a grey background</t>
  </si>
  <si>
    <t>3. Values that can be updted by the user are indicated by a light green background</t>
  </si>
  <si>
    <t>5. The model can be reset to default values using the reset button each page</t>
  </si>
  <si>
    <t>Version 1.0, not for distribution or citing</t>
  </si>
  <si>
    <t>Model set up</t>
  </si>
  <si>
    <t>Population</t>
  </si>
  <si>
    <t>Parameter</t>
  </si>
  <si>
    <t>Time horizon</t>
  </si>
  <si>
    <t>%</t>
  </si>
  <si>
    <t>years</t>
  </si>
  <si>
    <t>Annual cost discount rate</t>
  </si>
  <si>
    <t>6. Please navigate the model using the menu on the left-hand side</t>
  </si>
  <si>
    <t>Variance</t>
  </si>
  <si>
    <t>Age</t>
  </si>
  <si>
    <t>Interventions</t>
  </si>
  <si>
    <t>Adverse events</t>
  </si>
  <si>
    <t>Costs</t>
  </si>
  <si>
    <t>Yes</t>
  </si>
  <si>
    <t>Yes/No</t>
  </si>
  <si>
    <t>No</t>
  </si>
  <si>
    <t>Time Horizon</t>
  </si>
  <si>
    <t>USD</t>
  </si>
  <si>
    <t>Cell options</t>
  </si>
  <si>
    <t>Valid values for parameter inputs</t>
  </si>
  <si>
    <t>Parameters</t>
  </si>
  <si>
    <t>Model parameters and their input values</t>
  </si>
  <si>
    <t>Base case</t>
  </si>
  <si>
    <t>Distribution</t>
  </si>
  <si>
    <t>Min</t>
  </si>
  <si>
    <t>Max</t>
  </si>
  <si>
    <t>Item</t>
  </si>
  <si>
    <t>Sampled value</t>
  </si>
  <si>
    <t>Model input</t>
  </si>
  <si>
    <t>Sampling</t>
  </si>
  <si>
    <t>Citation</t>
  </si>
  <si>
    <t>Calculations</t>
  </si>
  <si>
    <t>Default parameters</t>
  </si>
  <si>
    <t>Model parameters and their default values</t>
  </si>
  <si>
    <t>Health economic analysis details</t>
  </si>
  <si>
    <t>Risk factors</t>
  </si>
  <si>
    <t>Scenario 1</t>
  </si>
  <si>
    <t>Year</t>
  </si>
  <si>
    <t>SD/SE</t>
  </si>
  <si>
    <t>Sensitivity analysis</t>
  </si>
  <si>
    <t>Estimation of confidence about base case results</t>
  </si>
  <si>
    <t>Total cost</t>
  </si>
  <si>
    <t>Scenario 2</t>
  </si>
  <si>
    <t>Difference</t>
  </si>
  <si>
    <t>events</t>
  </si>
  <si>
    <t>Cost</t>
  </si>
  <si>
    <t>Cell</t>
  </si>
  <si>
    <t>Variance cell</t>
  </si>
  <si>
    <t>Min cell</t>
  </si>
  <si>
    <t>Max cell</t>
  </si>
  <si>
    <t>Basecase</t>
  </si>
  <si>
    <t>Summary</t>
  </si>
  <si>
    <t>Information</t>
  </si>
  <si>
    <t>Value</t>
  </si>
  <si>
    <t>VarianceOrig</t>
  </si>
  <si>
    <t>Min Orig</t>
  </si>
  <si>
    <t>Max Orig</t>
  </si>
  <si>
    <t>Sheet Name</t>
  </si>
  <si>
    <t>Parameter name</t>
  </si>
  <si>
    <t>Sample variance</t>
  </si>
  <si>
    <t>Random</t>
  </si>
  <si>
    <t>Kendall DL use in cardiac monitoring associated with Coronary Artery Bypass Grafting (CABG)</t>
  </si>
  <si>
    <t>Unit</t>
  </si>
  <si>
    <t>Currency, currency year</t>
  </si>
  <si>
    <t>Please set the required time horizon and discount rate</t>
  </si>
  <si>
    <t>95% low</t>
  </si>
  <si>
    <t>95% high</t>
  </si>
  <si>
    <t>Reference</t>
  </si>
  <si>
    <t>Budget impact analysis in the United States of America</t>
  </si>
  <si>
    <t>Model design document</t>
  </si>
  <si>
    <t>Input table from MDD</t>
  </si>
  <si>
    <t>Body mass index, obese</t>
  </si>
  <si>
    <t>Body mass index, morbid obesity</t>
  </si>
  <si>
    <t>Gender, female</t>
  </si>
  <si>
    <t>Diabetes</t>
  </si>
  <si>
    <t>Discharge home</t>
  </si>
  <si>
    <t>Reoperation rates</t>
  </si>
  <si>
    <t>days</t>
  </si>
  <si>
    <t>Time in ICU</t>
  </si>
  <si>
    <t>Time on MV</t>
  </si>
  <si>
    <t>Patients with prolonged MV</t>
  </si>
  <si>
    <t>Time in hospital</t>
  </si>
  <si>
    <t>Discharge to care facility</t>
  </si>
  <si>
    <t>% per year</t>
  </si>
  <si>
    <t>Surgical site infections…</t>
  </si>
  <si>
    <t>… after</t>
  </si>
  <si>
    <t>SSI rates…</t>
  </si>
  <si>
    <t>… 30 days</t>
  </si>
  <si>
    <t>… 90 days</t>
  </si>
  <si>
    <t>…at index admission (9 days)</t>
  </si>
  <si>
    <t>Mortality with DSWI…</t>
  </si>
  <si>
    <t>… 1 year</t>
  </si>
  <si>
    <t>Odds ratio</t>
  </si>
  <si>
    <t>Cumulative SSI incidence</t>
  </si>
  <si>
    <t>alpha</t>
  </si>
  <si>
    <t>theta</t>
  </si>
  <si>
    <t>eta</t>
  </si>
  <si>
    <t>kappa</t>
  </si>
  <si>
    <t>y</t>
  </si>
  <si>
    <t>x</t>
  </si>
  <si>
    <t>P</t>
  </si>
  <si>
    <t>In-hospital mortality…</t>
  </si>
  <si>
    <t>Reusable ECG</t>
  </si>
  <si>
    <t>Purchase cost</t>
  </si>
  <si>
    <t>Number of patient uses</t>
  </si>
  <si>
    <t>Purchase cost of cable</t>
  </si>
  <si>
    <t>Cost per patient use</t>
  </si>
  <si>
    <t>Efficacy and safety</t>
  </si>
  <si>
    <t>Kendall DL</t>
  </si>
  <si>
    <t>RR</t>
  </si>
  <si>
    <t>Surgical site infection</t>
  </si>
  <si>
    <t>False alarms</t>
  </si>
  <si>
    <t>Leads-off alarms</t>
  </si>
  <si>
    <t>Electrocardiogram monitoring</t>
  </si>
  <si>
    <t>Assumption</t>
  </si>
  <si>
    <t>ECG alarm events...</t>
  </si>
  <si>
    <t>...False alarms</t>
  </si>
  <si>
    <t>...Leads-off alarms</t>
  </si>
  <si>
    <t>...Per</t>
  </si>
  <si>
    <t xml:space="preserve">  monitoring days</t>
  </si>
  <si>
    <t>Event rates</t>
  </si>
  <si>
    <t>Adverse events with reusable ECG leads</t>
  </si>
  <si>
    <t>Hospital events</t>
  </si>
  <si>
    <t>Hospital events under standard operating parameters</t>
  </si>
  <si>
    <t>Event rate</t>
  </si>
  <si>
    <t>Risk factors for event onset</t>
  </si>
  <si>
    <t>Age…</t>
  </si>
  <si>
    <t>…life expectancy</t>
  </si>
  <si>
    <t>Life tables</t>
  </si>
  <si>
    <t>Gender…</t>
  </si>
  <si>
    <t>Body mass index (BMI)…</t>
  </si>
  <si>
    <t>…ICU length of stay</t>
  </si>
  <si>
    <t>…prolonged MV</t>
  </si>
  <si>
    <t>day(s) extra</t>
  </si>
  <si>
    <t>Mortality risk increases with age</t>
  </si>
  <si>
    <t>Mortality risk is (generally) higher in males</t>
  </si>
  <si>
    <t>Diabetes…</t>
  </si>
  <si>
    <t>…hospital mortality</t>
  </si>
  <si>
    <t>…DSWI</t>
  </si>
  <si>
    <t>OR</t>
  </si>
  <si>
    <t>ghanta 2016</t>
  </si>
  <si>
    <t>1.71 (1.36 to 2.16)</t>
  </si>
  <si>
    <t>OR in propensity matched group  =</t>
  </si>
  <si>
    <t>Raza 2015</t>
  </si>
  <si>
    <t>Market share</t>
  </si>
  <si>
    <t>% of patients</t>
  </si>
  <si>
    <t>Market share…</t>
  </si>
  <si>
    <t xml:space="preserve">…increasing </t>
  </si>
  <si>
    <t>%-points per year</t>
  </si>
  <si>
    <t>Purchase cost of lead</t>
  </si>
  <si>
    <t>Event costs</t>
  </si>
  <si>
    <t>ICU per day</t>
  </si>
  <si>
    <t>General ward per day</t>
  </si>
  <si>
    <t>Mechanical ventilation</t>
  </si>
  <si>
    <t>CABG</t>
  </si>
  <si>
    <t>Nurse time</t>
  </si>
  <si>
    <t>Care costs</t>
  </si>
  <si>
    <t>Care costs in hospital or outpatient setting</t>
  </si>
  <si>
    <t>Care facility</t>
  </si>
  <si>
    <t>Patient at home…</t>
  </si>
  <si>
    <t xml:space="preserve">… for </t>
  </si>
  <si>
    <t>Event costs associated with CABG care</t>
  </si>
  <si>
    <t>Readmission for DSWI</t>
  </si>
  <si>
    <t>Outpatient care for SSI</t>
  </si>
  <si>
    <t>Inpatient DSWI</t>
  </si>
  <si>
    <t>Inpatient SSI</t>
  </si>
  <si>
    <t>False alarm</t>
  </si>
  <si>
    <t>Leads-off alarm</t>
  </si>
  <si>
    <t>minutes per event</t>
  </si>
  <si>
    <t>ICU+MV</t>
  </si>
  <si>
    <t>Prolonged MV</t>
  </si>
  <si>
    <t>GW</t>
  </si>
  <si>
    <t>Care home</t>
  </si>
  <si>
    <t>Deceased</t>
  </si>
  <si>
    <t>Outpatient DSWI</t>
  </si>
  <si>
    <t>Outpatient SSI</t>
  </si>
  <si>
    <t>cycle</t>
  </si>
  <si>
    <t>Day</t>
  </si>
  <si>
    <t>Page</t>
  </si>
  <si>
    <t>Setup</t>
  </si>
  <si>
    <t>Column</t>
  </si>
  <si>
    <t>Row</t>
  </si>
  <si>
    <t>F</t>
  </si>
  <si>
    <t>Cost discount rate</t>
  </si>
  <si>
    <t>Currency</t>
  </si>
  <si>
    <t>G</t>
  </si>
  <si>
    <t>Obese, body mass index</t>
  </si>
  <si>
    <t>Morbid obesity, body mass index</t>
  </si>
  <si>
    <t>95 min</t>
  </si>
  <si>
    <t>95 max</t>
  </si>
  <si>
    <t>Year for currency</t>
  </si>
  <si>
    <t>H</t>
  </si>
  <si>
    <t>I</t>
  </si>
  <si>
    <t>J</t>
  </si>
  <si>
    <t>var col</t>
  </si>
  <si>
    <t>min col</t>
  </si>
  <si>
    <t>max col</t>
  </si>
  <si>
    <t>Normal</t>
  </si>
  <si>
    <t>None</t>
  </si>
  <si>
    <t>Kendall DL purchase cost</t>
  </si>
  <si>
    <t>Kendall DL market share…</t>
  </si>
  <si>
    <t xml:space="preserve">Kendall DL market share…increasing </t>
  </si>
  <si>
    <t>Kendall DL surgical site infection RR</t>
  </si>
  <si>
    <t>Kendall DL false alarms RR</t>
  </si>
  <si>
    <t>Kendall DL leads-off alarms, RR</t>
  </si>
  <si>
    <t>Int_Kend_cost</t>
  </si>
  <si>
    <t>Int_Kend_MS</t>
  </si>
  <si>
    <t>Int_Kend_MS_inc</t>
  </si>
  <si>
    <t>Int_Kend_ssi</t>
  </si>
  <si>
    <t>Int_Kend_false</t>
  </si>
  <si>
    <t>Int_Kend_leadsoff</t>
  </si>
  <si>
    <t>Events</t>
  </si>
  <si>
    <t>ICU time</t>
  </si>
  <si>
    <t>Hospital time</t>
  </si>
  <si>
    <t>Prolonged MV patients</t>
  </si>
  <si>
    <t>ECG monitoring</t>
  </si>
  <si>
    <t>Home discharge</t>
  </si>
  <si>
    <t>Care facility discharge</t>
  </si>
  <si>
    <t>LogNormal</t>
  </si>
  <si>
    <t>Age, life expectancy</t>
  </si>
  <si>
    <t>Gender, life expectancy</t>
  </si>
  <si>
    <t>Length of stay in ICU, BMI</t>
  </si>
  <si>
    <t>Mortality after N days</t>
  </si>
  <si>
    <t>In-hospital mortality, %</t>
  </si>
  <si>
    <t>Surgical site infections, %</t>
  </si>
  <si>
    <t>SSI after N days</t>
  </si>
  <si>
    <t>DSWI, % of SSIs</t>
  </si>
  <si>
    <t>False alarms, N</t>
  </si>
  <si>
    <t>Leads-off alarms, N</t>
  </si>
  <si>
    <t>Alarms per N days</t>
  </si>
  <si>
    <t>DSWI, BMI</t>
  </si>
  <si>
    <t>Prolonged MV, BMI</t>
  </si>
  <si>
    <t>Hospital mortality, BMI</t>
  </si>
  <si>
    <r>
      <t>Risk when BMI over N kg/m</t>
    </r>
    <r>
      <rPr>
        <b/>
        <vertAlign val="superscript"/>
        <sz val="10"/>
        <color theme="1"/>
        <rFont val="Trebuchet MS"/>
        <family val="2"/>
        <scheme val="minor"/>
      </rPr>
      <t>2</t>
    </r>
  </si>
  <si>
    <t>Diabetes, DSWI</t>
  </si>
  <si>
    <t>Patient at home, cost</t>
  </si>
  <si>
    <t>Days of home care</t>
  </si>
  <si>
    <t>Costs AE</t>
  </si>
  <si>
    <t>9-day SSI</t>
  </si>
  <si>
    <t>30-day SSI</t>
  </si>
  <si>
    <t>90-day SSI</t>
  </si>
  <si>
    <t>Background</t>
  </si>
  <si>
    <t>Bac_SSI_9d</t>
  </si>
  <si>
    <t>Bac_SSI_30d</t>
  </si>
  <si>
    <t>Bac_SSI_90d</t>
  </si>
  <si>
    <t>BAC_DSWI_30d</t>
  </si>
  <si>
    <t>BAC_DSWI_90d</t>
  </si>
  <si>
    <t>BAC_DSWI_1y</t>
  </si>
  <si>
    <t>30 day mortality, DSWI risk</t>
  </si>
  <si>
    <t>90 day mortality, DSWI risk</t>
  </si>
  <si>
    <t>1 year mortality, DSWI risk</t>
  </si>
  <si>
    <t>Start</t>
  </si>
  <si>
    <t>End</t>
  </si>
  <si>
    <t>Int_Purc_cable</t>
  </si>
  <si>
    <t>Int_Purc_lead</t>
  </si>
  <si>
    <t>Int_Numb_cable</t>
  </si>
  <si>
    <t>Cos_Inpa_DSWI</t>
  </si>
  <si>
    <t>Cos_Inpa_SSI</t>
  </si>
  <si>
    <t>Mortality during CABG</t>
  </si>
  <si>
    <t>Bac_CABG_death</t>
  </si>
  <si>
    <t>ICU</t>
  </si>
  <si>
    <t>Check</t>
  </si>
  <si>
    <t>Prolonged MV duration</t>
  </si>
  <si>
    <t>Bac_MV_days</t>
  </si>
  <si>
    <t>Prolonged MV, days</t>
  </si>
  <si>
    <t>Length of stay…</t>
  </si>
  <si>
    <t>...with DSWI</t>
  </si>
  <si>
    <t>...with SSI</t>
  </si>
  <si>
    <t>Alasmari, F. A. et al. Temporal trends in the incidence of surgical site infections in patients undergoing coronary artery bypass graft surgery: A population-based cohort study, 1993 to 2008. Mayo Clin. Proc. 87, 1054–1061 (2012). (PMID: 23127732)</t>
  </si>
  <si>
    <t>SSI</t>
  </si>
  <si>
    <t>DSWI</t>
  </si>
  <si>
    <t>SSI days</t>
  </si>
  <si>
    <t>DSWI days</t>
  </si>
  <si>
    <t>Input</t>
  </si>
  <si>
    <t>Days</t>
  </si>
  <si>
    <t>Calc rate from graph</t>
  </si>
  <si>
    <t>Cumulative Incidence</t>
  </si>
  <si>
    <t>Cycle</t>
  </si>
  <si>
    <t>Care facility stay</t>
  </si>
  <si>
    <t>Facility stay, days</t>
  </si>
  <si>
    <t>1-day</t>
  </si>
  <si>
    <t>Table 2. Life table for males: United States, 2012</t>
  </si>
  <si>
    <t>Table 3. Life table for females: United States, 2012</t>
  </si>
  <si>
    <t>Males</t>
  </si>
  <si>
    <t>Females</t>
  </si>
  <si>
    <t xml:space="preserve"> x</t>
  </si>
  <si>
    <r>
      <t>m</t>
    </r>
    <r>
      <rPr>
        <b/>
        <i/>
        <vertAlign val="subscript"/>
        <sz val="12"/>
        <color indexed="18"/>
        <rFont val="Times New Roman"/>
        <family val="1"/>
      </rPr>
      <t>x</t>
    </r>
  </si>
  <si>
    <t>Max age</t>
  </si>
  <si>
    <t>Death per year</t>
  </si>
  <si>
    <t>Alive</t>
  </si>
  <si>
    <t>SumProduct</t>
  </si>
  <si>
    <t>Mean_mortality</t>
  </si>
  <si>
    <t>91.3-day</t>
  </si>
  <si>
    <t>p</t>
  </si>
  <si>
    <t>Time outside</t>
  </si>
  <si>
    <t>After</t>
  </si>
  <si>
    <t>91-day</t>
  </si>
  <si>
    <t>91-day%</t>
  </si>
  <si>
    <t>Obese</t>
  </si>
  <si>
    <t>Morbid obesity</t>
  </si>
  <si>
    <t>OR/((1/p)-1+OR)</t>
  </si>
  <si>
    <t xml:space="preserve">…when </t>
  </si>
  <si>
    <t>Obesity risk</t>
  </si>
  <si>
    <t>Mortality</t>
  </si>
  <si>
    <t>Mortality cost</t>
  </si>
  <si>
    <t>Monitoring</t>
  </si>
  <si>
    <t>Leads-off</t>
  </si>
  <si>
    <t>Monitored</t>
  </si>
  <si>
    <t>Not monitored</t>
  </si>
  <si>
    <t>Potential monitoring</t>
  </si>
  <si>
    <t>Kendall L</t>
  </si>
  <si>
    <t>Y1</t>
  </si>
  <si>
    <t>CABG patients per year</t>
  </si>
  <si>
    <t>CABG patients</t>
  </si>
  <si>
    <t>multiplied by patients</t>
  </si>
  <si>
    <t>S1</t>
  </si>
  <si>
    <t>S2</t>
  </si>
  <si>
    <t>ICU days</t>
  </si>
  <si>
    <t>Readmissions</t>
  </si>
  <si>
    <t>Y2</t>
  </si>
  <si>
    <t>Y3</t>
  </si>
  <si>
    <t>Y4</t>
  </si>
  <si>
    <t>Y5</t>
  </si>
  <si>
    <t>Y0.5</t>
  </si>
  <si>
    <t>Simulations</t>
  </si>
  <si>
    <t>Seed value</t>
  </si>
  <si>
    <t>Positive integer</t>
  </si>
  <si>
    <t>Name</t>
  </si>
  <si>
    <t>95% CI low</t>
  </si>
  <si>
    <t>95% CI high</t>
  </si>
  <si>
    <t>Median</t>
  </si>
  <si>
    <t>Result</t>
  </si>
  <si>
    <t>95% lower CrI</t>
  </si>
  <si>
    <t>95% higher CrI</t>
  </si>
  <si>
    <t>Morbidly obese</t>
  </si>
  <si>
    <t>Risk</t>
  </si>
  <si>
    <t>Linked</t>
  </si>
  <si>
    <t>Model runs</t>
  </si>
  <si>
    <t>1. This computer model uses a Markov model to simulate progression of a cohort of patients who undergo CABG and received ECG monitoring with either disposable or reusable leads</t>
  </si>
  <si>
    <t xml:space="preserve">2. Default values in the model are derived from peer-reviewed published literature and details can be found by clicking the information button on each page  </t>
  </si>
  <si>
    <t>Differential with increased Kendall DL use, Kendall DL minus Standard</t>
  </si>
  <si>
    <t>Options for electrocardiogram (ECG) monitoring</t>
  </si>
  <si>
    <t>Cohort</t>
  </si>
  <si>
    <t>Markov</t>
  </si>
  <si>
    <t>… that are DSWI*</t>
  </si>
  <si>
    <t>*Deep sternal wound infection</t>
  </si>
  <si>
    <t>McNeely C, Markwell S, Vassileva C. Trends in Patient Characteristics and Outcomes of Coronary Artery Bypass Grafting in the 2000 to 2012 Medicare Population. Ann Thorac Surg 2016;102:132–8. doi:10.1016/j.athoracsur.2016.01.016.</t>
  </si>
  <si>
    <t>Data taken from analysis of 66,473 Medicare patients undergoing CABG in 2012. The median age was 73 years, with an IQR of 69 to 78</t>
  </si>
  <si>
    <t>Data taken from analysis of 66,473 Medicare patients undergoing CABG in 2012. The population was 29.8% female, the variance was calculated using binomial error.</t>
  </si>
  <si>
    <t>Data taken from analysis of 66,473 Medicare patients undergoing CABG in 2012. Of the population 45.2% had diabetes, the variance was calculated using binomial error.</t>
  </si>
  <si>
    <t>The length of time over which the simulation runs, can vary from 0.5 (6 months) to 5 years</t>
  </si>
  <si>
    <t>Currency is in United States Dollars</t>
  </si>
  <si>
    <t>The currency is in 2016 USD, with older pricing inflated to this date</t>
  </si>
  <si>
    <t>Moore MA, Boardman AE, Vining AR. The choice of the social discount rate and the opportunity cost of public funds. J Benefit-Cost Anal 2013;4:401–9. doi:10.1515/jbca-2013-0023.</t>
  </si>
  <si>
    <t>Cost discounting at 3.5% per annum is recommended</t>
  </si>
  <si>
    <t>Ghanta RK, LaPar DJ, Zhang Q, et al. Obesity increases risk-adjusted morbidity, mortality, and cost following cardiac surgery. J Am Heart Assoc. 2017;6(3). doi:10.1161/JAHA.116.003831</t>
  </si>
  <si>
    <t>Analysis of 13,637 consecutive patients who underwent coronary surgery, of whom 9,702 underwent CABG. Of these, 3,548 were obese and 550 morbidly obese</t>
  </si>
  <si>
    <t>Data taken from analysis of 66,473 Medicare patients undergoing CABG in 2012. 74.5% of patients were discharged home, the variance was calculated using binomial error</t>
  </si>
  <si>
    <t>Data taken from analysis of 66,473 Medicare patients undergoing CABG in 2012. The median length of stay post-CABG was 8 days, IQR 6 to 13</t>
  </si>
  <si>
    <t>Data taken from analysis of 66,473 Medicare patients undergoing CABG in 2012. 74.5% of patients were discharged home, the remainder are assumed to be discharged to a nursing facility.</t>
  </si>
  <si>
    <t>Data taken from analysis of 66,473 Medicare patients undergoing CABG in 2012. 2.7% of patients died in hospital, the variance was calculated using binomial error</t>
  </si>
  <si>
    <t>Data taken from analysis of 66,473 Medicare patients undergoing CABG in 2012. The length of stay in hospital post-CABG had an upper valze of 13 days, and this value is taken as the follow-up for in-hospital mortality</t>
  </si>
  <si>
    <t>Data taken from analysis of 66,473 Medicare patients undergoing CABG in 2012. The median length of stay post-CABG was 8 days, IQR 6 to 13. Patients are assumed to be on ECG monitoring for their entire hopsital stay.</t>
  </si>
  <si>
    <t>Grabowski DC. POST-ACUTE AND LONG-TERM CARE: A PRIMER ON SERVICES, EXPENDITURES AND PAYMENT METHODS 2010.</t>
  </si>
  <si>
    <t>Report for the US Department of Health and Human Services that analysed Medicare use of nursing and care facilities. The mean length of stay in a skilled nursing facility was 27 days, the range was taken to be 13.3 days for a stay at an inpatient rehabilitation facility to 60 days for home help</t>
  </si>
  <si>
    <t>min range</t>
  </si>
  <si>
    <t>max range</t>
  </si>
  <si>
    <t>Report for the US Department of Health and Human Services that analysed Medicare use of nursing and care facilities. The mean length of stay in a skilled nursing facility was 27 days, with a mean of $330 per day, with pricing in 2008 USD. The range is taken to be from the lowest mean cost ($46.6 per day for home help) to the highest mean cost (1,318 per day for long-term care hospitals).</t>
  </si>
  <si>
    <t>Inflation</t>
  </si>
  <si>
    <t>Data extracted on: January 8, 2018 (5:36:42 AM)</t>
  </si>
  <si>
    <t xml:space="preserve"> CPI-All Urban Consumers (Current Series)</t>
  </si>
  <si>
    <t>12-Month Percent Change</t>
  </si>
  <si>
    <t>Series Id:     CUUR0000SAM</t>
  </si>
  <si>
    <t>Not Seasonally Adjusted</t>
  </si>
  <si>
    <t>Series Title:  Medical care in U.S. city average, all urban consumers, not seasonally adjusted</t>
  </si>
  <si>
    <t>Area:          U.S. city average</t>
  </si>
  <si>
    <t>Item:          Medical care</t>
  </si>
  <si>
    <t>Base Period:   1982-84=100</t>
  </si>
  <si>
    <t xml:space="preserve">Year    </t>
  </si>
  <si>
    <t>Annual inflation</t>
  </si>
  <si>
    <t>Lord LM. Maintaining Hydration and Tube Patency in Enteral Tube Feedings. Safe Pract Patient Care 2006;5.</t>
  </si>
  <si>
    <t xml:space="preserve"> Based on an annual salary of $65,000 and a 33% overhead. The upper and lower bound are assuming that the base salary ($65,000) varies by $10,000 in either direction and then the 33% overhead is applied. The number of nursing hours per year is taken to be 2,058 as per Lord 2006</t>
  </si>
  <si>
    <t>The Kaiser Family Foundation State Health Facts. Data Source: Hospital Adjusted Expenses per Inpatient Day. Data located at http://kff.org/health-costs/state-indicator/expenses-per-inpatient-day/?currentTimeframe=0&amp;sortModel=%7B%22colId%22:%22Location%22,%22sort%22:%22asc%22%7D and last accessed January 08, 20187</t>
  </si>
  <si>
    <t>Includes all operating and non-operating expenses for registered US community hospitals, defined as nonfederal short-term general and other special hospitals whose facilities and services are available to the public. Costs are in 2015 USD. Variance is assumed to be 1/10 of the base case value</t>
  </si>
  <si>
    <t>Gershengorn HB, Garland A, Gong MN. Patterns of daily costs differ for medical and surgical intensive care unit patients. Ann Am Thorac Soc 2015;12:1831–6. doi:10.1513/AnnalsATS.201506-366BC.</t>
  </si>
  <si>
    <t>Retrospective review of admissions to 5 types of ICU unit over the course of 2013. Costs are assumed to be 2013 costs and costs used are those for the cardiac surgery ICU. Costs were provided for Day 1 ($5,166), Day 2 ($2,060), and Day 3-30 ($2,325). The latter is used as the median value and confidence intervals are the provided IQR.</t>
  </si>
  <si>
    <t>Retrospective review of admissions to 5 types of ICU unit over the course of 2013. Costs are assumed to be 2013 costs and costs used are those for the cardiac surgery ICU. The additional cost of mechanical ventilation is provided in the supplement, and ranges from $193 per day in the medical ICU to $831 per day in the surgical ICU. The basecase value is $693 for the cariac ICU.</t>
  </si>
  <si>
    <t>Shepard J, Ward W, Milstone A, Carlson T, Frederick J, Hadhazy E, et al. Financial Impact of Surgical Site Infections on Hospitals. JAMA Surg 2013;148:907. doi:10.1001/jamasurg.2013.2246.</t>
  </si>
  <si>
    <t>Financial analysis of SSIs at Johns Hopkins Health System acute care hospitals in Maryland, including admissions from January 1, 2007 to December 31, 2010. SSIs increased healthcare costs but reduced the daily cost of care by $132 per day. Currency year not provided and so assumed to be 2010, the last year of analysis</t>
  </si>
  <si>
    <t>Olsen MA, Tian F, Wallace AE, Nickel KB, Warren DK, Fraser VJ, et al. Use of Quantile Regression to Determine the Impact on Total Health Care Costs of Surgical Site Infections Following Common Ambulatory Procedures. Ann Surg 2017;265:331–9. doi:10.1097/SLA.0000000000001590.</t>
  </si>
  <si>
    <t>This retrospective cohort study analysed SSIs reported between December 31, 2004 to December 31, 2010 in commercial insurer claims data. SSIs within 90 days post-procedure were identified and non-serious infectoins were those not during hospitalization or requiring surgery. Non-serious breast reconstruction surgeries were sued as the proxy for CABG, as these surgeries are also in the thorax. Non-serious SSIs cost $2,425 (591, 3,677) in 2014 USD</t>
  </si>
  <si>
    <t>Nabagiez JP, Shariff MA, Molloy WJ, Demissie S, McGinn JT. Cost Analysis of Physician Assistant Home Visit Program to Reduce Readmissions After Cardiac Surgery. Ann Thorac Surg 2016;102:696–702. doi:10.1016/j.athoracsur.2016.03.077.</t>
  </si>
  <si>
    <t>Retrospective analysis of propensity-score matched adult patients who underwent cardiac surgery between September 2008 and August 2012 at Staten Island University Hospital. Patient readmission was found to have a median cost of $21,100 and an IQR of $13,500 to $37,400. The currency year was not provided and was assumed to be 2012 USD as 2012 was the last year of data collection.</t>
  </si>
  <si>
    <t>Data for standard of care are entered in the Events tabs</t>
  </si>
  <si>
    <t>Data on file with Cardinal health</t>
  </si>
  <si>
    <t>Assumes no current use of Kendall DL</t>
  </si>
  <si>
    <t>Assumes that the facility will convert to full use of Kendall DL</t>
  </si>
  <si>
    <t>Data on file with Cardinal health and currently in publication</t>
  </si>
  <si>
    <t>Analysis of Medicare data comparing centers using Kendall DL with centers not using Kendall DL. The odds ratio was calcualted for outcomes at 90 days</t>
  </si>
  <si>
    <t>Albert NM, Murray T, Bena JF, et al. Differences in Alarm Events Between Disposable and Reusable Electrocardiography Lead Wires. Am J Crit Care. 2015;24(1):67-74. doi:10.4037/ajcc2015663</t>
  </si>
  <si>
    <t>Two cardiac telemetry units were randomized to reusable ECG-LWs, and 2 units alternated between disposable (Kendall DL) and reusable ECG-LWs for 4 months. The study reported the relative risk (95% CI) of different events with Kendall DL compared with reusable leads.</t>
  </si>
  <si>
    <t>Raza S, Sabik JF, Ainkaran P, Blackstone EH. Coronary artery bypass grafting in diabetics: A growing health care cost crisis. J Thorac Cardiovasc Surg. 2015;150(2):304-312.e2. doi:10.1016/j.jtcvs.2015.03.041.</t>
  </si>
  <si>
    <t>Analysis of 45,139 nondiabetics who underwent first-time CABG, their average time in ICU was 24 hours (Table 2)</t>
  </si>
  <si>
    <t>Analysis of 45,139 nondiabetics who underwent first-time CABG, their average time in ICU was 24 hours (Table 2). As prolonged mechanical ventilation (MV) was over 24 hrs, it was taken that MV was 12 hours on average.</t>
  </si>
  <si>
    <t xml:space="preserve">
</t>
  </si>
  <si>
    <t>Selby, L. V et al. Comparing surgical infections in National Surgical Quality Improvement Project and an Institutional Database. J. Surg. Res. 196, 416–20 (2015). (PMID: 25840487)</t>
  </si>
  <si>
    <t>Overall, 7% of patients had an SSI. In Table 5, 3% (absolute) of these were organ space infections, this is 40.75%</t>
  </si>
  <si>
    <t>Data on file with Cardinal Health and currently in publication</t>
  </si>
  <si>
    <t>Two cardiac telemetry units were randomized to reusable ECG-LWs, and 2 units alternated between disposable (Kendall DL) and reusable ECG-LWs for 4 months. Rates were reported per 100 monitoring days</t>
  </si>
  <si>
    <t>Two cardiac telemetry units were randomized to reusable ECG-LWs, and 2 units alternated between disposable (Kendall DL) and reusable ECG-LWs for 4 months. Results were the number of events per 100 monitoring days</t>
  </si>
  <si>
    <t>Separate US life tables are used for males and females</t>
  </si>
  <si>
    <t>Life tables are indexed by age</t>
  </si>
  <si>
    <t>https://www.cdc.gov/nchs/data/nvsr/nvsr65/nvsr65_08.pdf  accessed: January 08, 2018</t>
  </si>
  <si>
    <t>Analysis of 13,637 consecutive patients who underwent coronary surgery, of whom 9,702 underwent CABG. Of these, 10.6% required prolonged mechanical ventilation (&gt; 24 hours)</t>
  </si>
  <si>
    <t>Analysis of 45,139 nondiabetics who underwent first-time CABG, their average time in ICU was 24 hours (Table 2). Outcomes were compared to 10,362 patients with diabetes</t>
  </si>
  <si>
    <t>Reoperation rate</t>
  </si>
  <si>
    <t>Lee MS, Kapoor N, Jamal F, Czer L, Aragon J, Forrester J, et al. Comparison of coronary artery bypass surgery with percutaneous coronary intervention with drug-eluting stents for unprotected left main coronary artery disease. J Am Coll Cardiol 2006;47:864–70. doi:10.1016/j.jacc.2005.09.072.</t>
  </si>
  <si>
    <t>Analysis of 123 consecutive, selected patients treated with coronary artery bypass graft (CABG) surgery for unprotected left main coronary artery (ULMCA) disease. After 1 year, 5% were free from target vessel revascularization. The variance was calculated using binomial error</t>
  </si>
  <si>
    <t>Sears ED, Wu L, Waljee JF, Momoh AO, Zhong L, Chung KC. The Impact of Deep Sternal Wound Infection on Mortality and Resource Utilization: A Population-based Study. World J Surg. 2016;40(11):2673-2680. doi:10.1007/s00268-016-3598-7</t>
  </si>
  <si>
    <t>The number of Medicare CABG procedures annually in the facility</t>
  </si>
  <si>
    <t>Cost of Kendall DL purchase when volume discounting and reprocessing are considered</t>
  </si>
  <si>
    <t>To be updated by the facility</t>
  </si>
  <si>
    <t>Calculated value</t>
  </si>
  <si>
    <t>https://www.medscape.com/viewarticle/819134, accessed 08 January 2018</t>
  </si>
  <si>
    <t>https://www.cablesandsensors.com/products/medtronic-physio-control-compatible-direct-connect-ekg-cable?variant=33805653768, accessed 08 January 2018</t>
  </si>
  <si>
    <t>Count saving</t>
  </si>
  <si>
    <t>%-change in costs</t>
  </si>
  <si>
    <t>How change in costs impacts on model outcomes</t>
  </si>
  <si>
    <t>Cost decrease</t>
  </si>
  <si>
    <t>Cost increase</t>
  </si>
  <si>
    <t>Care facility per day</t>
  </si>
  <si>
    <t/>
  </si>
  <si>
    <t>Analysis of Medicare data. Data and analysis on file with Cardinal Health</t>
  </si>
  <si>
    <t>Mazzeffi M, Zivot J, Buchman T, Halkos M. In-hospital mortality after cardiac surgery: patient characteristics, timing, and association with postoperative length of intensive care unit and hospital stay. Ann Thorac Surg 2014;97:1220–5. doi:10.1016/j.athoracsur.2013.10.040.</t>
  </si>
  <si>
    <t>[1] Widyastuti Y, Stenseth R, Pleym H, Wahba A, Videm V. Pre-operative and intraoperative determinants for prolonged ventilation following adult cardiac surgery. Acta Anaesthesiol Scand 2012;56:190–9. doi:10.1111/j.1399-6576.2011.02538.x.</t>
  </si>
  <si>
    <t>Mortality is assumed to have no direct cost to the facility</t>
  </si>
  <si>
    <t>Model year</t>
  </si>
  <si>
    <t xml:space="preserve">7. If there are any questions, please contact Coreva Scientific and provide the model title and version </t>
  </si>
  <si>
    <t>Patient population</t>
  </si>
  <si>
    <t>Other model variables</t>
  </si>
  <si>
    <t>Background settings</t>
  </si>
  <si>
    <t>Final result and econmic analysis from the Synergy Between Percutaneous Coronary Intervention With TAXUS and Cardiac Surgery (SYNTAX) trial, which enrolled 870 CABG patients between 2005 and 2007. Post procedural costs were taken from 43,866 SYNTAX eligible patients in the 2010 Medicare Povider Review database. The cost year was 2010.</t>
  </si>
  <si>
    <t>Cohen DJ, Osnabrugge RL, Magnuson EA, Wang K, Li H, Chinnakondepalli K, et al. Cost-effectiveness of percutaneous coronary intervention with drug-eluting stents versus bypass surgery for patients with 3-vessel or left main coronary artery disease final results from the synergy between percutaneous coronary intervention with TAXUS an. Circulation 2014;130:1146–57. doi:10.1161/CIRCULATIONAHA.114.009985.</t>
  </si>
  <si>
    <t>ICU days as proportion of SSI days</t>
  </si>
  <si>
    <t>Variable used to distribute costs and location of care between ICU and general ward for patients with SSI and DSWI</t>
  </si>
  <si>
    <t>Jenney AW, Harrington GA, Russo PL, Spelman DW. Cost of surgical site infections following coronary artery bypass surgery. ANZ J Surg. 2001;71(11):662-664. http://www.ncbi.nlm.nih.gov/pubmed/11736828.</t>
  </si>
  <si>
    <t>ICU days as proportion of SSI LOS</t>
  </si>
  <si>
    <t>Morbidly obese pats with diabetes</t>
  </si>
  <si>
    <t>Ghanta</t>
  </si>
  <si>
    <t>Obese with diabetes</t>
  </si>
  <si>
    <t>Analysis of 13,637 consecutive patients who underwent coronary surgery, of whom 9,702 underwent CABG. Of these, 3,548 were obese and 550 morbidly obese. 65% of patients with morbid obesity had diabetes melitus</t>
  </si>
  <si>
    <t>Obes and diabetes</t>
  </si>
  <si>
    <t>Hospital days</t>
  </si>
  <si>
    <t>Initial inpatient stay</t>
  </si>
  <si>
    <t>After patient discharge</t>
  </si>
  <si>
    <t>p = 1-exp(-rt)</t>
  </si>
  <si>
    <t>r = -ln(1-p)/t</t>
  </si>
  <si>
    <t>r</t>
  </si>
  <si>
    <t>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</si>
</sst>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_-* #,##0.00_-;\-* #,##0.00_-;_-* &quot;-&quot;??_-;_-@_-"/>
    <numFmt numFmtId="165" formatCode="0.000"/>
    <numFmt numFmtId="166" formatCode="General_)"/>
    <numFmt numFmtId="167" formatCode="0.000000"/>
    <numFmt numFmtId="168" formatCode="0.0"/>
    <numFmt numFmtId="169" formatCode="0.000000_)"/>
    <numFmt numFmtId="170" formatCode="0.0_)"/>
    <numFmt numFmtId="171" formatCode="0.00_)"/>
    <numFmt numFmtId="172" formatCode="_-* #,##0_-;\-* #,##0_-;_-* &quot;-&quot;??_-;_-@_-"/>
    <numFmt numFmtId="173" formatCode="0.00000000"/>
    <numFmt numFmtId="174" formatCode="#,##0.000"/>
    <numFmt numFmtId="175" formatCode="#,##0.0"/>
    <numFmt numFmtId="176" formatCode="0.0000000000E+00"/>
  </numFmts>
  <fonts count="29" x14ac:knownFonts="1">
    <font>
      <sz val="11"/>
      <color theme="1"/>
      <name val="Trebuchet MS"/>
      <family val="2"/>
      <scheme val="minor"/>
    </font>
    <font>
      <sz val="10"/>
      <color theme="1"/>
      <name val="Trebuchet MS"/>
      <family val="2"/>
      <scheme val="minor"/>
    </font>
    <font>
      <b/>
      <sz val="11"/>
      <color rgb="FF3F3F3F"/>
      <name val="Trebuchet MS"/>
      <family val="2"/>
      <scheme val="minor"/>
    </font>
    <font>
      <b/>
      <sz val="11"/>
      <color theme="1"/>
      <name val="Trebuchet MS"/>
      <family val="2"/>
      <scheme val="minor"/>
    </font>
    <font>
      <b/>
      <sz val="10"/>
      <color theme="1"/>
      <name val="Trebuchet MS"/>
      <family val="2"/>
      <scheme val="minor"/>
    </font>
    <font>
      <b/>
      <sz val="18"/>
      <color theme="4"/>
      <name val="Trebuchet MS"/>
      <family val="2"/>
      <scheme val="minor"/>
    </font>
    <font>
      <b/>
      <sz val="14"/>
      <color theme="5"/>
      <name val="Trebuchet MS"/>
      <family val="2"/>
      <scheme val="minor"/>
    </font>
    <font>
      <sz val="10"/>
      <color theme="0"/>
      <name val="Trebuchet MS"/>
      <family val="2"/>
      <scheme val="minor"/>
    </font>
    <font>
      <b/>
      <sz val="14"/>
      <color theme="0"/>
      <name val="Trebuchet MS"/>
      <family val="2"/>
      <scheme val="minor"/>
    </font>
    <font>
      <sz val="11"/>
      <color theme="1"/>
      <name val="Trebuchet MS"/>
      <family val="2"/>
      <scheme val="minor"/>
    </font>
    <font>
      <b/>
      <sz val="10"/>
      <color rgb="FF3F3F3F"/>
      <name val="Trebuchet MS"/>
      <family val="2"/>
      <scheme val="minor"/>
    </font>
    <font>
      <b/>
      <vertAlign val="superscript"/>
      <sz val="10"/>
      <color theme="1"/>
      <name val="Trebuchet MS"/>
      <family val="2"/>
      <scheme val="minor"/>
    </font>
    <font>
      <i/>
      <sz val="10"/>
      <color theme="1"/>
      <name val="Trebuchet MS"/>
      <family val="2"/>
      <scheme val="minor"/>
    </font>
    <font>
      <u/>
      <sz val="11"/>
      <color theme="10"/>
      <name val="Trebuchet MS"/>
      <family val="2"/>
      <scheme val="minor"/>
    </font>
    <font>
      <b/>
      <sz val="10"/>
      <color rgb="FF000000"/>
      <name val="Courier New"/>
      <family val="3"/>
    </font>
    <font>
      <b/>
      <sz val="10"/>
      <name val="Arial"/>
      <family val="2"/>
    </font>
    <font>
      <b/>
      <i/>
      <sz val="10"/>
      <name val="Times New Roman"/>
      <family val="1"/>
    </font>
    <font>
      <b/>
      <i/>
      <sz val="10"/>
      <color indexed="18"/>
      <name val="Times New Roman"/>
      <family val="1"/>
    </font>
    <font>
      <b/>
      <i/>
      <vertAlign val="subscript"/>
      <sz val="12"/>
      <color indexed="18"/>
      <name val="Times New Roman"/>
      <family val="1"/>
    </font>
    <font>
      <b/>
      <sz val="10"/>
      <color indexed="18"/>
      <name val="Times New Roman"/>
      <family val="1"/>
    </font>
    <font>
      <sz val="10"/>
      <name val="Arial"/>
      <family val="2"/>
    </font>
    <font>
      <sz val="10"/>
      <color theme="1"/>
      <name val="Courier New"/>
      <family val="3"/>
    </font>
    <font>
      <sz val="10"/>
      <color theme="1"/>
      <name val="Arial Unicode MS"/>
    </font>
    <font>
      <b/>
      <sz val="12"/>
      <color theme="1"/>
      <name val="Arial Unicode MS"/>
    </font>
    <font>
      <sz val="11"/>
      <color theme="4" tint="-0.249977111117893"/>
      <name val="Trebuchet MS"/>
      <family val="2"/>
      <scheme val="minor"/>
    </font>
    <font>
      <sz val="10"/>
      <color theme="4" tint="-0.249977111117893"/>
      <name val="Trebuchet MS"/>
      <family val="2"/>
      <scheme val="minor"/>
    </font>
    <font>
      <b/>
      <sz val="10"/>
      <color theme="4" tint="-0.249977111117893"/>
      <name val="Trebuchet MS"/>
      <family val="2"/>
      <scheme val="minor"/>
    </font>
    <font>
      <b/>
      <sz val="10"/>
      <color theme="4"/>
      <name val="Trebuchet MS"/>
      <family val="2"/>
      <scheme val="minor"/>
    </font>
    <font>
      <sz val="11"/>
      <color rgb="FF000000"/>
      <name val="Trebuchet MS"/>
      <family val="2"/>
      <charset val="204"/>
    </font>
  </fonts>
  <fills count="8">
    <fill>
      <patternFill patternType="none"/>
    </fill>
    <fill>
      <patternFill patternType="gray125"/>
    </fill>
    <fill>
      <patternFill patternType="solid">
        <fgColor rgb="FFF2F2F2"/>
      </patternFill>
    </fill>
    <fill>
      <patternFill patternType="solid">
        <fgColor theme="0"/>
        <bgColor indexed="64"/>
      </patternFill>
    </fill>
    <fill>
      <patternFill patternType="solid">
        <fgColor theme="1"/>
        <bgColor indexed="64"/>
      </patternFill>
    </fill>
    <fill>
      <patternFill patternType="solid">
        <fgColor theme="4"/>
        <bgColor indexed="64"/>
      </patternFill>
    </fill>
    <fill>
      <patternFill patternType="solid">
        <fgColor theme="6"/>
        <bgColor indexed="64"/>
      </patternFill>
    </fill>
    <fill>
      <patternFill patternType="solid">
        <fgColor theme="4" tint="0.79998168889431442"/>
        <bgColor theme="4" tint="0.79998168889431442"/>
      </patternFill>
    </fill>
  </fills>
  <borders count="22">
    <border>
      <left/>
      <right/>
      <top/>
      <bottom/>
      <diagonal/>
    </border>
    <border>
      <left style="thick">
        <color indexed="64"/>
      </left>
      <right style="thick">
        <color indexed="64"/>
      </right>
      <top/>
      <bottom/>
      <diagonal/>
    </border>
    <border>
      <left style="thick">
        <color indexed="64"/>
      </left>
      <right/>
      <top style="thick">
        <color indexed="64"/>
      </top>
      <bottom/>
      <diagonal/>
    </border>
    <border>
      <left/>
      <right/>
      <top style="thick">
        <color indexed="64"/>
      </top>
      <bottom/>
      <diagonal/>
    </border>
    <border>
      <left style="thick">
        <color indexed="64"/>
      </left>
      <right/>
      <top/>
      <bottom style="thick">
        <color indexed="64"/>
      </bottom>
      <diagonal/>
    </border>
    <border>
      <left/>
      <right/>
      <top/>
      <bottom style="thick">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ck">
        <color theme="1"/>
      </bottom>
      <diagonal/>
    </border>
    <border>
      <left style="thick">
        <color indexed="64"/>
      </left>
      <right style="thick">
        <color indexed="64"/>
      </right>
      <top style="thick">
        <color indexed="64"/>
      </top>
      <bottom style="thick">
        <color indexed="64"/>
      </bottom>
      <diagonal/>
    </border>
    <border>
      <left/>
      <right/>
      <top style="thin">
        <color theme="4"/>
      </top>
      <bottom style="double">
        <color theme="4"/>
      </bottom>
      <diagonal/>
    </border>
    <border>
      <left/>
      <right/>
      <top/>
      <bottom style="double">
        <color theme="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1">
    <xf numFmtId="0" fontId="0" fillId="3" borderId="0">
      <alignment vertical="center"/>
    </xf>
    <xf numFmtId="0" fontId="5" fillId="0" borderId="3" applyFill="0">
      <alignment horizontal="center" vertical="center"/>
    </xf>
    <xf numFmtId="0" fontId="6" fillId="3" borderId="8" applyProtection="0">
      <alignment horizontal="center" vertical="center"/>
    </xf>
    <xf numFmtId="0" fontId="8" fillId="5" borderId="0">
      <alignment horizontal="left" vertical="center"/>
    </xf>
    <xf numFmtId="0" fontId="1" fillId="6" borderId="6">
      <alignment vertical="center"/>
      <protection locked="0"/>
    </xf>
    <xf numFmtId="0" fontId="2" fillId="2" borderId="7">
      <alignment vertical="center"/>
    </xf>
    <xf numFmtId="0" fontId="7" fillId="5" borderId="9">
      <alignment horizontal="left" vertical="center" indent="1"/>
    </xf>
    <xf numFmtId="164" fontId="9" fillId="0" borderId="0" applyFont="0" applyFill="0" applyBorder="0" applyAlignment="0" applyProtection="0"/>
    <xf numFmtId="9" fontId="9" fillId="0" borderId="0" applyFont="0" applyFill="0" applyBorder="0" applyAlignment="0" applyProtection="0"/>
    <xf numFmtId="0" fontId="3" fillId="0" borderId="10" applyNumberFormat="0" applyFill="0" applyAlignment="0" applyProtection="0"/>
    <xf numFmtId="0" fontId="13" fillId="3" borderId="0" applyNumberFormat="0" applyFill="0" applyBorder="0" applyAlignment="0" applyProtection="0">
      <alignment vertical="center"/>
    </xf>
  </cellStyleXfs>
  <cellXfs count="153">
    <xf numFmtId="0" fontId="0" fillId="3" borderId="0" xfId="0">
      <alignment vertical="center"/>
    </xf>
    <xf numFmtId="0" fontId="1" fillId="3" borderId="0" xfId="0" applyFont="1">
      <alignment vertical="center"/>
    </xf>
    <xf numFmtId="0" fontId="1" fillId="3" borderId="1" xfId="0" applyFont="1" applyBorder="1">
      <alignment vertical="center"/>
    </xf>
    <xf numFmtId="0" fontId="1" fillId="3" borderId="2" xfId="0" applyFont="1" applyBorder="1">
      <alignment vertical="center"/>
    </xf>
    <xf numFmtId="0" fontId="1" fillId="3" borderId="3" xfId="0" applyFont="1" applyBorder="1">
      <alignment vertical="center"/>
    </xf>
    <xf numFmtId="0" fontId="1" fillId="3" borderId="4" xfId="0" applyFont="1" applyBorder="1">
      <alignment vertical="center"/>
    </xf>
    <xf numFmtId="0" fontId="1" fillId="3" borderId="5" xfId="0" applyFont="1" applyBorder="1">
      <alignment vertical="center"/>
    </xf>
    <xf numFmtId="0" fontId="8" fillId="5" borderId="1" xfId="0" applyFont="1" applyFill="1" applyBorder="1">
      <alignment vertical="center"/>
    </xf>
    <xf numFmtId="0" fontId="8" fillId="5" borderId="0" xfId="3">
      <alignment horizontal="left" vertical="center"/>
    </xf>
    <xf numFmtId="0" fontId="7" fillId="5" borderId="9" xfId="6">
      <alignment horizontal="left" vertical="center" indent="1"/>
    </xf>
    <xf numFmtId="0" fontId="8" fillId="5" borderId="0" xfId="3" applyAlignment="1">
      <alignment vertical="center"/>
    </xf>
    <xf numFmtId="0" fontId="4" fillId="3" borderId="0" xfId="0" applyFont="1">
      <alignment vertical="center"/>
    </xf>
    <xf numFmtId="0" fontId="3" fillId="3" borderId="0" xfId="0" applyFont="1">
      <alignment vertical="center"/>
    </xf>
    <xf numFmtId="0" fontId="2" fillId="2" borderId="7" xfId="5" applyAlignment="1">
      <alignment vertical="center"/>
    </xf>
    <xf numFmtId="0" fontId="1" fillId="6" borderId="6" xfId="4">
      <alignment vertical="center"/>
      <protection locked="0"/>
    </xf>
    <xf numFmtId="0" fontId="0" fillId="3" borderId="0" xfId="0">
      <alignment vertical="center"/>
    </xf>
    <xf numFmtId="0" fontId="2" fillId="2" borderId="7" xfId="5">
      <alignment vertical="center"/>
    </xf>
    <xf numFmtId="0" fontId="7" fillId="5" borderId="9" xfId="6">
      <alignment horizontal="left" vertical="center" indent="1"/>
    </xf>
    <xf numFmtId="0" fontId="0" fillId="3" borderId="0" xfId="0">
      <alignment vertical="center"/>
    </xf>
    <xf numFmtId="164" fontId="2" fillId="2" borderId="7" xfId="7" applyFont="1" applyFill="1" applyBorder="1" applyAlignment="1">
      <alignment vertical="center"/>
    </xf>
    <xf numFmtId="164" fontId="2" fillId="2" borderId="7" xfId="5" applyNumberFormat="1">
      <alignment vertical="center"/>
    </xf>
    <xf numFmtId="164" fontId="0" fillId="3" borderId="0" xfId="0" applyNumberFormat="1">
      <alignment vertical="center"/>
    </xf>
    <xf numFmtId="164" fontId="1" fillId="3" borderId="0" xfId="0" applyNumberFormat="1" applyFont="1">
      <alignment vertical="center"/>
    </xf>
    <xf numFmtId="165" fontId="1" fillId="3" borderId="0" xfId="0" applyNumberFormat="1" applyFont="1">
      <alignment vertical="center"/>
    </xf>
    <xf numFmtId="9" fontId="0" fillId="3" borderId="0" xfId="8" applyFont="1" applyFill="1" applyAlignment="1">
      <alignment vertical="center"/>
    </xf>
    <xf numFmtId="0" fontId="0" fillId="3" borderId="0" xfId="0">
      <alignment vertical="center"/>
    </xf>
    <xf numFmtId="0" fontId="7" fillId="5" borderId="9" xfId="6">
      <alignment horizontal="left" vertical="center" indent="1"/>
    </xf>
    <xf numFmtId="0" fontId="3" fillId="3" borderId="11" xfId="9" applyFill="1" applyBorder="1" applyAlignment="1">
      <alignment vertical="center"/>
    </xf>
    <xf numFmtId="0" fontId="1" fillId="6" borderId="6" xfId="4" applyAlignment="1">
      <alignment horizontal="center" vertical="center"/>
      <protection locked="0"/>
    </xf>
    <xf numFmtId="0" fontId="3" fillId="3" borderId="10" xfId="9" applyFill="1" applyAlignment="1">
      <alignment vertical="center"/>
    </xf>
    <xf numFmtId="0" fontId="3" fillId="3" borderId="10" xfId="9" applyFill="1" applyAlignment="1">
      <alignment horizontal="center" vertical="center"/>
    </xf>
    <xf numFmtId="0" fontId="1" fillId="3" borderId="0" xfId="0" applyFont="1" applyAlignment="1">
      <alignment horizontal="center" vertical="center"/>
    </xf>
    <xf numFmtId="0" fontId="0" fillId="3" borderId="0" xfId="0" applyBorder="1">
      <alignment vertical="center"/>
    </xf>
    <xf numFmtId="0" fontId="2" fillId="2" borderId="7" xfId="5" applyAlignment="1">
      <alignment horizontal="center" vertical="center"/>
    </xf>
    <xf numFmtId="0" fontId="1" fillId="3" borderId="0" xfId="0" applyFont="1" applyBorder="1">
      <alignment vertical="center"/>
    </xf>
    <xf numFmtId="0" fontId="0" fillId="3" borderId="0" xfId="0" applyAlignment="1">
      <alignment vertical="center"/>
    </xf>
    <xf numFmtId="0" fontId="0" fillId="3" borderId="0" xfId="0">
      <alignment vertical="center"/>
    </xf>
    <xf numFmtId="0" fontId="1" fillId="3" borderId="0" xfId="0" applyFont="1" applyAlignment="1">
      <alignment horizontal="right" vertical="center"/>
    </xf>
    <xf numFmtId="0" fontId="0" fillId="3" borderId="0" xfId="0">
      <alignment vertical="center"/>
    </xf>
    <xf numFmtId="0" fontId="1" fillId="3" borderId="0" xfId="0" applyFont="1" applyAlignment="1">
      <alignment horizontal="left" vertical="center"/>
    </xf>
    <xf numFmtId="0" fontId="1" fillId="6" borderId="6" xfId="4" applyFont="1" applyAlignment="1">
      <alignment horizontal="center" vertical="center"/>
      <protection locked="0"/>
    </xf>
    <xf numFmtId="0" fontId="10" fillId="2" borderId="7" xfId="5" applyFont="1" applyAlignment="1">
      <alignment horizontal="center" vertical="center"/>
    </xf>
    <xf numFmtId="2" fontId="10" fillId="2" borderId="7" xfId="5" applyNumberFormat="1" applyFont="1" applyAlignment="1">
      <alignment horizontal="center" vertical="center"/>
    </xf>
    <xf numFmtId="3" fontId="1" fillId="6" borderId="6" xfId="4" applyNumberFormat="1" applyAlignment="1">
      <alignment horizontal="center" vertical="center"/>
      <protection locked="0"/>
    </xf>
    <xf numFmtId="0" fontId="0" fillId="3" borderId="0" xfId="0">
      <alignment vertical="center"/>
    </xf>
    <xf numFmtId="0" fontId="7" fillId="5" borderId="9" xfId="6">
      <alignment horizontal="left" vertical="center" indent="1"/>
    </xf>
    <xf numFmtId="0" fontId="1" fillId="6" borderId="6" xfId="4" applyFont="1">
      <alignment vertical="center"/>
      <protection locked="0"/>
    </xf>
    <xf numFmtId="0" fontId="1" fillId="3" borderId="0" xfId="0" applyNumberFormat="1" applyFont="1">
      <alignment vertical="center"/>
    </xf>
    <xf numFmtId="0" fontId="12" fillId="3" borderId="0" xfId="0" applyNumberFormat="1" applyFont="1">
      <alignment vertical="center"/>
    </xf>
    <xf numFmtId="0" fontId="15" fillId="3" borderId="0" xfId="0" applyFont="1" applyAlignment="1">
      <alignment horizontal="center" vertical="center"/>
    </xf>
    <xf numFmtId="0" fontId="0" fillId="3" borderId="0" xfId="0" applyBorder="1" applyAlignment="1">
      <alignment vertical="center"/>
    </xf>
    <xf numFmtId="166" fontId="16" fillId="3" borderId="12" xfId="0" applyNumberFormat="1" applyFont="1" applyBorder="1" applyAlignment="1" applyProtection="1">
      <alignment horizontal="center" vertical="center"/>
    </xf>
    <xf numFmtId="167" fontId="17" fillId="3" borderId="12" xfId="10" applyNumberFormat="1" applyFont="1" applyBorder="1" applyAlignment="1" applyProtection="1">
      <alignment horizontal="center" vertical="center"/>
    </xf>
    <xf numFmtId="166" fontId="17" fillId="3" borderId="12" xfId="10" applyNumberFormat="1" applyFont="1" applyBorder="1" applyAlignment="1" applyProtection="1">
      <alignment horizontal="center" vertical="center"/>
    </xf>
    <xf numFmtId="0" fontId="19" fillId="3" borderId="0" xfId="0" applyFont="1" applyBorder="1" applyAlignment="1">
      <alignment vertical="center"/>
    </xf>
    <xf numFmtId="0" fontId="20" fillId="3" borderId="0" xfId="0" applyFont="1" applyBorder="1" applyAlignment="1"/>
    <xf numFmtId="167" fontId="21" fillId="3" borderId="0" xfId="0" applyNumberFormat="1" applyFont="1" applyBorder="1" applyAlignment="1">
      <alignment horizontal="center"/>
    </xf>
    <xf numFmtId="167" fontId="0" fillId="3" borderId="0" xfId="0" applyNumberFormat="1" applyAlignment="1"/>
    <xf numFmtId="168" fontId="0" fillId="3" borderId="0" xfId="0" applyNumberFormat="1" applyAlignment="1"/>
    <xf numFmtId="2" fontId="0" fillId="3" borderId="0" xfId="0" applyNumberFormat="1" applyAlignment="1"/>
    <xf numFmtId="0" fontId="0" fillId="3" borderId="0" xfId="0" applyAlignment="1"/>
    <xf numFmtId="169" fontId="20" fillId="3" borderId="0" xfId="0" applyNumberFormat="1" applyFont="1" applyBorder="1" applyAlignment="1" applyProtection="1"/>
    <xf numFmtId="170" fontId="20" fillId="3" borderId="0" xfId="0" applyNumberFormat="1" applyFont="1" applyBorder="1" applyAlignment="1" applyProtection="1"/>
    <xf numFmtId="171" fontId="20" fillId="3" borderId="0" xfId="0" applyNumberFormat="1" applyFont="1" applyBorder="1" applyAlignment="1" applyProtection="1"/>
    <xf numFmtId="167" fontId="1" fillId="3" borderId="0" xfId="0" applyNumberFormat="1" applyFont="1">
      <alignment vertical="center"/>
    </xf>
    <xf numFmtId="0" fontId="20" fillId="3" borderId="12" xfId="0" applyFont="1" applyBorder="1" applyAlignment="1"/>
    <xf numFmtId="167" fontId="21" fillId="3" borderId="12" xfId="0" applyNumberFormat="1" applyFont="1" applyBorder="1" applyAlignment="1">
      <alignment horizontal="center"/>
    </xf>
    <xf numFmtId="167" fontId="0" fillId="3" borderId="12" xfId="0" applyNumberFormat="1" applyBorder="1" applyAlignment="1"/>
    <xf numFmtId="168" fontId="0" fillId="3" borderId="12" xfId="0" applyNumberFormat="1" applyBorder="1" applyAlignment="1"/>
    <xf numFmtId="2" fontId="0" fillId="3" borderId="12" xfId="0" applyNumberFormat="1" applyBorder="1" applyAlignment="1"/>
    <xf numFmtId="0" fontId="0" fillId="3" borderId="12" xfId="0" applyBorder="1" applyAlignment="1"/>
    <xf numFmtId="169" fontId="20" fillId="3" borderId="12" xfId="0" applyNumberFormat="1" applyFont="1" applyBorder="1" applyAlignment="1" applyProtection="1"/>
    <xf numFmtId="170" fontId="20" fillId="3" borderId="12" xfId="0" applyNumberFormat="1" applyFont="1" applyBorder="1" applyAlignment="1" applyProtection="1"/>
    <xf numFmtId="171" fontId="20" fillId="3" borderId="12" xfId="0" applyNumberFormat="1" applyFont="1" applyBorder="1" applyAlignment="1" applyProtection="1"/>
    <xf numFmtId="0" fontId="3" fillId="3" borderId="0" xfId="0" applyFont="1" applyAlignment="1"/>
    <xf numFmtId="2" fontId="1" fillId="3" borderId="0" xfId="0" applyNumberFormat="1" applyFont="1">
      <alignment vertical="center"/>
    </xf>
    <xf numFmtId="3" fontId="1" fillId="3" borderId="0" xfId="0" applyNumberFormat="1" applyFont="1">
      <alignment vertical="center"/>
    </xf>
    <xf numFmtId="2" fontId="2" fillId="2" borderId="7" xfId="5" applyNumberFormat="1">
      <alignment vertical="center"/>
    </xf>
    <xf numFmtId="168" fontId="2" fillId="2" borderId="7" xfId="5" applyNumberFormat="1">
      <alignment vertical="center"/>
    </xf>
    <xf numFmtId="3" fontId="2" fillId="2" borderId="7" xfId="5" applyNumberFormat="1">
      <alignment vertical="center"/>
    </xf>
    <xf numFmtId="2" fontId="0" fillId="3" borderId="0" xfId="0" applyNumberFormat="1">
      <alignment vertical="center"/>
    </xf>
    <xf numFmtId="3" fontId="0" fillId="3" borderId="0" xfId="0" applyNumberFormat="1">
      <alignment vertical="center"/>
    </xf>
    <xf numFmtId="172" fontId="2" fillId="2" borderId="7" xfId="7" applyNumberFormat="1" applyFont="1" applyFill="1" applyBorder="1" applyAlignment="1">
      <alignment vertical="center"/>
    </xf>
    <xf numFmtId="172" fontId="2" fillId="2" borderId="7" xfId="5" applyNumberFormat="1">
      <alignment vertical="center"/>
    </xf>
    <xf numFmtId="173" fontId="1" fillId="6" borderId="6" xfId="4" applyNumberFormat="1">
      <alignment vertical="center"/>
      <protection locked="0"/>
    </xf>
    <xf numFmtId="0" fontId="0" fillId="3" borderId="14" xfId="0" applyBorder="1">
      <alignment vertical="center"/>
    </xf>
    <xf numFmtId="0" fontId="0" fillId="3" borderId="15" xfId="0" applyBorder="1">
      <alignment vertical="center"/>
    </xf>
    <xf numFmtId="0" fontId="3" fillId="3" borderId="16" xfId="0" applyFont="1" applyBorder="1">
      <alignment vertical="center"/>
    </xf>
    <xf numFmtId="0" fontId="3" fillId="3" borderId="17" xfId="0" applyFont="1" applyBorder="1">
      <alignment vertical="center"/>
    </xf>
    <xf numFmtId="0" fontId="1" fillId="3" borderId="18" xfId="0" applyFont="1" applyBorder="1">
      <alignment vertical="center"/>
    </xf>
    <xf numFmtId="0" fontId="1" fillId="3" borderId="17" xfId="0" applyFont="1" applyBorder="1">
      <alignment vertical="center"/>
    </xf>
    <xf numFmtId="0" fontId="0" fillId="3" borderId="17" xfId="0" applyBorder="1">
      <alignment vertical="center"/>
    </xf>
    <xf numFmtId="3" fontId="0" fillId="3" borderId="18" xfId="0" applyNumberFormat="1" applyBorder="1">
      <alignment vertical="center"/>
    </xf>
    <xf numFmtId="3" fontId="0" fillId="3" borderId="0" xfId="0" applyNumberFormat="1" applyBorder="1">
      <alignment vertical="center"/>
    </xf>
    <xf numFmtId="0" fontId="0" fillId="3" borderId="18" xfId="0" applyBorder="1">
      <alignment vertical="center"/>
    </xf>
    <xf numFmtId="3" fontId="1" fillId="3" borderId="18" xfId="0" applyNumberFormat="1" applyFont="1" applyBorder="1">
      <alignment vertical="center"/>
    </xf>
    <xf numFmtId="174" fontId="0" fillId="3" borderId="18" xfId="0" applyNumberFormat="1" applyBorder="1">
      <alignment vertical="center"/>
    </xf>
    <xf numFmtId="0" fontId="0" fillId="3" borderId="19" xfId="0" applyBorder="1">
      <alignment vertical="center"/>
    </xf>
    <xf numFmtId="0" fontId="0" fillId="3" borderId="20" xfId="0" applyBorder="1">
      <alignment vertical="center"/>
    </xf>
    <xf numFmtId="174" fontId="0" fillId="3" borderId="21" xfId="0" applyNumberFormat="1" applyBorder="1">
      <alignment vertical="center"/>
    </xf>
    <xf numFmtId="0" fontId="3" fillId="3" borderId="15" xfId="0" applyFont="1" applyBorder="1">
      <alignment vertical="center"/>
    </xf>
    <xf numFmtId="0" fontId="1" fillId="3" borderId="16" xfId="0" applyFont="1" applyBorder="1">
      <alignment vertical="center"/>
    </xf>
    <xf numFmtId="164" fontId="0" fillId="3" borderId="0" xfId="0" applyNumberFormat="1" applyBorder="1">
      <alignment vertical="center"/>
    </xf>
    <xf numFmtId="3" fontId="1" fillId="3" borderId="0" xfId="0" applyNumberFormat="1" applyFont="1" applyBorder="1">
      <alignment vertical="center"/>
    </xf>
    <xf numFmtId="3" fontId="0" fillId="3" borderId="20" xfId="0" applyNumberFormat="1" applyBorder="1">
      <alignment vertical="center"/>
    </xf>
    <xf numFmtId="3" fontId="1" fillId="3" borderId="20" xfId="0" applyNumberFormat="1" applyFont="1" applyBorder="1">
      <alignment vertical="center"/>
    </xf>
    <xf numFmtId="0" fontId="1" fillId="3" borderId="21" xfId="0" applyFont="1" applyBorder="1">
      <alignment vertical="center"/>
    </xf>
    <xf numFmtId="4" fontId="1" fillId="3" borderId="0" xfId="0" applyNumberFormat="1" applyFont="1">
      <alignment vertical="center"/>
    </xf>
    <xf numFmtId="4" fontId="2" fillId="2" borderId="7" xfId="5" applyNumberFormat="1">
      <alignment vertical="center"/>
    </xf>
    <xf numFmtId="0" fontId="0" fillId="3" borderId="0" xfId="0">
      <alignment vertical="center"/>
    </xf>
    <xf numFmtId="0" fontId="7" fillId="5" borderId="9" xfId="6">
      <alignment horizontal="left" vertical="center" indent="1"/>
    </xf>
    <xf numFmtId="0" fontId="0" fillId="3" borderId="0" xfId="0">
      <alignment vertical="center"/>
    </xf>
    <xf numFmtId="2" fontId="1" fillId="6" borderId="6" xfId="4" applyNumberFormat="1">
      <alignment vertical="center"/>
      <protection locked="0"/>
    </xf>
    <xf numFmtId="0" fontId="1" fillId="3" borderId="0" xfId="0" applyFont="1" applyAlignment="1">
      <alignment vertical="center" wrapText="1"/>
    </xf>
    <xf numFmtId="0" fontId="23" fillId="3" borderId="0" xfId="0" applyFont="1">
      <alignment vertical="center"/>
    </xf>
    <xf numFmtId="0" fontId="22" fillId="3" borderId="0" xfId="0" applyFont="1">
      <alignment vertical="center"/>
    </xf>
    <xf numFmtId="0" fontId="22" fillId="3" borderId="0" xfId="0" applyFont="1" applyAlignment="1">
      <alignment horizontal="center" vertical="center"/>
    </xf>
    <xf numFmtId="0" fontId="0" fillId="3" borderId="0" xfId="0" applyAlignment="1">
      <alignment horizontal="center" vertical="center"/>
    </xf>
    <xf numFmtId="0" fontId="0" fillId="3" borderId="0" xfId="0" applyAlignment="1">
      <alignment vertical="center" wrapText="1"/>
    </xf>
    <xf numFmtId="3" fontId="1" fillId="6" borderId="6" xfId="4" applyNumberFormat="1" applyFont="1" applyAlignment="1">
      <alignment horizontal="center" vertical="center"/>
      <protection locked="0"/>
    </xf>
    <xf numFmtId="0" fontId="9" fillId="3" borderId="0" xfId="0" applyFont="1">
      <alignment vertical="center"/>
    </xf>
    <xf numFmtId="0" fontId="1" fillId="3" borderId="0" xfId="0" quotePrefix="1" applyFont="1" applyAlignment="1">
      <alignment vertical="center" wrapText="1"/>
    </xf>
    <xf numFmtId="0" fontId="24" fillId="7" borderId="0" xfId="0" applyFont="1" applyFill="1">
      <alignment vertical="center"/>
    </xf>
    <xf numFmtId="0" fontId="25" fillId="7" borderId="0" xfId="0" applyFont="1" applyFill="1">
      <alignment vertical="center"/>
    </xf>
    <xf numFmtId="0" fontId="24" fillId="3" borderId="0" xfId="0" applyFont="1">
      <alignment vertical="center"/>
    </xf>
    <xf numFmtId="0" fontId="25" fillId="3" borderId="0" xfId="0" applyFont="1">
      <alignment vertical="center"/>
    </xf>
    <xf numFmtId="0" fontId="26" fillId="7" borderId="0" xfId="0" applyFont="1" applyFill="1">
      <alignment vertical="center"/>
    </xf>
    <xf numFmtId="0" fontId="26" fillId="3" borderId="0" xfId="0" applyFont="1">
      <alignment vertical="center"/>
    </xf>
    <xf numFmtId="0" fontId="0" fillId="3" borderId="0" xfId="0">
      <alignment vertical="center"/>
    </xf>
    <xf numFmtId="3" fontId="1" fillId="3" borderId="0" xfId="0" applyNumberFormat="1" applyFont="1" applyAlignment="1">
      <alignment horizontal="center" vertical="center"/>
    </xf>
    <xf numFmtId="3" fontId="0" fillId="3" borderId="0" xfId="0" applyNumberFormat="1" applyAlignment="1">
      <alignment horizontal="center" vertical="center"/>
    </xf>
    <xf numFmtId="2" fontId="1" fillId="6" borderId="6" xfId="4" applyNumberFormat="1" applyAlignment="1">
      <alignment horizontal="center" vertical="center"/>
      <protection locked="0"/>
    </xf>
    <xf numFmtId="2" fontId="1" fillId="6" borderId="6" xfId="4" applyNumberFormat="1" applyFont="1" applyAlignment="1">
      <alignment horizontal="center" vertical="center"/>
      <protection locked="0"/>
    </xf>
    <xf numFmtId="164" fontId="1" fillId="6" borderId="6" xfId="7" applyFont="1" applyFill="1" applyBorder="1" applyAlignment="1" applyProtection="1">
      <alignment vertical="center"/>
      <protection locked="0"/>
    </xf>
    <xf numFmtId="175" fontId="1" fillId="6" borderId="6" xfId="4" applyNumberFormat="1" applyFont="1" applyAlignment="1">
      <alignment horizontal="center" vertical="center"/>
      <protection locked="0"/>
    </xf>
    <xf numFmtId="175" fontId="1" fillId="6" borderId="6" xfId="4" applyNumberFormat="1" applyAlignment="1">
      <alignment horizontal="center" vertical="center"/>
      <protection locked="0"/>
    </xf>
    <xf numFmtId="176" fontId="1" fillId="6" borderId="6" xfId="4" applyNumberFormat="1">
      <alignment vertical="center"/>
      <protection locked="0"/>
    </xf>
    <xf numFmtId="0" fontId="0" fillId="3" borderId="0" xfId="0">
      <alignment vertical="center"/>
    </xf>
    <xf numFmtId="0" fontId="0" fillId="3" borderId="0" xfId="0">
      <alignment vertical="center"/>
    </xf>
    <xf numFmtId="0" fontId="0" fillId="3" borderId="0" xfId="0">
      <alignment vertical="center"/>
    </xf>
    <xf numFmtId="0" fontId="27" fillId="3" borderId="0" xfId="0" applyFont="1">
      <alignment vertical="center"/>
    </xf>
    <xf numFmtId="0" fontId="1" fillId="3" borderId="0" xfId="0" applyFont="1" applyAlignment="1">
      <alignment vertical="center"/>
    </xf>
    <xf numFmtId="0" fontId="7" fillId="4" borderId="0" xfId="0" applyFont="1" applyFill="1" applyAlignment="1">
      <alignment horizontal="center" vertical="center"/>
    </xf>
    <xf numFmtId="0" fontId="5" fillId="3" borderId="3" xfId="1" applyFill="1" applyAlignment="1">
      <alignment horizontal="center" vertical="center"/>
    </xf>
    <xf numFmtId="0" fontId="6" fillId="3" borderId="8" xfId="2">
      <alignment horizontal="center" vertical="center"/>
    </xf>
    <xf numFmtId="0" fontId="8" fillId="5" borderId="0" xfId="3" applyAlignment="1">
      <alignment horizontal="left" vertical="center"/>
    </xf>
    <xf numFmtId="0" fontId="0" fillId="3" borderId="0" xfId="0">
      <alignment vertical="center"/>
    </xf>
    <xf numFmtId="0" fontId="5" fillId="3" borderId="3" xfId="1" applyNumberFormat="1" applyFill="1" applyAlignment="1">
      <alignment horizontal="center" vertical="center"/>
    </xf>
    <xf numFmtId="0" fontId="6" fillId="3" borderId="8" xfId="2" applyNumberFormat="1">
      <alignment horizontal="center" vertical="center"/>
    </xf>
    <xf numFmtId="0" fontId="7" fillId="5" borderId="9" xfId="6">
      <alignment horizontal="left" vertical="center" indent="1"/>
    </xf>
    <xf numFmtId="0" fontId="14" fillId="3" borderId="12" xfId="0" applyFont="1" applyBorder="1" applyAlignment="1"/>
    <xf numFmtId="0" fontId="0" fillId="3" borderId="12" xfId="0" applyBorder="1" applyAlignment="1"/>
    <xf numFmtId="0" fontId="15" fillId="3" borderId="13" xfId="0" applyFont="1" applyBorder="1" applyAlignment="1">
      <alignment horizontal="center" vertical="center"/>
    </xf>
  </cellXfs>
  <cellStyles count="11">
    <cellStyle name="Button" xfId="6" xr:uid="{00000000-0005-0000-0000-000000000000}"/>
    <cellStyle name="Ввод " xfId="4" builtinId="20" customBuiltin="1"/>
    <cellStyle name="Вывод" xfId="5" builtinId="21" customBuiltin="1"/>
    <cellStyle name="Гиперссылка" xfId="10" builtinId="8"/>
    <cellStyle name="Заголовок 1" xfId="1" builtinId="16" customBuiltin="1"/>
    <cellStyle name="Заголовок 2" xfId="2" builtinId="17" customBuiltin="1"/>
    <cellStyle name="Заголовок 3" xfId="3" builtinId="18" customBuiltin="1"/>
    <cellStyle name="Итог" xfId="9" builtinId="25"/>
    <cellStyle name="Обычный" xfId="0" builtinId="0" customBuiltin="1"/>
    <cellStyle name="Процентный" xfId="8" builtinId="5"/>
    <cellStyle name="Финансовый" xfId="7" builtinId="3"/>
  </cellStyles>
  <dxfs count="137">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op>
      </border>
    </dxf>
    <dxf>
      <font>
        <b val="0"/>
        <i val="0"/>
        <strike val="0"/>
        <condense val="0"/>
        <extend val="0"/>
        <outline val="0"/>
        <shadow val="0"/>
        <u val="none"/>
        <vertAlign val="baseline"/>
        <sz val="10"/>
        <color theme="1"/>
        <name val="Trebuchet MS"/>
        <scheme val="minor"/>
      </font>
    </dxf>
    <dxf>
      <border outline="0">
        <bottom style="double">
          <color theme="4"/>
        </bottom>
      </border>
    </dxf>
    <dxf>
      <fill>
        <patternFill patternType="solid">
          <fgColor indexed="64"/>
          <bgColor theme="0"/>
        </patternFill>
      </fill>
      <alignment horizontal="general" vertical="center" textRotation="0" wrapText="0" indent="0" justifyLastLine="0" shrinkToFit="0" readingOrder="0"/>
    </dxf>
    <dxf>
      <font>
        <b val="0"/>
        <i val="0"/>
        <strike val="0"/>
        <color theme="0"/>
      </font>
      <fill>
        <patternFill>
          <bgColor theme="5"/>
        </patternFill>
      </fill>
    </dxf>
    <dxf>
      <font>
        <b val="0"/>
        <i val="0"/>
        <strike val="0"/>
        <color theme="0"/>
      </font>
      <fill>
        <patternFill>
          <bgColor theme="5"/>
        </patternFill>
      </fill>
    </dxf>
    <dxf>
      <font>
        <b val="0"/>
        <i val="0"/>
        <strike val="0"/>
        <condense val="0"/>
        <extend val="0"/>
        <outline val="0"/>
        <shadow val="0"/>
        <u val="none"/>
        <vertAlign val="baseline"/>
        <sz val="10"/>
        <color theme="1"/>
        <name val="Trebuchet MS"/>
        <scheme val="minor"/>
      </font>
      <numFmt numFmtId="0" formatCode="General"/>
    </dxf>
    <dxf>
      <font>
        <b val="0"/>
        <i val="0"/>
        <strike val="0"/>
        <condense val="0"/>
        <extend val="0"/>
        <outline val="0"/>
        <shadow val="0"/>
        <u val="none"/>
        <vertAlign val="baseline"/>
        <sz val="10"/>
        <color theme="1"/>
        <name val="Trebuchet MS"/>
        <scheme val="minor"/>
      </font>
      <numFmt numFmtId="0" formatCode="General"/>
    </dxf>
    <dxf>
      <font>
        <b val="0"/>
        <i val="0"/>
        <strike val="0"/>
        <condense val="0"/>
        <extend val="0"/>
        <outline val="0"/>
        <shadow val="0"/>
        <u val="none"/>
        <vertAlign val="baseline"/>
        <sz val="10"/>
        <color theme="1"/>
        <name val="Trebuchet MS"/>
        <scheme val="minor"/>
      </font>
      <numFmt numFmtId="0" formatCode="General"/>
    </dxf>
    <dxf>
      <font>
        <b val="0"/>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numFmt numFmtId="0" formatCode="General"/>
    </dxf>
    <dxf>
      <font>
        <b val="0"/>
        <i val="0"/>
        <strike val="0"/>
        <condense val="0"/>
        <extend val="0"/>
        <outline val="0"/>
        <shadow val="0"/>
        <u val="none"/>
        <vertAlign val="baseline"/>
        <sz val="10"/>
        <color theme="1"/>
        <name val="Trebuchet MS"/>
        <scheme val="minor"/>
      </font>
      <numFmt numFmtId="0" formatCode="General"/>
    </dxf>
    <dxf>
      <font>
        <b val="0"/>
        <i val="0"/>
        <strike val="0"/>
        <condense val="0"/>
        <extend val="0"/>
        <outline val="0"/>
        <shadow val="0"/>
        <u val="none"/>
        <vertAlign val="baseline"/>
        <sz val="10"/>
        <color theme="1"/>
        <name val="Trebuchet MS"/>
        <scheme val="minor"/>
      </font>
      <numFmt numFmtId="0" formatCode="General"/>
    </dxf>
    <dxf>
      <font>
        <b val="0"/>
        <i val="0"/>
        <strike val="0"/>
        <condense val="0"/>
        <extend val="0"/>
        <outline val="0"/>
        <shadow val="0"/>
        <u val="none"/>
        <vertAlign val="baseline"/>
        <sz val="10"/>
        <color theme="1"/>
        <name val="Trebuchet MS"/>
        <scheme val="minor"/>
      </font>
      <numFmt numFmtId="0" formatCode="General"/>
    </dxf>
    <dxf>
      <font>
        <b val="0"/>
        <i val="0"/>
        <strike val="0"/>
        <condense val="0"/>
        <extend val="0"/>
        <outline val="0"/>
        <shadow val="0"/>
        <u val="none"/>
        <vertAlign val="baseline"/>
        <sz val="10"/>
        <color theme="1"/>
        <name val="Trebuchet MS"/>
        <scheme val="minor"/>
      </font>
      <numFmt numFmtId="0" formatCode="General"/>
    </dxf>
    <dxf>
      <font>
        <b val="0"/>
        <i val="0"/>
        <strike val="0"/>
        <condense val="0"/>
        <extend val="0"/>
        <outline val="0"/>
        <shadow val="0"/>
        <u val="none"/>
        <vertAlign val="baseline"/>
        <sz val="10"/>
        <color theme="1"/>
        <name val="Trebuchet MS"/>
        <scheme val="minor"/>
      </font>
      <numFmt numFmtId="0" formatCode="General"/>
    </dxf>
    <dxf>
      <font>
        <sz val="10"/>
      </font>
      <numFmt numFmtId="0" formatCode="General"/>
    </dxf>
    <dxf>
      <font>
        <sz val="10"/>
      </font>
      <numFmt numFmtId="0" formatCode="General"/>
    </dxf>
    <dxf>
      <font>
        <sz val="10"/>
      </font>
      <numFmt numFmtId="0" formatCode="General"/>
    </dxf>
    <dxf>
      <font>
        <b val="0"/>
        <i val="0"/>
        <strike val="0"/>
        <condense val="0"/>
        <extend val="0"/>
        <outline val="0"/>
        <shadow val="0"/>
        <u val="none"/>
        <vertAlign val="baseline"/>
        <sz val="10"/>
        <color theme="1"/>
        <name val="Trebuchet MS"/>
        <scheme val="minor"/>
      </font>
    </dxf>
    <dxf>
      <font>
        <b/>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dxf>
    <dxf>
      <font>
        <b val="0"/>
        <i val="0"/>
        <strike val="0"/>
        <condense val="0"/>
        <extend val="0"/>
        <outline val="0"/>
        <shadow val="0"/>
        <u val="none"/>
        <vertAlign val="baseline"/>
        <sz val="10"/>
        <color theme="1"/>
        <name val="Trebuchet MS"/>
        <scheme val="minor"/>
      </font>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rgb="FF00B0F0"/>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rgb="FF00B0F0"/>
        </patternFill>
      </fill>
    </dxf>
    <dxf>
      <fill>
        <patternFill>
          <bgColor rgb="FF00B0F0"/>
        </patternFill>
      </fill>
    </dxf>
    <dxf>
      <font>
        <color theme="0"/>
      </font>
    </dxf>
    <dxf>
      <font>
        <color theme="0"/>
      </font>
      <fill>
        <patternFill>
          <bgColor theme="0"/>
        </patternFill>
      </fill>
      <border>
        <left/>
        <right/>
        <top/>
        <bottom/>
        <vertical/>
        <horizontal/>
      </border>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rgb="FF00B0F0"/>
        </patternFill>
      </fill>
    </dxf>
    <dxf>
      <font>
        <color theme="0"/>
      </font>
    </dxf>
    <dxf>
      <font>
        <color theme="0"/>
      </font>
      <fill>
        <patternFill>
          <bgColor theme="0"/>
        </patternFill>
      </fill>
      <border>
        <left/>
        <right/>
        <top/>
        <bottom/>
        <vertical/>
        <horizontal/>
      </border>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theme="5"/>
        </patternFill>
      </fill>
    </dxf>
    <dxf>
      <fill>
        <patternFill>
          <bgColor theme="5"/>
        </patternFill>
      </fill>
    </dxf>
    <dxf>
      <fill>
        <patternFill>
          <bgColor rgb="FF00B0F0"/>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theme="5"/>
        </patternFill>
      </fill>
    </dxf>
    <dxf>
      <fill>
        <patternFill>
          <bgColor theme="5"/>
        </patternFill>
      </fill>
    </dxf>
    <dxf>
      <fill>
        <patternFill>
          <bgColor rgb="FF00B0F0"/>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theme="5"/>
        </patternFill>
      </fill>
    </dxf>
    <dxf>
      <fill>
        <patternFill>
          <bgColor theme="5"/>
        </patternFill>
      </fill>
    </dxf>
    <dxf>
      <fill>
        <patternFill>
          <bgColor theme="5"/>
        </patternFill>
      </fill>
    </dxf>
    <dxf>
      <fill>
        <patternFill>
          <bgColor rgb="FF00B0F0"/>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theme="5"/>
        </patternFill>
      </fill>
    </dxf>
    <dxf>
      <fill>
        <patternFill>
          <bgColor theme="5"/>
        </patternFill>
      </fill>
    </dxf>
    <dxf>
      <fill>
        <patternFill>
          <bgColor theme="5"/>
        </patternFill>
      </fill>
    </dxf>
    <dxf>
      <fill>
        <patternFill>
          <bgColor rgb="FF00B0F0"/>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theme="5"/>
        </patternFill>
      </fill>
    </dxf>
    <dxf>
      <fill>
        <patternFill>
          <bgColor theme="5"/>
        </patternFill>
      </fill>
    </dxf>
    <dxf>
      <fill>
        <patternFill>
          <bgColor theme="5"/>
        </patternFill>
      </fill>
    </dxf>
    <dxf>
      <fill>
        <patternFill>
          <bgColor rgb="FF00B0F0"/>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rgb="FF00B0F0"/>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rgb="FF00B0F0"/>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ont>
        <b val="0"/>
        <i val="0"/>
        <strike val="0"/>
        <color theme="0"/>
      </font>
      <fill>
        <patternFill>
          <bgColor theme="5"/>
        </patternFill>
      </fill>
    </dxf>
    <dxf>
      <fill>
        <patternFill>
          <bgColor rgb="FF00B0F0"/>
        </patternFill>
      </fill>
    </dxf>
    <dxf>
      <font>
        <b val="0"/>
        <i val="0"/>
        <strike val="0"/>
        <color theme="0"/>
      </font>
      <fill>
        <patternFill>
          <bgColor theme="5"/>
        </patternFill>
      </fill>
    </dxf>
    <dxf>
      <font>
        <b val="0"/>
        <i val="0"/>
        <strike val="0"/>
        <color theme="0"/>
      </font>
      <fill>
        <patternFill>
          <bgColor theme="5"/>
        </patternFill>
      </fill>
    </dxf>
    <dxf>
      <fill>
        <patternFill>
          <bgColor rgb="FF00B0F0"/>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8779527559055116"/>
          <c:y val="5.0925925925925923E-2"/>
          <c:w val="0.56562139107611553"/>
          <c:h val="0.74266732283464587"/>
        </c:manualLayout>
      </c:layout>
      <c:barChart>
        <c:barDir val="bar"/>
        <c:grouping val="clustered"/>
        <c:varyColors val="0"/>
        <c:ser>
          <c:idx val="0"/>
          <c:order val="0"/>
          <c:tx>
            <c:strRef>
              <c:f>'Sensitivity results'!$AF$6</c:f>
              <c:strCache>
                <c:ptCount val="1"/>
                <c:pt idx="0">
                  <c:v>Cost decrease</c:v>
                </c:pt>
              </c:strCache>
            </c:strRef>
          </c:tx>
          <c:spPr>
            <a:solidFill>
              <a:schemeClr val="accent1"/>
            </a:solidFill>
            <a:ln>
              <a:noFill/>
            </a:ln>
            <a:effectLst/>
          </c:spPr>
          <c:invertIfNegative val="0"/>
          <c:cat>
            <c:strRef>
              <c:f>'Sensitivity results'!$AE$7:$AE$11</c:f>
              <c:strCache>
                <c:ptCount val="5"/>
                <c:pt idx="0">
                  <c:v>General ward per day</c:v>
                </c:pt>
                <c:pt idx="1">
                  <c:v>DSWI days</c:v>
                </c:pt>
                <c:pt idx="2">
                  <c:v>Readmission for DSWI</c:v>
                </c:pt>
                <c:pt idx="3">
                  <c:v>SSI days</c:v>
                </c:pt>
                <c:pt idx="4">
                  <c:v>ICU per day</c:v>
                </c:pt>
              </c:strCache>
            </c:strRef>
          </c:cat>
          <c:val>
            <c:numRef>
              <c:f>'Sensitivity results'!$AF$7:$AF$11</c:f>
              <c:numCache>
                <c:formatCode>General</c:formatCode>
                <c:ptCount val="5"/>
                <c:pt idx="0">
                  <c:v>-25.126903657636895</c:v>
                </c:pt>
                <c:pt idx="1">
                  <c:v>-20.841139174025773</c:v>
                </c:pt>
                <c:pt idx="2">
                  <c:v>-14.861191186605922</c:v>
                </c:pt>
                <c:pt idx="3">
                  <c:v>-12.199228079778607</c:v>
                </c:pt>
                <c:pt idx="4">
                  <c:v>-5.2903472489294385</c:v>
                </c:pt>
              </c:numCache>
            </c:numRef>
          </c:val>
          <c:extLst>
            <c:ext xmlns:c16="http://schemas.microsoft.com/office/drawing/2014/chart" uri="{C3380CC4-5D6E-409C-BE32-E72D297353CC}">
              <c16:uniqueId val="{00000000-FAD1-4168-9BDA-4759F1D147ED}"/>
            </c:ext>
          </c:extLst>
        </c:ser>
        <c:ser>
          <c:idx val="1"/>
          <c:order val="1"/>
          <c:tx>
            <c:strRef>
              <c:f>'Sensitivity results'!$AG$6</c:f>
              <c:strCache>
                <c:ptCount val="1"/>
                <c:pt idx="0">
                  <c:v>Cost increase</c:v>
                </c:pt>
              </c:strCache>
            </c:strRef>
          </c:tx>
          <c:spPr>
            <a:solidFill>
              <a:schemeClr val="accent2"/>
            </a:solidFill>
            <a:ln>
              <a:noFill/>
            </a:ln>
            <a:effectLst/>
          </c:spPr>
          <c:invertIfNegative val="0"/>
          <c:cat>
            <c:strRef>
              <c:f>'Sensitivity results'!$AE$7:$AE$11</c:f>
              <c:strCache>
                <c:ptCount val="5"/>
                <c:pt idx="0">
                  <c:v>General ward per day</c:v>
                </c:pt>
                <c:pt idx="1">
                  <c:v>DSWI days</c:v>
                </c:pt>
                <c:pt idx="2">
                  <c:v>Readmission for DSWI</c:v>
                </c:pt>
                <c:pt idx="3">
                  <c:v>SSI days</c:v>
                </c:pt>
                <c:pt idx="4">
                  <c:v>ICU per day</c:v>
                </c:pt>
              </c:strCache>
            </c:strRef>
          </c:cat>
          <c:val>
            <c:numRef>
              <c:f>'Sensitivity results'!$AG$7:$AG$11</c:f>
              <c:numCache>
                <c:formatCode>General</c:formatCode>
                <c:ptCount val="5"/>
                <c:pt idx="0">
                  <c:v>25.12690365764708</c:v>
                </c:pt>
                <c:pt idx="1">
                  <c:v>21.350106982490502</c:v>
                </c:pt>
                <c:pt idx="2">
                  <c:v>14.861191186619818</c:v>
                </c:pt>
                <c:pt idx="3">
                  <c:v>14.339923502030036</c:v>
                </c:pt>
                <c:pt idx="4">
                  <c:v>5.290347248908132</c:v>
                </c:pt>
              </c:numCache>
            </c:numRef>
          </c:val>
          <c:extLst>
            <c:ext xmlns:c16="http://schemas.microsoft.com/office/drawing/2014/chart" uri="{C3380CC4-5D6E-409C-BE32-E72D297353CC}">
              <c16:uniqueId val="{00000001-FAD1-4168-9BDA-4759F1D147ED}"/>
            </c:ext>
          </c:extLst>
        </c:ser>
        <c:dLbls>
          <c:showLegendKey val="0"/>
          <c:showVal val="0"/>
          <c:showCatName val="0"/>
          <c:showSerName val="0"/>
          <c:showPercent val="0"/>
          <c:showBubbleSize val="0"/>
        </c:dLbls>
        <c:gapWidth val="182"/>
        <c:axId val="759666392"/>
        <c:axId val="759673608"/>
      </c:barChart>
      <c:catAx>
        <c:axId val="759666392"/>
        <c:scaling>
          <c:orientation val="minMax"/>
        </c:scaling>
        <c:delete val="0"/>
        <c:axPos val="l"/>
        <c:numFmt formatCode="General" sourceLinked="1"/>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ru-UA"/>
          </a:p>
        </c:txPr>
        <c:crossAx val="759673608"/>
        <c:crosses val="autoZero"/>
        <c:auto val="1"/>
        <c:lblAlgn val="ctr"/>
        <c:lblOffset val="100"/>
        <c:noMultiLvlLbl val="0"/>
      </c:catAx>
      <c:valAx>
        <c:axId val="7596736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GB"/>
                  <a:t>% change in saving</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ru-UA"/>
            </a:p>
          </c:txPr>
        </c:title>
        <c:numFmt formatCode="General" sourceLinked="1"/>
        <c:majorTickMark val="none"/>
        <c:minorTickMark val="none"/>
        <c:tickLblPos val="nextTo"/>
        <c:spPr>
          <a:noFill/>
          <a:ln w="25400">
            <a:solidFill>
              <a:schemeClr val="tx1"/>
            </a:solid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ru-UA"/>
          </a:p>
        </c:txPr>
        <c:crossAx val="759666392"/>
        <c:crosses val="autoZero"/>
        <c:crossBetween val="between"/>
      </c:valAx>
      <c:spPr>
        <a:noFill/>
        <a:ln>
          <a:noFill/>
        </a:ln>
        <a:effectLst/>
      </c:spPr>
    </c:plotArea>
    <c:legend>
      <c:legendPos val="b"/>
      <c:layout>
        <c:manualLayout>
          <c:xMode val="edge"/>
          <c:yMode val="edge"/>
          <c:x val="2.0982502187226595E-2"/>
          <c:y val="0.81181867891513559"/>
          <c:w val="0.29692366579177598"/>
          <c:h val="0.16966280256634586"/>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ru-UA"/>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solidFill>
            <a:schemeClr val="tx1"/>
          </a:solidFill>
        </a:defRPr>
      </a:pPr>
      <a:endParaRPr lang="ru-U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76172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219075</xdr:colOff>
          <xdr:row>3</xdr:row>
          <xdr:rowOff>38100</xdr:rowOff>
        </xdr:from>
        <xdr:to>
          <xdr:col>19</xdr:col>
          <xdr:colOff>247650</xdr:colOff>
          <xdr:row>3</xdr:row>
          <xdr:rowOff>238125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Reset model</a:t>
              </a:r>
            </a:p>
          </xdr:txBody>
        </xdr:sp>
        <xdr:clientData fPrintsWithSheet="0"/>
      </xdr:twoCellAnchor>
    </mc:Choice>
    <mc:Fallback/>
  </mc:AlternateContent>
  <xdr:twoCellAnchor editAs="oneCell">
    <xdr:from>
      <xdr:col>21</xdr:col>
      <xdr:colOff>487680</xdr:colOff>
      <xdr:row>11</xdr:row>
      <xdr:rowOff>182880</xdr:rowOff>
    </xdr:from>
    <xdr:to>
      <xdr:col>22</xdr:col>
      <xdr:colOff>195369</xdr:colOff>
      <xdr:row>14</xdr:row>
      <xdr:rowOff>15240</xdr:rowOff>
    </xdr:to>
    <xdr:pic macro="[0]!sheet_Info">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2674"/>
                  </a14:imgEffect>
                  <a14:imgEffect>
                    <a14:saturation sat="59000"/>
                  </a14:imgEffect>
                </a14:imgLayer>
              </a14:imgProps>
            </a:ext>
            <a:ext uri="{28A0092B-C50C-407E-A947-70E740481C1C}">
              <a14:useLocalDpi xmlns:a14="http://schemas.microsoft.com/office/drawing/2010/main" val="0"/>
            </a:ext>
          </a:extLst>
        </a:blip>
        <a:stretch>
          <a:fillRect/>
        </a:stretch>
      </xdr:blipFill>
      <xdr:spPr>
        <a:xfrm>
          <a:off x="13815060" y="2567940"/>
          <a:ext cx="302049" cy="426720"/>
        </a:xfrm>
        <a:prstGeom prst="rect">
          <a:avLst/>
        </a:prstGeom>
        <a:solidFill>
          <a:schemeClr val="bg1"/>
        </a:solidFill>
      </xdr:spPr>
    </xdr:pic>
    <xdr:clientData/>
  </xdr:twoCellAnchor>
  <xdr:twoCellAnchor editAs="oneCell">
    <xdr:from>
      <xdr:col>0</xdr:col>
      <xdr:colOff>38100</xdr:colOff>
      <xdr:row>0</xdr:row>
      <xdr:rowOff>38100</xdr:rowOff>
    </xdr:from>
    <xdr:to>
      <xdr:col>0</xdr:col>
      <xdr:colOff>1035050</xdr:colOff>
      <xdr:row>1</xdr:row>
      <xdr:rowOff>87693</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 y="38100"/>
          <a:ext cx="996950" cy="3239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47625</xdr:colOff>
          <xdr:row>3</xdr:row>
          <xdr:rowOff>38100</xdr:rowOff>
        </xdr:from>
        <xdr:to>
          <xdr:col>18</xdr:col>
          <xdr:colOff>514350</xdr:colOff>
          <xdr:row>3</xdr:row>
          <xdr:rowOff>228600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Reset sheet</a:t>
              </a:r>
            </a:p>
          </xdr:txBody>
        </xdr:sp>
        <xdr:clientData fPrintsWithSheet="0"/>
      </xdr:twoCellAnchor>
    </mc:Choice>
    <mc:Fallback/>
  </mc:AlternateContent>
  <xdr:twoCellAnchor editAs="oneCell">
    <xdr:from>
      <xdr:col>16</xdr:col>
      <xdr:colOff>281940</xdr:colOff>
      <xdr:row>2</xdr:row>
      <xdr:rowOff>137160</xdr:rowOff>
    </xdr:from>
    <xdr:to>
      <xdr:col>16</xdr:col>
      <xdr:colOff>583989</xdr:colOff>
      <xdr:row>4</xdr:row>
      <xdr:rowOff>106680</xdr:rowOff>
    </xdr:to>
    <xdr:pic macro="[0]!sheet_Info">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2674"/>
                  </a14:imgEffect>
                  <a14:imgEffect>
                    <a14:saturation sat="59000"/>
                  </a14:imgEffect>
                </a14:imgLayer>
              </a14:imgProps>
            </a:ext>
            <a:ext uri="{28A0092B-C50C-407E-A947-70E740481C1C}">
              <a14:useLocalDpi xmlns:a14="http://schemas.microsoft.com/office/drawing/2010/main" val="0"/>
            </a:ext>
          </a:extLst>
        </a:blip>
        <a:stretch>
          <a:fillRect/>
        </a:stretch>
      </xdr:blipFill>
      <xdr:spPr>
        <a:xfrm>
          <a:off x="10637520" y="685800"/>
          <a:ext cx="302049" cy="42672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7</xdr:col>
          <xdr:colOff>38100</xdr:colOff>
          <xdr:row>9</xdr:row>
          <xdr:rowOff>180975</xdr:rowOff>
        </xdr:from>
        <xdr:to>
          <xdr:col>9</xdr:col>
          <xdr:colOff>66675</xdr:colOff>
          <xdr:row>11</xdr:row>
          <xdr:rowOff>19050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Update currency</a:t>
              </a:r>
            </a:p>
          </xdr:txBody>
        </xdr:sp>
        <xdr:clientData fPrintsWithSheet="0"/>
      </xdr:twoCellAnchor>
    </mc:Choice>
    <mc:Fallback/>
  </mc:AlternateContent>
  <xdr:twoCellAnchor editAs="oneCell">
    <xdr:from>
      <xdr:col>0</xdr:col>
      <xdr:colOff>38100</xdr:colOff>
      <xdr:row>0</xdr:row>
      <xdr:rowOff>38100</xdr:rowOff>
    </xdr:from>
    <xdr:to>
      <xdr:col>0</xdr:col>
      <xdr:colOff>1035050</xdr:colOff>
      <xdr:row>1</xdr:row>
      <xdr:rowOff>87693</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 y="38100"/>
          <a:ext cx="996950" cy="323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133350</xdr:colOff>
          <xdr:row>3</xdr:row>
          <xdr:rowOff>38100</xdr:rowOff>
        </xdr:from>
        <xdr:to>
          <xdr:col>19</xdr:col>
          <xdr:colOff>19050</xdr:colOff>
          <xdr:row>3</xdr:row>
          <xdr:rowOff>228600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Reset sheet</a:t>
              </a:r>
            </a:p>
          </xdr:txBody>
        </xdr:sp>
        <xdr:clientData fPrintsWithSheet="0"/>
      </xdr:twoCellAnchor>
    </mc:Choice>
    <mc:Fallback/>
  </mc:AlternateContent>
  <xdr:twoCellAnchor editAs="oneCell">
    <xdr:from>
      <xdr:col>16</xdr:col>
      <xdr:colOff>373380</xdr:colOff>
      <xdr:row>2</xdr:row>
      <xdr:rowOff>137160</xdr:rowOff>
    </xdr:from>
    <xdr:to>
      <xdr:col>17</xdr:col>
      <xdr:colOff>81069</xdr:colOff>
      <xdr:row>4</xdr:row>
      <xdr:rowOff>106680</xdr:rowOff>
    </xdr:to>
    <xdr:pic macro="[0]!sheet_Info">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2674"/>
                  </a14:imgEffect>
                  <a14:imgEffect>
                    <a14:saturation sat="59000"/>
                  </a14:imgEffect>
                </a14:imgLayer>
              </a14:imgProps>
            </a:ext>
            <a:ext uri="{28A0092B-C50C-407E-A947-70E740481C1C}">
              <a14:useLocalDpi xmlns:a14="http://schemas.microsoft.com/office/drawing/2010/main" val="0"/>
            </a:ext>
          </a:extLst>
        </a:blip>
        <a:stretch>
          <a:fillRect/>
        </a:stretch>
      </xdr:blipFill>
      <xdr:spPr>
        <a:xfrm>
          <a:off x="10728960" y="685800"/>
          <a:ext cx="302049" cy="426720"/>
        </a:xfrm>
        <a:prstGeom prst="rect">
          <a:avLst/>
        </a:prstGeom>
        <a:solidFill>
          <a:schemeClr val="bg1"/>
        </a:solidFill>
      </xdr:spPr>
    </xdr:pic>
    <xdr:clientData/>
  </xdr:twoCellAnchor>
  <xdr:twoCellAnchor editAs="oneCell">
    <xdr:from>
      <xdr:col>0</xdr:col>
      <xdr:colOff>38100</xdr:colOff>
      <xdr:row>0</xdr:row>
      <xdr:rowOff>45720</xdr:rowOff>
    </xdr:from>
    <xdr:to>
      <xdr:col>0</xdr:col>
      <xdr:colOff>1035050</xdr:colOff>
      <xdr:row>1</xdr:row>
      <xdr:rowOff>95313</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 y="45720"/>
          <a:ext cx="996950" cy="3239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180975</xdr:colOff>
          <xdr:row>3</xdr:row>
          <xdr:rowOff>38100</xdr:rowOff>
        </xdr:from>
        <xdr:to>
          <xdr:col>19</xdr:col>
          <xdr:colOff>57150</xdr:colOff>
          <xdr:row>3</xdr:row>
          <xdr:rowOff>228600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Reset sheet</a:t>
              </a:r>
            </a:p>
          </xdr:txBody>
        </xdr:sp>
        <xdr:clientData fPrintsWithSheet="0"/>
      </xdr:twoCellAnchor>
    </mc:Choice>
    <mc:Fallback/>
  </mc:AlternateContent>
  <xdr:twoCellAnchor editAs="oneCell">
    <xdr:from>
      <xdr:col>16</xdr:col>
      <xdr:colOff>419100</xdr:colOff>
      <xdr:row>2</xdr:row>
      <xdr:rowOff>137160</xdr:rowOff>
    </xdr:from>
    <xdr:to>
      <xdr:col>17</xdr:col>
      <xdr:colOff>126789</xdr:colOff>
      <xdr:row>4</xdr:row>
      <xdr:rowOff>106680</xdr:rowOff>
    </xdr:to>
    <xdr:pic macro="[0]!sheet_Info">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2674"/>
                  </a14:imgEffect>
                  <a14:imgEffect>
                    <a14:saturation sat="59000"/>
                  </a14:imgEffect>
                </a14:imgLayer>
              </a14:imgProps>
            </a:ext>
            <a:ext uri="{28A0092B-C50C-407E-A947-70E740481C1C}">
              <a14:useLocalDpi xmlns:a14="http://schemas.microsoft.com/office/drawing/2010/main" val="0"/>
            </a:ext>
          </a:extLst>
        </a:blip>
        <a:stretch>
          <a:fillRect/>
        </a:stretch>
      </xdr:blipFill>
      <xdr:spPr>
        <a:xfrm>
          <a:off x="10774680" y="685800"/>
          <a:ext cx="302049" cy="426720"/>
        </a:xfrm>
        <a:prstGeom prst="rect">
          <a:avLst/>
        </a:prstGeom>
        <a:solidFill>
          <a:schemeClr val="bg1"/>
        </a:solidFill>
      </xdr:spPr>
    </xdr:pic>
    <xdr:clientData/>
  </xdr:twoCellAnchor>
  <xdr:twoCellAnchor editAs="oneCell">
    <xdr:from>
      <xdr:col>0</xdr:col>
      <xdr:colOff>38100</xdr:colOff>
      <xdr:row>0</xdr:row>
      <xdr:rowOff>38100</xdr:rowOff>
    </xdr:from>
    <xdr:to>
      <xdr:col>0</xdr:col>
      <xdr:colOff>1035050</xdr:colOff>
      <xdr:row>1</xdr:row>
      <xdr:rowOff>87693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 y="38100"/>
          <a:ext cx="996950" cy="32391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402080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200025</xdr:colOff>
          <xdr:row>3</xdr:row>
          <xdr:rowOff>38100</xdr:rowOff>
        </xdr:from>
        <xdr:to>
          <xdr:col>19</xdr:col>
          <xdr:colOff>76200</xdr:colOff>
          <xdr:row>3</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400-0000015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Reset sheet</a:t>
              </a:r>
            </a:p>
          </xdr:txBody>
        </xdr:sp>
        <xdr:clientData fPrintsWithSheet="0"/>
      </xdr:twoCellAnchor>
    </mc:Choice>
    <mc:Fallback/>
  </mc:AlternateContent>
  <xdr:twoCellAnchor editAs="oneCell">
    <xdr:from>
      <xdr:col>16</xdr:col>
      <xdr:colOff>434340</xdr:colOff>
      <xdr:row>2</xdr:row>
      <xdr:rowOff>137160</xdr:rowOff>
    </xdr:from>
    <xdr:to>
      <xdr:col>17</xdr:col>
      <xdr:colOff>142029</xdr:colOff>
      <xdr:row>4</xdr:row>
      <xdr:rowOff>106680</xdr:rowOff>
    </xdr:to>
    <xdr:pic macro="[0]!sheet_Info">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2674"/>
                  </a14:imgEffect>
                  <a14:imgEffect>
                    <a14:saturation sat="59000"/>
                  </a14:imgEffect>
                </a14:imgLayer>
              </a14:imgProps>
            </a:ext>
            <a:ext uri="{28A0092B-C50C-407E-A947-70E740481C1C}">
              <a14:useLocalDpi xmlns:a14="http://schemas.microsoft.com/office/drawing/2010/main" val="0"/>
            </a:ext>
          </a:extLst>
        </a:blip>
        <a:stretch>
          <a:fillRect/>
        </a:stretch>
      </xdr:blipFill>
      <xdr:spPr>
        <a:xfrm>
          <a:off x="10812780" y="685800"/>
          <a:ext cx="302049" cy="426720"/>
        </a:xfrm>
        <a:prstGeom prst="rect">
          <a:avLst/>
        </a:prstGeom>
        <a:solidFill>
          <a:schemeClr val="bg1"/>
        </a:solidFill>
      </xdr:spPr>
    </xdr:pic>
    <xdr:clientData/>
  </xdr:twoCellAnchor>
  <xdr:twoCellAnchor editAs="oneCell">
    <xdr:from>
      <xdr:col>0</xdr:col>
      <xdr:colOff>38100</xdr:colOff>
      <xdr:row>0</xdr:row>
      <xdr:rowOff>53340</xdr:rowOff>
    </xdr:from>
    <xdr:to>
      <xdr:col>0</xdr:col>
      <xdr:colOff>1035050</xdr:colOff>
      <xdr:row>1</xdr:row>
      <xdr:rowOff>102933</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 y="53340"/>
          <a:ext cx="996950" cy="32391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200025</xdr:colOff>
          <xdr:row>3</xdr:row>
          <xdr:rowOff>38100</xdr:rowOff>
        </xdr:from>
        <xdr:to>
          <xdr:col>19</xdr:col>
          <xdr:colOff>76200</xdr:colOff>
          <xdr:row>3</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Reset sheet</a:t>
              </a:r>
            </a:p>
          </xdr:txBody>
        </xdr:sp>
        <xdr:clientData fPrintsWithSheet="0"/>
      </xdr:twoCellAnchor>
    </mc:Choice>
    <mc:Fallback/>
  </mc:AlternateContent>
  <xdr:twoCellAnchor editAs="oneCell">
    <xdr:from>
      <xdr:col>16</xdr:col>
      <xdr:colOff>434340</xdr:colOff>
      <xdr:row>2</xdr:row>
      <xdr:rowOff>137160</xdr:rowOff>
    </xdr:from>
    <xdr:to>
      <xdr:col>17</xdr:col>
      <xdr:colOff>142029</xdr:colOff>
      <xdr:row>4</xdr:row>
      <xdr:rowOff>106680</xdr:rowOff>
    </xdr:to>
    <xdr:pic macro="[0]!sheet_Info">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2674"/>
                  </a14:imgEffect>
                  <a14:imgEffect>
                    <a14:saturation sat="59000"/>
                  </a14:imgEffect>
                </a14:imgLayer>
              </a14:imgProps>
            </a:ext>
            <a:ext uri="{28A0092B-C50C-407E-A947-70E740481C1C}">
              <a14:useLocalDpi xmlns:a14="http://schemas.microsoft.com/office/drawing/2010/main" val="0"/>
            </a:ext>
          </a:extLst>
        </a:blip>
        <a:stretch>
          <a:fillRect/>
        </a:stretch>
      </xdr:blipFill>
      <xdr:spPr>
        <a:xfrm>
          <a:off x="10812780" y="685800"/>
          <a:ext cx="302049" cy="426720"/>
        </a:xfrm>
        <a:prstGeom prst="rect">
          <a:avLst/>
        </a:prstGeom>
        <a:solidFill>
          <a:schemeClr val="bg1"/>
        </a:solidFill>
      </xdr:spPr>
    </xdr:pic>
    <xdr:clientData/>
  </xdr:twoCellAnchor>
  <xdr:twoCellAnchor editAs="oneCell">
    <xdr:from>
      <xdr:col>0</xdr:col>
      <xdr:colOff>38100</xdr:colOff>
      <xdr:row>0</xdr:row>
      <xdr:rowOff>38100</xdr:rowOff>
    </xdr:from>
    <xdr:to>
      <xdr:col>0</xdr:col>
      <xdr:colOff>1035050</xdr:colOff>
      <xdr:row>1</xdr:row>
      <xdr:rowOff>87693</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 y="38100"/>
          <a:ext cx="996950" cy="3239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228600</xdr:colOff>
          <xdr:row>3</xdr:row>
          <xdr:rowOff>38100</xdr:rowOff>
        </xdr:from>
        <xdr:to>
          <xdr:col>19</xdr:col>
          <xdr:colOff>104775</xdr:colOff>
          <xdr:row>3</xdr:row>
          <xdr:rowOff>228600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Reset sheet</a:t>
              </a:r>
            </a:p>
          </xdr:txBody>
        </xdr:sp>
        <xdr:clientData fPrintsWithSheet="0"/>
      </xdr:twoCellAnchor>
    </mc:Choice>
    <mc:Fallback/>
  </mc:AlternateContent>
  <xdr:twoCellAnchor editAs="oneCell">
    <xdr:from>
      <xdr:col>16</xdr:col>
      <xdr:colOff>464820</xdr:colOff>
      <xdr:row>2</xdr:row>
      <xdr:rowOff>137160</xdr:rowOff>
    </xdr:from>
    <xdr:to>
      <xdr:col>17</xdr:col>
      <xdr:colOff>172509</xdr:colOff>
      <xdr:row>4</xdr:row>
      <xdr:rowOff>106680</xdr:rowOff>
    </xdr:to>
    <xdr:pic macro="[0]!sheet_Info">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2674"/>
                  </a14:imgEffect>
                  <a14:imgEffect>
                    <a14:saturation sat="59000"/>
                  </a14:imgEffect>
                </a14:imgLayer>
              </a14:imgProps>
            </a:ext>
            <a:ext uri="{28A0092B-C50C-407E-A947-70E740481C1C}">
              <a14:useLocalDpi xmlns:a14="http://schemas.microsoft.com/office/drawing/2010/main" val="0"/>
            </a:ext>
          </a:extLst>
        </a:blip>
        <a:stretch>
          <a:fillRect/>
        </a:stretch>
      </xdr:blipFill>
      <xdr:spPr>
        <a:xfrm>
          <a:off x="10820400" y="685800"/>
          <a:ext cx="302049" cy="426720"/>
        </a:xfrm>
        <a:prstGeom prst="rect">
          <a:avLst/>
        </a:prstGeom>
        <a:solidFill>
          <a:schemeClr val="bg1"/>
        </a:solidFill>
      </xdr:spPr>
    </xdr:pic>
    <xdr:clientData/>
  </xdr:twoCellAnchor>
  <xdr:twoCellAnchor editAs="oneCell">
    <xdr:from>
      <xdr:col>0</xdr:col>
      <xdr:colOff>38100</xdr:colOff>
      <xdr:row>0</xdr:row>
      <xdr:rowOff>38100</xdr:rowOff>
    </xdr:from>
    <xdr:to>
      <xdr:col>0</xdr:col>
      <xdr:colOff>1035050</xdr:colOff>
      <xdr:row>1</xdr:row>
      <xdr:rowOff>87693</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 y="38100"/>
          <a:ext cx="996950" cy="32391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247650</xdr:colOff>
          <xdr:row>3</xdr:row>
          <xdr:rowOff>38100</xdr:rowOff>
        </xdr:from>
        <xdr:to>
          <xdr:col>19</xdr:col>
          <xdr:colOff>133350</xdr:colOff>
          <xdr:row>3</xdr:row>
          <xdr:rowOff>228600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Reset sheet</a:t>
              </a:r>
            </a:p>
          </xdr:txBody>
        </xdr:sp>
        <xdr:clientData fPrintsWithSheet="0"/>
      </xdr:twoCellAnchor>
    </mc:Choice>
    <mc:Fallback/>
  </mc:AlternateContent>
  <xdr:twoCellAnchor editAs="oneCell">
    <xdr:from>
      <xdr:col>16</xdr:col>
      <xdr:colOff>487680</xdr:colOff>
      <xdr:row>2</xdr:row>
      <xdr:rowOff>137160</xdr:rowOff>
    </xdr:from>
    <xdr:to>
      <xdr:col>17</xdr:col>
      <xdr:colOff>195369</xdr:colOff>
      <xdr:row>4</xdr:row>
      <xdr:rowOff>106680</xdr:rowOff>
    </xdr:to>
    <xdr:pic macro="[0]!sheet_Info">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2674"/>
                  </a14:imgEffect>
                  <a14:imgEffect>
                    <a14:saturation sat="59000"/>
                  </a14:imgEffect>
                </a14:imgLayer>
              </a14:imgProps>
            </a:ext>
            <a:ext uri="{28A0092B-C50C-407E-A947-70E740481C1C}">
              <a14:useLocalDpi xmlns:a14="http://schemas.microsoft.com/office/drawing/2010/main" val="0"/>
            </a:ext>
          </a:extLst>
        </a:blip>
        <a:stretch>
          <a:fillRect/>
        </a:stretch>
      </xdr:blipFill>
      <xdr:spPr>
        <a:xfrm>
          <a:off x="10942320" y="685800"/>
          <a:ext cx="302049" cy="426720"/>
        </a:xfrm>
        <a:prstGeom prst="rect">
          <a:avLst/>
        </a:prstGeom>
        <a:solidFill>
          <a:schemeClr val="bg1"/>
        </a:solidFill>
      </xdr:spPr>
    </xdr:pic>
    <xdr:clientData/>
  </xdr:twoCellAnchor>
  <xdr:twoCellAnchor editAs="oneCell">
    <xdr:from>
      <xdr:col>0</xdr:col>
      <xdr:colOff>38100</xdr:colOff>
      <xdr:row>0</xdr:row>
      <xdr:rowOff>38100</xdr:rowOff>
    </xdr:from>
    <xdr:to>
      <xdr:col>0</xdr:col>
      <xdr:colOff>1035050</xdr:colOff>
      <xdr:row>1</xdr:row>
      <xdr:rowOff>87693</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 y="38100"/>
          <a:ext cx="996950" cy="32391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409700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209550</xdr:colOff>
          <xdr:row>3</xdr:row>
          <xdr:rowOff>38100</xdr:rowOff>
        </xdr:from>
        <xdr:to>
          <xdr:col>19</xdr:col>
          <xdr:colOff>85725</xdr:colOff>
          <xdr:row>3</xdr:row>
          <xdr:rowOff>228600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Reset sheet</a:t>
              </a:r>
            </a:p>
          </xdr:txBody>
        </xdr:sp>
        <xdr:clientData fPrintsWithSheet="0"/>
      </xdr:twoCellAnchor>
    </mc:Choice>
    <mc:Fallback/>
  </mc:AlternateContent>
  <xdr:twoCellAnchor editAs="oneCell">
    <xdr:from>
      <xdr:col>16</xdr:col>
      <xdr:colOff>441960</xdr:colOff>
      <xdr:row>2</xdr:row>
      <xdr:rowOff>137160</xdr:rowOff>
    </xdr:from>
    <xdr:to>
      <xdr:col>17</xdr:col>
      <xdr:colOff>149649</xdr:colOff>
      <xdr:row>4</xdr:row>
      <xdr:rowOff>106680</xdr:rowOff>
    </xdr:to>
    <xdr:pic macro="[0]!sheet_Info">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2674"/>
                  </a14:imgEffect>
                  <a14:imgEffect>
                    <a14:saturation sat="59000"/>
                  </a14:imgEffect>
                </a14:imgLayer>
              </a14:imgProps>
            </a:ext>
            <a:ext uri="{28A0092B-C50C-407E-A947-70E740481C1C}">
              <a14:useLocalDpi xmlns:a14="http://schemas.microsoft.com/office/drawing/2010/main" val="0"/>
            </a:ext>
          </a:extLst>
        </a:blip>
        <a:stretch>
          <a:fillRect/>
        </a:stretch>
      </xdr:blipFill>
      <xdr:spPr>
        <a:xfrm>
          <a:off x="10896600" y="685800"/>
          <a:ext cx="302049" cy="426720"/>
        </a:xfrm>
        <a:prstGeom prst="rect">
          <a:avLst/>
        </a:prstGeom>
        <a:solidFill>
          <a:schemeClr val="bg1"/>
        </a:solidFill>
      </xdr:spPr>
    </xdr:pic>
    <xdr:clientData/>
  </xdr:twoCellAnchor>
  <xdr:twoCellAnchor editAs="oneCell">
    <xdr:from>
      <xdr:col>0</xdr:col>
      <xdr:colOff>38100</xdr:colOff>
      <xdr:row>0</xdr:row>
      <xdr:rowOff>38100</xdr:rowOff>
    </xdr:from>
    <xdr:to>
      <xdr:col>0</xdr:col>
      <xdr:colOff>1035050</xdr:colOff>
      <xdr:row>1</xdr:row>
      <xdr:rowOff>87693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 y="38100"/>
          <a:ext cx="996950" cy="32391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xdr:twoCellAnchor editAs="oneCell">
    <xdr:from>
      <xdr:col>0</xdr:col>
      <xdr:colOff>38100</xdr:colOff>
      <xdr:row>0</xdr:row>
      <xdr:rowOff>38100</xdr:rowOff>
    </xdr:from>
    <xdr:to>
      <xdr:col>0</xdr:col>
      <xdr:colOff>1035050</xdr:colOff>
      <xdr:row>1</xdr:row>
      <xdr:rowOff>87693</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100" y="38100"/>
          <a:ext cx="996950" cy="32391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676275</xdr:colOff>
          <xdr:row>7</xdr:row>
          <xdr:rowOff>19050</xdr:rowOff>
        </xdr:from>
        <xdr:to>
          <xdr:col>10</xdr:col>
          <xdr:colOff>180975</xdr:colOff>
          <xdr:row>11</xdr:row>
          <xdr:rowOff>9525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A00-0000016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Run probabilistic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676275</xdr:colOff>
          <xdr:row>19</xdr:row>
          <xdr:rowOff>171450</xdr:rowOff>
        </xdr:from>
        <xdr:to>
          <xdr:col>10</xdr:col>
          <xdr:colOff>180975</xdr:colOff>
          <xdr:row>24</xdr:row>
          <xdr:rowOff>9525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Run one-way </a:t>
              </a:r>
            </a:p>
            <a:p>
              <a:pPr algn="ctr" rtl="0">
                <a:defRPr sz="1000"/>
              </a:pPr>
              <a:r>
                <a:rPr lang="ru-UA" sz="1100" b="0" i="0" u="none" strike="noStrike" baseline="0">
                  <a:solidFill>
                    <a:srgbClr val="000000"/>
                  </a:solidFill>
                  <a:latin typeface="Trebuchet MS"/>
                </a:rPr>
                <a:t>sensitivity analysis</a:t>
              </a:r>
            </a:p>
          </xdr:txBody>
        </xdr:sp>
        <xdr:clientData fPrintsWithSheet="0"/>
      </xdr:twoCellAnchor>
    </mc:Choice>
    <mc:Fallback/>
  </mc:AlternateContent>
  <xdr:twoCellAnchor>
    <xdr:from>
      <xdr:col>2</xdr:col>
      <xdr:colOff>0</xdr:colOff>
      <xdr:row>23</xdr:row>
      <xdr:rowOff>76200</xdr:rowOff>
    </xdr:from>
    <xdr:to>
      <xdr:col>7</xdr:col>
      <xdr:colOff>76200</xdr:colOff>
      <xdr:row>38</xdr:row>
      <xdr:rowOff>76200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38100</xdr:colOff>
      <xdr:row>0</xdr:row>
      <xdr:rowOff>38100</xdr:rowOff>
    </xdr:from>
    <xdr:to>
      <xdr:col>0</xdr:col>
      <xdr:colOff>1035050</xdr:colOff>
      <xdr:row>1</xdr:row>
      <xdr:rowOff>87693</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 y="38100"/>
          <a:ext cx="996950" cy="32391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4097000" y="160021"/>
          <a:ext cx="2357643" cy="25967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333375</xdr:colOff>
          <xdr:row>3</xdr:row>
          <xdr:rowOff>28575</xdr:rowOff>
        </xdr:from>
        <xdr:to>
          <xdr:col>19</xdr:col>
          <xdr:colOff>209550</xdr:colOff>
          <xdr:row>3</xdr:row>
          <xdr:rowOff>219075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ru-UA" sz="1100" b="0" i="0" u="none" strike="noStrike" baseline="0">
                  <a:solidFill>
                    <a:srgbClr val="000000"/>
                  </a:solidFill>
                  <a:latin typeface="Trebuchet MS"/>
                </a:rPr>
                <a:t>Reset sheet</a:t>
              </a:r>
            </a:p>
          </xdr:txBody>
        </xdr:sp>
        <xdr:clientData fPrintsWithSheet="0"/>
      </xdr:twoCellAnchor>
    </mc:Choice>
    <mc:Fallback/>
  </mc:AlternateContent>
  <xdr:twoCellAnchor editAs="oneCell">
    <xdr:from>
      <xdr:col>16</xdr:col>
      <xdr:colOff>571500</xdr:colOff>
      <xdr:row>2</xdr:row>
      <xdr:rowOff>129540</xdr:rowOff>
    </xdr:from>
    <xdr:to>
      <xdr:col>17</xdr:col>
      <xdr:colOff>279189</xdr:colOff>
      <xdr:row>4</xdr:row>
      <xdr:rowOff>99060</xdr:rowOff>
    </xdr:to>
    <xdr:pic macro="[0]!sheet_Info">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colorTemperature colorTemp="2674"/>
                  </a14:imgEffect>
                  <a14:imgEffect>
                    <a14:saturation sat="59000"/>
                  </a14:imgEffect>
                </a14:imgLayer>
              </a14:imgProps>
            </a:ext>
            <a:ext uri="{28A0092B-C50C-407E-A947-70E740481C1C}">
              <a14:useLocalDpi xmlns:a14="http://schemas.microsoft.com/office/drawing/2010/main" val="0"/>
            </a:ext>
          </a:extLst>
        </a:blip>
        <a:stretch>
          <a:fillRect/>
        </a:stretch>
      </xdr:blipFill>
      <xdr:spPr>
        <a:xfrm>
          <a:off x="11026140" y="678180"/>
          <a:ext cx="302049" cy="426720"/>
        </a:xfrm>
        <a:prstGeom prst="rect">
          <a:avLst/>
        </a:prstGeom>
        <a:solidFill>
          <a:schemeClr val="bg1"/>
        </a:solidFill>
      </xdr:spPr>
    </xdr:pic>
    <xdr:clientData/>
  </xdr:twoCellAnchor>
  <xdr:twoCellAnchor editAs="oneCell">
    <xdr:from>
      <xdr:col>0</xdr:col>
      <xdr:colOff>38100</xdr:colOff>
      <xdr:row>0</xdr:row>
      <xdr:rowOff>38100</xdr:rowOff>
    </xdr:from>
    <xdr:to>
      <xdr:col>0</xdr:col>
      <xdr:colOff>1035050</xdr:colOff>
      <xdr:row>1</xdr:row>
      <xdr:rowOff>87693</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8100" y="38100"/>
          <a:ext cx="996950" cy="32391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xdr:twoCellAnchor>
    <xdr:from>
      <xdr:col>0</xdr:col>
      <xdr:colOff>38100</xdr:colOff>
      <xdr:row>0</xdr:row>
      <xdr:rowOff>30480</xdr:rowOff>
    </xdr:from>
    <xdr:to>
      <xdr:col>1</xdr:col>
      <xdr:colOff>0</xdr:colOff>
      <xdr:row>1</xdr:row>
      <xdr:rowOff>236220</xdr:rowOff>
    </xdr:to>
    <xdr:sp macro="" textlink="">
      <xdr:nvSpPr>
        <xdr:cNvPr id="3" name="Rounded Rectangle 2">
          <a:extLst>
            <a:ext uri="{FF2B5EF4-FFF2-40B4-BE49-F238E27FC236}">
              <a16:creationId xmlns:a16="http://schemas.microsoft.com/office/drawing/2014/main" id="{00000000-0008-0000-0C00-000003000000}"/>
            </a:ext>
          </a:extLst>
        </xdr:cNvPr>
        <xdr:cNvSpPr/>
      </xdr:nvSpPr>
      <xdr:spPr>
        <a:xfrm>
          <a:off x="38100" y="30480"/>
          <a:ext cx="1402080" cy="480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Client or Product logo</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xdr:twoCellAnchor>
    <xdr:from>
      <xdr:col>0</xdr:col>
      <xdr:colOff>38100</xdr:colOff>
      <xdr:row>0</xdr:row>
      <xdr:rowOff>30480</xdr:rowOff>
    </xdr:from>
    <xdr:to>
      <xdr:col>1</xdr:col>
      <xdr:colOff>0</xdr:colOff>
      <xdr:row>1</xdr:row>
      <xdr:rowOff>236220</xdr:rowOff>
    </xdr:to>
    <xdr:sp macro="" textlink="">
      <xdr:nvSpPr>
        <xdr:cNvPr id="3" name="Rounded Rectangle 2">
          <a:extLst>
            <a:ext uri="{FF2B5EF4-FFF2-40B4-BE49-F238E27FC236}">
              <a16:creationId xmlns:a16="http://schemas.microsoft.com/office/drawing/2014/main" id="{00000000-0008-0000-0D00-000003000000}"/>
            </a:ext>
          </a:extLst>
        </xdr:cNvPr>
        <xdr:cNvSpPr/>
      </xdr:nvSpPr>
      <xdr:spPr>
        <a:xfrm>
          <a:off x="38100" y="30480"/>
          <a:ext cx="1402080" cy="480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Client or Product logo</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114898</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xdr:twoCellAnchor>
    <xdr:from>
      <xdr:col>0</xdr:col>
      <xdr:colOff>38100</xdr:colOff>
      <xdr:row>0</xdr:row>
      <xdr:rowOff>30480</xdr:rowOff>
    </xdr:from>
    <xdr:to>
      <xdr:col>1</xdr:col>
      <xdr:colOff>0</xdr:colOff>
      <xdr:row>1</xdr:row>
      <xdr:rowOff>236220</xdr:rowOff>
    </xdr:to>
    <xdr:sp macro="" textlink="">
      <xdr:nvSpPr>
        <xdr:cNvPr id="3" name="Rounded Rectangle 2">
          <a:extLst>
            <a:ext uri="{FF2B5EF4-FFF2-40B4-BE49-F238E27FC236}">
              <a16:creationId xmlns:a16="http://schemas.microsoft.com/office/drawing/2014/main" id="{00000000-0008-0000-0E00-000003000000}"/>
            </a:ext>
          </a:extLst>
        </xdr:cNvPr>
        <xdr:cNvSpPr/>
      </xdr:nvSpPr>
      <xdr:spPr>
        <a:xfrm>
          <a:off x="38100" y="30480"/>
          <a:ext cx="1402080" cy="480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Client or Product logo</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25</xdr:col>
      <xdr:colOff>422163</xdr:colOff>
      <xdr:row>1</xdr:row>
      <xdr:rowOff>145378</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xdr:twoCellAnchor>
    <xdr:from>
      <xdr:col>0</xdr:col>
      <xdr:colOff>38100</xdr:colOff>
      <xdr:row>0</xdr:row>
      <xdr:rowOff>30480</xdr:rowOff>
    </xdr:from>
    <xdr:to>
      <xdr:col>1</xdr:col>
      <xdr:colOff>0</xdr:colOff>
      <xdr:row>1</xdr:row>
      <xdr:rowOff>236220</xdr:rowOff>
    </xdr:to>
    <xdr:sp macro="" textlink="">
      <xdr:nvSpPr>
        <xdr:cNvPr id="3" name="Rounded Rectangle 2">
          <a:extLst>
            <a:ext uri="{FF2B5EF4-FFF2-40B4-BE49-F238E27FC236}">
              <a16:creationId xmlns:a16="http://schemas.microsoft.com/office/drawing/2014/main" id="{00000000-0008-0000-0F00-000003000000}"/>
            </a:ext>
          </a:extLst>
        </xdr:cNvPr>
        <xdr:cNvSpPr/>
      </xdr:nvSpPr>
      <xdr:spPr>
        <a:xfrm>
          <a:off x="38100" y="30480"/>
          <a:ext cx="1402080" cy="480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Client or Product logo</a:t>
          </a:r>
        </a:p>
      </xdr:txBody>
    </xdr:sp>
    <xdr:clientData/>
  </xdr:twoCellAnchor>
  <xdr:twoCellAnchor editAs="oneCell">
    <xdr:from>
      <xdr:col>1</xdr:col>
      <xdr:colOff>53340</xdr:colOff>
      <xdr:row>7</xdr:row>
      <xdr:rowOff>45721</xdr:rowOff>
    </xdr:from>
    <xdr:to>
      <xdr:col>13</xdr:col>
      <xdr:colOff>571500</xdr:colOff>
      <xdr:row>26</xdr:row>
      <xdr:rowOff>73767</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2"/>
        <a:stretch>
          <a:fillRect/>
        </a:stretch>
      </xdr:blipFill>
      <xdr:spPr>
        <a:xfrm>
          <a:off x="1493520" y="1638301"/>
          <a:ext cx="9669780" cy="3708506"/>
        </a:xfrm>
        <a:prstGeom prst="rect">
          <a:avLst/>
        </a:prstGeom>
      </xdr:spPr>
    </xdr:pic>
    <xdr:clientData/>
  </xdr:twoCellAnchor>
  <xdr:twoCellAnchor editAs="oneCell">
    <xdr:from>
      <xdr:col>13</xdr:col>
      <xdr:colOff>495300</xdr:colOff>
      <xdr:row>12</xdr:row>
      <xdr:rowOff>29166</xdr:rowOff>
    </xdr:from>
    <xdr:to>
      <xdr:col>16</xdr:col>
      <xdr:colOff>629434</xdr:colOff>
      <xdr:row>23</xdr:row>
      <xdr:rowOff>179789</xdr:rowOff>
    </xdr:to>
    <xdr:pic>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a:stretch>
          <a:fillRect/>
        </a:stretch>
      </xdr:blipFill>
      <xdr:spPr>
        <a:xfrm>
          <a:off x="9067800" y="2612346"/>
          <a:ext cx="1917214" cy="229184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23</xdr:col>
      <xdr:colOff>76200</xdr:colOff>
      <xdr:row>0</xdr:row>
      <xdr:rowOff>160021</xdr:rowOff>
    </xdr:from>
    <xdr:to>
      <xdr:col>26</xdr:col>
      <xdr:colOff>513604</xdr:colOff>
      <xdr:row>1</xdr:row>
      <xdr:rowOff>145378</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xdr:twoCellAnchor>
    <xdr:from>
      <xdr:col>0</xdr:col>
      <xdr:colOff>38100</xdr:colOff>
      <xdr:row>0</xdr:row>
      <xdr:rowOff>30480</xdr:rowOff>
    </xdr:from>
    <xdr:to>
      <xdr:col>1</xdr:col>
      <xdr:colOff>0</xdr:colOff>
      <xdr:row>1</xdr:row>
      <xdr:rowOff>236220</xdr:rowOff>
    </xdr:to>
    <xdr:sp macro="" textlink="">
      <xdr:nvSpPr>
        <xdr:cNvPr id="3" name="Rounded Rectangle 2">
          <a:extLst>
            <a:ext uri="{FF2B5EF4-FFF2-40B4-BE49-F238E27FC236}">
              <a16:creationId xmlns:a16="http://schemas.microsoft.com/office/drawing/2014/main" id="{00000000-0008-0000-1000-000003000000}"/>
            </a:ext>
          </a:extLst>
        </xdr:cNvPr>
        <xdr:cNvSpPr/>
      </xdr:nvSpPr>
      <xdr:spPr>
        <a:xfrm>
          <a:off x="38100" y="30480"/>
          <a:ext cx="1402080" cy="480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Client or Product logo</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23</xdr:col>
      <xdr:colOff>76200</xdr:colOff>
      <xdr:row>0</xdr:row>
      <xdr:rowOff>160021</xdr:rowOff>
    </xdr:from>
    <xdr:to>
      <xdr:col>26</xdr:col>
      <xdr:colOff>246903</xdr:colOff>
      <xdr:row>1</xdr:row>
      <xdr:rowOff>145378</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8958560" y="160021"/>
          <a:ext cx="2357643" cy="259677"/>
        </a:xfrm>
        <a:prstGeom prst="rect">
          <a:avLst/>
        </a:prstGeom>
      </xdr:spPr>
    </xdr:pic>
    <xdr:clientData/>
  </xdr:twoCellAnchor>
  <xdr:twoCellAnchor>
    <xdr:from>
      <xdr:col>0</xdr:col>
      <xdr:colOff>38100</xdr:colOff>
      <xdr:row>0</xdr:row>
      <xdr:rowOff>30480</xdr:rowOff>
    </xdr:from>
    <xdr:to>
      <xdr:col>1</xdr:col>
      <xdr:colOff>0</xdr:colOff>
      <xdr:row>1</xdr:row>
      <xdr:rowOff>236220</xdr:rowOff>
    </xdr:to>
    <xdr:sp macro="" textlink="">
      <xdr:nvSpPr>
        <xdr:cNvPr id="3" name="Rounded Rectangle 2">
          <a:extLst>
            <a:ext uri="{FF2B5EF4-FFF2-40B4-BE49-F238E27FC236}">
              <a16:creationId xmlns:a16="http://schemas.microsoft.com/office/drawing/2014/main" id="{00000000-0008-0000-1100-000003000000}"/>
            </a:ext>
          </a:extLst>
        </xdr:cNvPr>
        <xdr:cNvSpPr/>
      </xdr:nvSpPr>
      <xdr:spPr>
        <a:xfrm>
          <a:off x="38100" y="30480"/>
          <a:ext cx="1402080" cy="480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Client or Product logo</a:t>
          </a: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xdr:twoCellAnchor>
    <xdr:from>
      <xdr:col>0</xdr:col>
      <xdr:colOff>38100</xdr:colOff>
      <xdr:row>0</xdr:row>
      <xdr:rowOff>30480</xdr:rowOff>
    </xdr:from>
    <xdr:to>
      <xdr:col>1</xdr:col>
      <xdr:colOff>0</xdr:colOff>
      <xdr:row>1</xdr:row>
      <xdr:rowOff>236220</xdr:rowOff>
    </xdr:to>
    <xdr:sp macro="" textlink="">
      <xdr:nvSpPr>
        <xdr:cNvPr id="3" name="Rounded Rectangle 2">
          <a:extLst>
            <a:ext uri="{FF2B5EF4-FFF2-40B4-BE49-F238E27FC236}">
              <a16:creationId xmlns:a16="http://schemas.microsoft.com/office/drawing/2014/main" id="{00000000-0008-0000-1200-000003000000}"/>
            </a:ext>
          </a:extLst>
        </xdr:cNvPr>
        <xdr:cNvSpPr/>
      </xdr:nvSpPr>
      <xdr:spPr>
        <a:xfrm>
          <a:off x="38100" y="30480"/>
          <a:ext cx="1402080" cy="480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Client or Product logo</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24</xdr:col>
      <xdr:colOff>231663</xdr:colOff>
      <xdr:row>1</xdr:row>
      <xdr:rowOff>145378</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13997940" y="160021"/>
          <a:ext cx="2357643" cy="259677"/>
        </a:xfrm>
        <a:prstGeom prst="rect">
          <a:avLst/>
        </a:prstGeom>
      </xdr:spPr>
    </xdr:pic>
    <xdr:clientData/>
  </xdr:twoCellAnchor>
  <xdr:twoCellAnchor>
    <xdr:from>
      <xdr:col>0</xdr:col>
      <xdr:colOff>38100</xdr:colOff>
      <xdr:row>0</xdr:row>
      <xdr:rowOff>30480</xdr:rowOff>
    </xdr:from>
    <xdr:to>
      <xdr:col>1</xdr:col>
      <xdr:colOff>0</xdr:colOff>
      <xdr:row>1</xdr:row>
      <xdr:rowOff>236220</xdr:rowOff>
    </xdr:to>
    <xdr:sp macro="" textlink="">
      <xdr:nvSpPr>
        <xdr:cNvPr id="3" name="Rounded Rectangle 2">
          <a:extLst>
            <a:ext uri="{FF2B5EF4-FFF2-40B4-BE49-F238E27FC236}">
              <a16:creationId xmlns:a16="http://schemas.microsoft.com/office/drawing/2014/main" id="{00000000-0008-0000-1400-000003000000}"/>
            </a:ext>
          </a:extLst>
        </xdr:cNvPr>
        <xdr:cNvSpPr/>
      </xdr:nvSpPr>
      <xdr:spPr>
        <a:xfrm>
          <a:off x="38100" y="30480"/>
          <a:ext cx="1402080" cy="480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Client or Product logo</a:t>
          </a:r>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22</xdr:col>
      <xdr:colOff>76200</xdr:colOff>
      <xdr:row>0</xdr:row>
      <xdr:rowOff>160021</xdr:rowOff>
    </xdr:from>
    <xdr:to>
      <xdr:col>26</xdr:col>
      <xdr:colOff>56403</xdr:colOff>
      <xdr:row>1</xdr:row>
      <xdr:rowOff>145378</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6542"/>
        <a:stretch/>
      </xdr:blipFill>
      <xdr:spPr>
        <a:xfrm>
          <a:off x="20109180" y="160021"/>
          <a:ext cx="2357643" cy="259677"/>
        </a:xfrm>
        <a:prstGeom prst="rect">
          <a:avLst/>
        </a:prstGeom>
      </xdr:spPr>
    </xdr:pic>
    <xdr:clientData/>
  </xdr:twoCellAnchor>
  <xdr:twoCellAnchor>
    <xdr:from>
      <xdr:col>0</xdr:col>
      <xdr:colOff>38100</xdr:colOff>
      <xdr:row>0</xdr:row>
      <xdr:rowOff>30480</xdr:rowOff>
    </xdr:from>
    <xdr:to>
      <xdr:col>1</xdr:col>
      <xdr:colOff>0</xdr:colOff>
      <xdr:row>1</xdr:row>
      <xdr:rowOff>236220</xdr:rowOff>
    </xdr:to>
    <xdr:sp macro="" textlink="">
      <xdr:nvSpPr>
        <xdr:cNvPr id="3" name="Rounded Rectangle 2">
          <a:extLst>
            <a:ext uri="{FF2B5EF4-FFF2-40B4-BE49-F238E27FC236}">
              <a16:creationId xmlns:a16="http://schemas.microsoft.com/office/drawing/2014/main" id="{00000000-0008-0000-1500-000003000000}"/>
            </a:ext>
          </a:extLst>
        </xdr:cNvPr>
        <xdr:cNvSpPr/>
      </xdr:nvSpPr>
      <xdr:spPr>
        <a:xfrm>
          <a:off x="38100" y="30480"/>
          <a:ext cx="1402080" cy="480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Client or Product logo</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C6:V81" totalsRowShown="0" headerRowDxfId="55" dataDxfId="54">
  <autoFilter ref="C6:V81" xr:uid="{00000000-0009-0000-0100-000002000000}"/>
  <tableColumns count="20">
    <tableColumn id="1" xr3:uid="{00000000-0010-0000-0000-000001000000}" name="Item">
      <calculatedColumnFormula>C6+1</calculatedColumnFormula>
    </tableColumn>
    <tableColumn id="2" xr3:uid="{00000000-0010-0000-0000-000002000000}" name="Parameter" dataDxfId="53"/>
    <tableColumn id="3" xr3:uid="{00000000-0010-0000-0000-000003000000}" name="Page" dataDxfId="52"/>
    <tableColumn id="4" xr3:uid="{00000000-0010-0000-0000-000004000000}" name="Column"/>
    <tableColumn id="5" xr3:uid="{00000000-0010-0000-0000-000005000000}" name="Row"/>
    <tableColumn id="6" xr3:uid="{00000000-0010-0000-0000-000006000000}" name="var col" dataDxfId="51"/>
    <tableColumn id="7" xr3:uid="{00000000-0010-0000-0000-000007000000}" name="min col" dataDxfId="50"/>
    <tableColumn id="8" xr3:uid="{00000000-0010-0000-0000-000008000000}" name="max col" dataDxfId="49"/>
    <tableColumn id="9" xr3:uid="{00000000-0010-0000-0000-000009000000}" name="Parameter name" dataDxfId="48">
      <calculatedColumnFormula>MID(Table2[[#This Row],[Page]],1,3)&amp;"_"&amp;MID(Table2[[#This Row],[Parameter]],1,4)</calculatedColumnFormula>
    </tableColumn>
    <tableColumn id="10" xr3:uid="{00000000-0010-0000-0000-00000A000000}" name="Base case" dataDxfId="47"/>
    <tableColumn id="11" xr3:uid="{00000000-0010-0000-0000-00000B000000}" name="Variance" dataDxfId="46"/>
    <tableColumn id="12" xr3:uid="{00000000-0010-0000-0000-00000C000000}" name="95 min" dataDxfId="45"/>
    <tableColumn id="13" xr3:uid="{00000000-0010-0000-0000-00000D000000}" name="95 max" dataDxfId="44"/>
    <tableColumn id="14" xr3:uid="{00000000-0010-0000-0000-00000E000000}" name="Sample variance" dataDxfId="43">
      <calculatedColumnFormula>IF(Table2[[#This Row],[Distribution]]="None","",IF(AND(LEN(Table2[[#This Row],[95 min]])&gt;0,LEN(Table2[[#This Row],[95 max]])&gt;0),IF(Table2[[#This Row],[Distribution]]="Normal",
((Table2[[#This Row],[95 max]]-Table2[[#This Row],[95 min]])/3.92),((LN(Table2[[#This Row],[95 max]])-LN(Table2[[#This Row],[95 min]]))/3.92)),IF(LEN(Table2[[#This Row],[Variance]])&gt;0,Table2[[#This Row],[Variance]],0.0001)))</calculatedColumnFormula>
    </tableColumn>
    <tableColumn id="15" xr3:uid="{00000000-0010-0000-0000-00000F000000}" name="Distribution" dataDxfId="42"/>
    <tableColumn id="16" xr3:uid="{00000000-0010-0000-0000-000010000000}" name="Min" dataDxfId="41"/>
    <tableColumn id="17" xr3:uid="{00000000-0010-0000-0000-000011000000}" name="Max" dataDxfId="40"/>
    <tableColumn id="18" xr3:uid="{00000000-0010-0000-0000-000012000000}" name="Sampled value" dataDxfId="39"/>
    <tableColumn id="22" xr3:uid="{00000000-0010-0000-0000-000016000000}" name="Name" dataDxfId="38"/>
    <tableColumn id="23" xr3:uid="{00000000-0010-0000-0000-000017000000}" name="Model input" dataDxfId="37"/>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C6:W115" totalsRowShown="0" headerRowDxfId="34" dataDxfId="32" headerRowBorderDxfId="33" tableBorderDxfId="31">
  <autoFilter ref="C6:W115" xr:uid="{00000000-0009-0000-0100-000001000000}"/>
  <tableColumns count="21">
    <tableColumn id="1" xr3:uid="{00000000-0010-0000-0100-000001000000}" name="Item">
      <calculatedColumnFormula>C6+1</calculatedColumnFormula>
    </tableColumn>
    <tableColumn id="2" xr3:uid="{00000000-0010-0000-0100-000002000000}" name="Parameter" dataDxfId="30">
      <calculatedColumnFormula>Table2[[#This Row],[Parameter]]</calculatedColumnFormula>
    </tableColumn>
    <tableColumn id="3" xr3:uid="{00000000-0010-0000-0100-000003000000}" name="Sheet Name">
      <calculatedColumnFormula>Table2[[#This Row],[Page]]</calculatedColumnFormula>
    </tableColumn>
    <tableColumn id="4" xr3:uid="{00000000-0010-0000-0100-000004000000}" name="Cell" dataDxfId="29">
      <calculatedColumnFormula>Table2[[#This Row],[Column]]&amp;Table2[[#This Row],[Row]]</calculatedColumnFormula>
    </tableColumn>
    <tableColumn id="5" xr3:uid="{00000000-0010-0000-0100-000005000000}" name="Variance cell" dataDxfId="28">
      <calculatedColumnFormula>IF(LEN(Table2[[#This Row],[var col]])&gt;0,Table2[[#This Row],[var col]]&amp;Table2[[#This Row],[Row]],"")</calculatedColumnFormula>
    </tableColumn>
    <tableColumn id="6" xr3:uid="{00000000-0010-0000-0100-000006000000}" name="Min cell" dataDxfId="27">
      <calculatedColumnFormula>IF(LEN(Table2[[#This Row],[min col]])&gt;0,Table2[[#This Row],[min col]]&amp;Table2[[#This Row],[Row]],"")</calculatedColumnFormula>
    </tableColumn>
    <tableColumn id="7" xr3:uid="{00000000-0010-0000-0100-000007000000}" name="Max cell" dataDxfId="26">
      <calculatedColumnFormula>IF(LEN(Table2[[#This Row],[max col]])&gt;0,Table2[[#This Row],[max col]]&amp;Table2[[#This Row],[Row]],"")</calculatedColumnFormula>
    </tableColumn>
    <tableColumn id="8" xr3:uid="{00000000-0010-0000-0100-000008000000}" name="Basecase" dataDxfId="25">
      <calculatedColumnFormula>Table2[[#This Row],[Base case]]</calculatedColumnFormula>
    </tableColumn>
    <tableColumn id="9" xr3:uid="{00000000-0010-0000-0100-000009000000}" name="Variance" dataDxfId="24">
      <calculatedColumnFormula>Table2[[#This Row],[Sample variance]]</calculatedColumnFormula>
    </tableColumn>
    <tableColumn id="21" xr3:uid="{00000000-0010-0000-0100-000015000000}" name="min range" dataDxfId="23">
      <calculatedColumnFormula>Table2[[#This Row],[95 min]]</calculatedColumnFormula>
    </tableColumn>
    <tableColumn id="20" xr3:uid="{00000000-0010-0000-0100-000014000000}" name="max range" dataDxfId="22">
      <calculatedColumnFormula>Table2[[#This Row],[95 max]]</calculatedColumnFormula>
    </tableColumn>
    <tableColumn id="10" xr3:uid="{00000000-0010-0000-0100-00000A000000}" name="Min" dataDxfId="21">
      <calculatedColumnFormula>IF(LEN(Table2[[#This Row],[Min]])&gt;0,Table2[[#This Row],[Min]],"")</calculatedColumnFormula>
    </tableColumn>
    <tableColumn id="11" xr3:uid="{00000000-0010-0000-0100-00000B000000}" name="Max" dataDxfId="20">
      <calculatedColumnFormula>IF(LEN(Table2[[#This Row],[Max]])&gt;0,Table2[[#This Row],[Max]],"")</calculatedColumnFormula>
    </tableColumn>
    <tableColumn id="12" xr3:uid="{00000000-0010-0000-0100-00000C000000}" name="Summary" dataDxfId="19">
      <calculatedColumnFormula>"The base case value is "&amp;IF(ISNUMBER(Table1[[#This Row],[Basecase]]),ROUND(Table1[[#This Row],[Basecase]],3),Table1[[#This Row],[Basecase]])&amp;
IF(LEN(Table1[[#This Row],[Variance]])&gt;0,", with a variance of "&amp;ROUND(Table1[[#This Row],[Variance]],3)&amp;".","")&amp;
IF(LEN(Table1[[#This Row],[Min]])&gt;0," The limits of the parameter are set at: "&amp;Table1[[#This Row],[Min]]&amp;"--&gt;"&amp;Table1[[#This Row],[Max]]&amp;".","")</calculatedColumnFormula>
    </tableColumn>
    <tableColumn id="13" xr3:uid="{00000000-0010-0000-0100-00000D000000}" name="Information" dataDxfId="18"/>
    <tableColumn id="14" xr3:uid="{00000000-0010-0000-0100-00000E000000}" name="Citation" dataDxfId="17"/>
    <tableColumn id="15" xr3:uid="{00000000-0010-0000-0100-00000F000000}" name="Value" dataDxfId="16"/>
    <tableColumn id="16" xr3:uid="{00000000-0010-0000-0100-000010000000}" name="Year" dataDxfId="15"/>
    <tableColumn id="17" xr3:uid="{00000000-0010-0000-0100-000011000000}" name="VarianceOrig" dataDxfId="14"/>
    <tableColumn id="18" xr3:uid="{00000000-0010-0000-0100-000012000000}" name="Min Orig" dataDxfId="13"/>
    <tableColumn id="19" xr3:uid="{00000000-0010-0000-0100-000013000000}" name="Max Orig" dataDxfId="12"/>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Coreva Excel">
      <a:dk1>
        <a:sysClr val="windowText" lastClr="000000"/>
      </a:dk1>
      <a:lt1>
        <a:sysClr val="window" lastClr="FFFFFF"/>
      </a:lt1>
      <a:dk2>
        <a:srgbClr val="44546A"/>
      </a:dk2>
      <a:lt2>
        <a:srgbClr val="E7E6E6"/>
      </a:lt2>
      <a:accent1>
        <a:srgbClr val="B30027"/>
      </a:accent1>
      <a:accent2>
        <a:srgbClr val="2C89A0"/>
      </a:accent2>
      <a:accent3>
        <a:srgbClr val="AFE9DD"/>
      </a:accent3>
      <a:accent4>
        <a:srgbClr val="1E5BE2"/>
      </a:accent4>
      <a:accent5>
        <a:srgbClr val="EE7612"/>
      </a:accent5>
      <a:accent6>
        <a:srgbClr val="663FB5"/>
      </a:accent6>
      <a:hlink>
        <a:srgbClr val="FFFFFF"/>
      </a:hlink>
      <a:folHlink>
        <a:srgbClr val="FFFFFF"/>
      </a:folHlink>
    </a:clrScheme>
    <a:fontScheme name="Coreva Scientific">
      <a:majorFont>
        <a:latin typeface="Trebuchet MS"/>
        <a:ea typeface=""/>
        <a:cs typeface=""/>
      </a:majorFont>
      <a:minorFont>
        <a:latin typeface="Trebuchet M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40"/>
  <sheetViews>
    <sheetView topLeftCell="A4" workbookViewId="0">
      <selection activeCell="A20" sqref="A20"/>
    </sheetView>
  </sheetViews>
  <sheetFormatPr defaultColWidth="8.625" defaultRowHeight="15" x14ac:dyDescent="0.3"/>
  <cols>
    <col min="1" max="1" width="21" style="1" customWidth="1"/>
    <col min="2" max="16384" width="8.625" style="1"/>
  </cols>
  <sheetData>
    <row r="1" spans="1:26" ht="22.15" customHeight="1" thickTop="1" x14ac:dyDescent="0.3">
      <c r="A1" s="3"/>
      <c r="B1" s="4"/>
      <c r="C1" s="143" t="s">
        <v>73</v>
      </c>
      <c r="D1" s="143"/>
      <c r="E1" s="143"/>
      <c r="F1" s="143"/>
      <c r="G1" s="143"/>
      <c r="H1" s="143"/>
      <c r="I1" s="143"/>
      <c r="J1" s="143"/>
      <c r="K1" s="143"/>
      <c r="L1" s="143"/>
      <c r="M1" s="143"/>
      <c r="N1" s="143"/>
      <c r="O1" s="143"/>
      <c r="P1" s="143"/>
      <c r="Q1" s="143"/>
      <c r="R1" s="143"/>
      <c r="S1" s="143"/>
      <c r="T1" s="143"/>
      <c r="U1" s="143"/>
      <c r="V1" s="4"/>
      <c r="W1" s="4"/>
      <c r="X1" s="4"/>
      <c r="Y1" s="4"/>
      <c r="Z1" s="4"/>
    </row>
    <row r="2" spans="1:26" ht="22.15" customHeight="1" thickBot="1" x14ac:dyDescent="0.35">
      <c r="A2" s="5"/>
      <c r="B2" s="6"/>
      <c r="C2" s="144" t="s">
        <v>80</v>
      </c>
      <c r="D2" s="144"/>
      <c r="E2" s="144"/>
      <c r="F2" s="144"/>
      <c r="G2" s="144"/>
      <c r="H2" s="144"/>
      <c r="I2" s="144"/>
      <c r="J2" s="144"/>
      <c r="K2" s="144"/>
      <c r="L2" s="144"/>
      <c r="M2" s="144"/>
      <c r="N2" s="144"/>
      <c r="O2" s="144"/>
      <c r="P2" s="144"/>
      <c r="Q2" s="144"/>
      <c r="R2" s="144"/>
      <c r="S2" s="144"/>
      <c r="T2" s="144"/>
      <c r="U2" s="144"/>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1</v>
      </c>
      <c r="D4" s="10"/>
      <c r="E4" s="10"/>
      <c r="F4" s="145" t="s">
        <v>4</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6.5" thickTop="1" thickBot="1" x14ac:dyDescent="0.35">
      <c r="A6" s="9" t="s">
        <v>1</v>
      </c>
      <c r="C6" s="11"/>
    </row>
    <row r="7" spans="1:26" ht="18" thickTop="1" thickBot="1" x14ac:dyDescent="0.35">
      <c r="A7" s="2"/>
      <c r="C7" s="12"/>
      <c r="D7"/>
      <c r="E7"/>
    </row>
    <row r="8" spans="1:26" ht="18" thickTop="1" thickBot="1" x14ac:dyDescent="0.35">
      <c r="A8" s="9" t="s">
        <v>12</v>
      </c>
      <c r="C8" s="11" t="s">
        <v>6</v>
      </c>
      <c r="F8" s="146" t="s">
        <v>354</v>
      </c>
      <c r="G8" s="146"/>
    </row>
    <row r="9" spans="1:26" ht="18" thickTop="1" thickBot="1" x14ac:dyDescent="0.35">
      <c r="A9" s="2"/>
      <c r="C9" s="12"/>
      <c r="D9"/>
      <c r="E9"/>
    </row>
    <row r="10" spans="1:26" ht="18" thickTop="1" thickBot="1" x14ac:dyDescent="0.35">
      <c r="A10" s="9" t="s">
        <v>13</v>
      </c>
      <c r="C10" s="11" t="s">
        <v>5</v>
      </c>
      <c r="F10" s="146" t="s">
        <v>355</v>
      </c>
      <c r="G10" s="146"/>
      <c r="H10" s="146"/>
      <c r="I10" s="146"/>
    </row>
    <row r="11" spans="1:26" ht="16.5" thickTop="1" thickBot="1" x14ac:dyDescent="0.35">
      <c r="A11" s="2"/>
    </row>
    <row r="12" spans="1:26" ht="16.5" thickTop="1" thickBot="1" x14ac:dyDescent="0.35">
      <c r="A12" s="9" t="s">
        <v>22</v>
      </c>
      <c r="C12" s="11" t="s">
        <v>7</v>
      </c>
      <c r="F12" s="1" t="s">
        <v>350</v>
      </c>
    </row>
    <row r="13" spans="1:26" ht="16.5" thickTop="1" thickBot="1" x14ac:dyDescent="0.35">
      <c r="A13" s="2"/>
      <c r="F13" s="1" t="s">
        <v>351</v>
      </c>
    </row>
    <row r="14" spans="1:26" ht="16.5" thickTop="1" thickBot="1" x14ac:dyDescent="0.35">
      <c r="A14" s="9" t="s">
        <v>23</v>
      </c>
      <c r="F14" s="1" t="s">
        <v>9</v>
      </c>
      <c r="P14" s="14"/>
    </row>
    <row r="15" spans="1:26" ht="18" thickTop="1" thickBot="1" x14ac:dyDescent="0.35">
      <c r="A15" s="2"/>
      <c r="F15" s="1" t="s">
        <v>8</v>
      </c>
      <c r="P15" s="13"/>
    </row>
    <row r="16" spans="1:26" ht="16.5" thickTop="1" thickBot="1" x14ac:dyDescent="0.35">
      <c r="A16" s="9" t="s">
        <v>24</v>
      </c>
      <c r="F16" s="1" t="s">
        <v>10</v>
      </c>
    </row>
    <row r="17" spans="1:13" ht="16.5" thickTop="1" thickBot="1" x14ac:dyDescent="0.35">
      <c r="A17" s="2"/>
      <c r="F17" s="1" t="s">
        <v>19</v>
      </c>
    </row>
    <row r="18" spans="1:13" ht="16.5" thickTop="1" thickBot="1" x14ac:dyDescent="0.35">
      <c r="A18" s="17" t="s">
        <v>2</v>
      </c>
      <c r="F18" s="1" t="s">
        <v>449</v>
      </c>
    </row>
    <row r="19" spans="1:13" ht="16.5" thickTop="1" thickBot="1" x14ac:dyDescent="0.35">
      <c r="A19" s="2"/>
    </row>
    <row r="20" spans="1:13" ht="16.5" thickTop="1" thickBot="1" x14ac:dyDescent="0.35">
      <c r="A20" s="17" t="s">
        <v>51</v>
      </c>
      <c r="F20" s="142" t="s">
        <v>11</v>
      </c>
      <c r="G20" s="142"/>
      <c r="H20" s="142"/>
      <c r="I20" s="142"/>
      <c r="J20" s="142"/>
      <c r="K20" s="142"/>
      <c r="L20" s="142"/>
      <c r="M20" s="142"/>
    </row>
    <row r="21" spans="1:13" ht="15.75" thickTop="1" x14ac:dyDescent="0.3">
      <c r="A21" s="2"/>
    </row>
    <row r="22" spans="1:13" x14ac:dyDescent="0.3">
      <c r="A22" s="2"/>
    </row>
    <row r="23" spans="1:13" x14ac:dyDescent="0.3">
      <c r="A23" s="2"/>
    </row>
    <row r="24" spans="1:13" x14ac:dyDescent="0.3">
      <c r="A24" s="2"/>
    </row>
    <row r="25" spans="1:13" x14ac:dyDescent="0.3">
      <c r="A25" s="2"/>
    </row>
    <row r="26" spans="1:13" x14ac:dyDescent="0.3">
      <c r="A26" s="2"/>
    </row>
    <row r="27" spans="1:13" x14ac:dyDescent="0.3">
      <c r="A27" s="2"/>
    </row>
    <row r="28" spans="1:13" x14ac:dyDescent="0.3">
      <c r="A28" s="2"/>
    </row>
    <row r="29" spans="1:13" x14ac:dyDescent="0.3">
      <c r="A29" s="2"/>
    </row>
    <row r="30" spans="1:13" x14ac:dyDescent="0.3">
      <c r="A30" s="2"/>
    </row>
    <row r="31" spans="1:13" x14ac:dyDescent="0.3">
      <c r="A31" s="2"/>
    </row>
    <row r="32" spans="1:13"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6">
    <mergeCell ref="F20:M20"/>
    <mergeCell ref="C1:U1"/>
    <mergeCell ref="C2:U2"/>
    <mergeCell ref="F4:V4"/>
    <mergeCell ref="F8:G8"/>
    <mergeCell ref="F10:I10"/>
  </mergeCells>
  <conditionalFormatting sqref="C7">
    <cfRule type="expression" dxfId="136" priority="4">
      <formula>$D$7</formula>
    </cfRule>
  </conditionalFormatting>
  <conditionalFormatting sqref="C9">
    <cfRule type="expression" dxfId="135" priority="2">
      <formula>$D$7</formula>
    </cfRule>
  </conditionalFormatting>
  <hyperlinks>
    <hyperlink ref="A6" location="Home!A1" display="Home" xr:uid="{00000000-0004-0000-0000-000000000000}"/>
    <hyperlink ref="A8" location="Setup!A1" display="Model set up" xr:uid="{00000000-0004-0000-0000-000001000000}"/>
    <hyperlink ref="A10" location="Population!A1" display="Population" xr:uid="{00000000-0004-0000-0000-000002000000}"/>
    <hyperlink ref="A12" location="Interventions!A1" display="Interventions" xr:uid="{00000000-0004-0000-0000-000003000000}"/>
    <hyperlink ref="A14" location="'Adverse events'!A1" display="Adverse events" xr:uid="{00000000-0004-0000-0000-000004000000}"/>
    <hyperlink ref="A16" location="Costs!A1" display="Costs" xr:uid="{00000000-0004-0000-0000-000005000000}"/>
    <hyperlink ref="A20" location="Sensitivity!A1" display="Sensitivity analysis" xr:uid="{00000000-0004-0000-0000-000006000000}"/>
    <hyperlink ref="A18" location="Results!A1" display="Results" xr:uid="{00000000-0004-0000-0000-000007000000}"/>
  </hyperlinks>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17</xdr:col>
                    <xdr:colOff>219075</xdr:colOff>
                    <xdr:row>3</xdr:row>
                    <xdr:rowOff>38100</xdr:rowOff>
                  </from>
                  <to>
                    <xdr:col>19</xdr:col>
                    <xdr:colOff>247650</xdr:colOff>
                    <xdr:row>3</xdr:row>
                    <xdr:rowOff>238125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3" operator="containsText" id="{4B56FB3C-3930-4CFF-B06F-9F0A9287EDDB}">
            <xm:f>NOT(ISERROR(SEARCH($C$4,A6)))</xm:f>
            <xm:f>$C$4</xm:f>
            <x14:dxf>
              <font>
                <b val="0"/>
                <i val="0"/>
                <strike val="0"/>
                <color theme="0"/>
              </font>
              <fill>
                <patternFill>
                  <bgColor theme="5"/>
                </patternFill>
              </fill>
            </x14:dxf>
          </x14:cfRule>
          <xm:sqref>A6:A17 A21:A41</xm:sqref>
        </x14:conditionalFormatting>
        <x14:conditionalFormatting xmlns:xm="http://schemas.microsoft.com/office/excel/2006/main">
          <x14:cfRule type="containsText" priority="1" operator="containsText" id="{6B539A7D-7A84-4AC6-BAD8-F667F6114B92}">
            <xm:f>NOT(ISERROR(SEARCH($C$4,A18)))</xm:f>
            <xm:f>$C$4</xm:f>
            <x14:dxf>
              <font>
                <b val="0"/>
                <i val="0"/>
                <strike val="0"/>
                <color theme="0"/>
              </font>
              <fill>
                <patternFill>
                  <bgColor theme="5"/>
                </patternFill>
              </fill>
            </x14:dxf>
          </x14:cfRule>
          <xm:sqref>A18:A20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0"/>
  <sheetViews>
    <sheetView workbookViewId="0">
      <selection activeCell="A20" sqref="A20"/>
    </sheetView>
  </sheetViews>
  <sheetFormatPr defaultColWidth="8.625" defaultRowHeight="15" x14ac:dyDescent="0.3"/>
  <cols>
    <col min="1" max="1" width="21" style="1" customWidth="1"/>
    <col min="2" max="6" width="8.625" style="1"/>
    <col min="7" max="7" width="8.5" style="1" customWidth="1"/>
    <col min="8" max="8" width="8.875" style="1" customWidth="1"/>
    <col min="9" max="9" width="8.625" style="1"/>
    <col min="10" max="10" width="9.5" style="1" bestFit="1" customWidth="1"/>
    <col min="11" max="11" width="10.5" style="1" bestFit="1" customWidth="1"/>
    <col min="12" max="12" width="12" style="1" bestFit="1" customWidth="1"/>
    <col min="13"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12</v>
      </c>
      <c r="D4" s="10"/>
      <c r="E4" s="10"/>
      <c r="F4" s="145" t="s">
        <v>76</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6.5" thickTop="1" thickBot="1" x14ac:dyDescent="0.35">
      <c r="A6" s="26" t="s">
        <v>1</v>
      </c>
    </row>
    <row r="7" spans="1:26" ht="16.5" thickTop="1" thickBot="1" x14ac:dyDescent="0.35">
      <c r="A7" s="2"/>
    </row>
    <row r="8" spans="1:26" ht="18" thickTop="1" thickBot="1" x14ac:dyDescent="0.35">
      <c r="A8" s="26" t="s">
        <v>12</v>
      </c>
      <c r="C8" s="29" t="s">
        <v>14</v>
      </c>
      <c r="D8" s="29"/>
      <c r="E8" s="29"/>
      <c r="F8" s="30" t="s">
        <v>65</v>
      </c>
      <c r="G8" s="30" t="s">
        <v>74</v>
      </c>
      <c r="H8" s="30" t="s">
        <v>50</v>
      </c>
      <c r="I8" s="30" t="s">
        <v>77</v>
      </c>
      <c r="J8" s="30" t="s">
        <v>78</v>
      </c>
      <c r="K8" s="29" t="s">
        <v>79</v>
      </c>
      <c r="L8" s="29" t="s">
        <v>64</v>
      </c>
    </row>
    <row r="9" spans="1:26" ht="18" thickTop="1" thickBot="1" x14ac:dyDescent="0.35">
      <c r="A9" s="2"/>
      <c r="C9" s="12"/>
      <c r="D9"/>
      <c r="E9"/>
      <c r="G9" s="31"/>
    </row>
    <row r="10" spans="1:26" ht="16.5" thickTop="1" thickBot="1" x14ac:dyDescent="0.35">
      <c r="A10" s="26" t="s">
        <v>13</v>
      </c>
      <c r="C10" s="11" t="s">
        <v>15</v>
      </c>
      <c r="F10" s="28">
        <v>1</v>
      </c>
      <c r="G10" s="31" t="s">
        <v>17</v>
      </c>
    </row>
    <row r="11" spans="1:26" ht="18" thickTop="1" thickBot="1" x14ac:dyDescent="0.35">
      <c r="A11" s="2"/>
      <c r="C11" s="11" t="s">
        <v>75</v>
      </c>
      <c r="F11" s="33" t="s">
        <v>29</v>
      </c>
      <c r="G11" s="28">
        <v>2016</v>
      </c>
    </row>
    <row r="12" spans="1:26" ht="16.5" thickTop="1" thickBot="1" x14ac:dyDescent="0.35">
      <c r="A12" s="26" t="s">
        <v>22</v>
      </c>
      <c r="C12" s="11" t="s">
        <v>18</v>
      </c>
      <c r="F12" s="28">
        <v>3.5</v>
      </c>
      <c r="G12" s="31" t="s">
        <v>16</v>
      </c>
    </row>
    <row r="13" spans="1:26" ht="16.5" thickTop="1" thickBot="1" x14ac:dyDescent="0.35">
      <c r="A13" s="2"/>
    </row>
    <row r="14" spans="1:26" ht="16.5" thickTop="1" thickBot="1" x14ac:dyDescent="0.35">
      <c r="A14" s="26" t="s">
        <v>132</v>
      </c>
      <c r="C14" s="1" t="s">
        <v>324</v>
      </c>
      <c r="F14" s="14">
        <v>200</v>
      </c>
    </row>
    <row r="15" spans="1:26" ht="16.5" thickTop="1" thickBot="1" x14ac:dyDescent="0.35">
      <c r="A15" s="2"/>
    </row>
    <row r="16" spans="1:26" ht="16.5" thickTop="1" thickBot="1" x14ac:dyDescent="0.35">
      <c r="A16" s="26" t="s">
        <v>24</v>
      </c>
    </row>
    <row r="17" spans="1:1" ht="16.5" thickTop="1" thickBot="1" x14ac:dyDescent="0.35">
      <c r="A17" s="2"/>
    </row>
    <row r="18" spans="1:1" ht="16.5" thickTop="1" thickBot="1" x14ac:dyDescent="0.35">
      <c r="A18" s="26" t="s">
        <v>2</v>
      </c>
    </row>
    <row r="19" spans="1:1" ht="16.5" thickTop="1" thickBot="1" x14ac:dyDescent="0.35">
      <c r="A19" s="2"/>
    </row>
    <row r="20" spans="1:1" ht="16.5" thickTop="1" thickBot="1" x14ac:dyDescent="0.35">
      <c r="A20" s="26" t="s">
        <v>51</v>
      </c>
    </row>
    <row r="21" spans="1:1" ht="15.75" thickTop="1" x14ac:dyDescent="0.3">
      <c r="A21" s="2"/>
    </row>
    <row r="22" spans="1:1" x14ac:dyDescent="0.3">
      <c r="A22" s="2"/>
    </row>
    <row r="23" spans="1:1" x14ac:dyDescent="0.3">
      <c r="A23" s="2"/>
    </row>
    <row r="24" spans="1:1" x14ac:dyDescent="0.3">
      <c r="A24" s="2"/>
    </row>
    <row r="25" spans="1:1" x14ac:dyDescent="0.3">
      <c r="A25" s="2"/>
    </row>
    <row r="26" spans="1:1" x14ac:dyDescent="0.3">
      <c r="A26" s="2"/>
    </row>
    <row r="27" spans="1:1" x14ac:dyDescent="0.3">
      <c r="A27" s="2"/>
    </row>
    <row r="28" spans="1:1" x14ac:dyDescent="0.3">
      <c r="A28" s="2"/>
    </row>
    <row r="29" spans="1:1" x14ac:dyDescent="0.3">
      <c r="A29" s="2"/>
    </row>
    <row r="30" spans="1:1" x14ac:dyDescent="0.3">
      <c r="A30" s="2"/>
    </row>
    <row r="31" spans="1:1" x14ac:dyDescent="0.3">
      <c r="A31" s="2"/>
    </row>
    <row r="32" spans="1:1"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3">
    <mergeCell ref="C1:U1"/>
    <mergeCell ref="C2:U2"/>
    <mergeCell ref="F4:V4"/>
  </mergeCells>
  <conditionalFormatting sqref="C9">
    <cfRule type="expression" dxfId="132" priority="7">
      <formula>$D$9</formula>
    </cfRule>
  </conditionalFormatting>
  <dataValidations count="2">
    <dataValidation type="whole" operator="greaterThan" allowBlank="1" showInputMessage="1" showErrorMessage="1" sqref="F14" xr:uid="{00000000-0002-0000-0100-000000000000}">
      <formula1>0</formula1>
    </dataValidation>
    <dataValidation type="decimal" allowBlank="1" showInputMessage="1" showErrorMessage="1" errorTitle="Positive decimal" error="between 0 and 20" sqref="F12" xr:uid="{00000000-0002-0000-0100-000001000000}">
      <formula1>0</formula1>
      <formula2>20</formula2>
    </dataValidation>
  </dataValidations>
  <hyperlinks>
    <hyperlink ref="A6" location="Home!A1" display="Home" xr:uid="{00000000-0004-0000-0100-000000000000}"/>
    <hyperlink ref="A8" location="Setup!A1" display="Model set up" xr:uid="{00000000-0004-0000-0100-000001000000}"/>
    <hyperlink ref="A10" location="Population!A1" display="Population" xr:uid="{00000000-0004-0000-0100-000002000000}"/>
    <hyperlink ref="A12" location="Interventions!A1" display="Interventions" xr:uid="{00000000-0004-0000-0100-000003000000}"/>
    <hyperlink ref="A14" location="Events!A1" display="Event rates" xr:uid="{00000000-0004-0000-0100-000004000000}"/>
    <hyperlink ref="A16" location="Costs!A1" display="Costs" xr:uid="{00000000-0004-0000-0100-000005000000}"/>
    <hyperlink ref="A20" location="Sensitivity!A1" display="Sensitivity analysis" xr:uid="{00000000-0004-0000-0100-000006000000}"/>
    <hyperlink ref="A18" location="Results!A1" display="Results" xr:uid="{00000000-0004-0000-0100-000007000000}"/>
  </hyperlinks>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_reset">
                <anchor moveWithCells="1" sizeWithCells="1">
                  <from>
                    <xdr:col>17</xdr:col>
                    <xdr:colOff>47625</xdr:colOff>
                    <xdr:row>3</xdr:row>
                    <xdr:rowOff>38100</xdr:rowOff>
                  </from>
                  <to>
                    <xdr:col>18</xdr:col>
                    <xdr:colOff>514350</xdr:colOff>
                    <xdr:row>3</xdr:row>
                    <xdr:rowOff>228600</xdr:rowOff>
                  </to>
                </anchor>
              </controlPr>
            </control>
          </mc:Choice>
        </mc:AlternateContent>
        <mc:AlternateContent xmlns:mc="http://schemas.openxmlformats.org/markup-compatibility/2006">
          <mc:Choice Requires="x14">
            <control shapeId="2052" r:id="rId5" name="Button 4">
              <controlPr defaultSize="0" print="0" autoFill="0" autoPict="0" macro="[0]!inflation_update">
                <anchor moveWithCells="1" sizeWithCells="1">
                  <from>
                    <xdr:col>7</xdr:col>
                    <xdr:colOff>38100</xdr:colOff>
                    <xdr:row>9</xdr:row>
                    <xdr:rowOff>180975</xdr:rowOff>
                  </from>
                  <to>
                    <xdr:col>9</xdr:col>
                    <xdr:colOff>66675</xdr:colOff>
                    <xdr:row>11</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6" operator="containsText" id="{F669A5AE-80AE-4F7C-B0E9-2FDEC065843D}">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containsText" priority="2" operator="containsText" id="{FB62288F-A0A7-40C8-82C2-5E02CE1E1416}">
            <xm:f>NOT(ISERROR(SEARCH($C$4,A12)))</xm:f>
            <xm:f>$C$4</xm:f>
            <x14:dxf>
              <font>
                <b val="0"/>
                <i val="0"/>
                <strike val="0"/>
                <color theme="0"/>
              </font>
              <fill>
                <patternFill>
                  <bgColor theme="5"/>
                </patternFill>
              </fill>
            </x14:dxf>
          </x14:cfRule>
          <xm:sqref>A12:A16</xm:sqref>
        </x14:conditionalFormatting>
        <x14:conditionalFormatting xmlns:xm="http://schemas.microsoft.com/office/excel/2006/main">
          <x14:cfRule type="containsText" priority="1" operator="containsText" id="{25D68793-B118-49DC-B89C-A84F3108F68F}">
            <xm:f>NOT(ISERROR(SEARCH($C$4,A18)))</xm:f>
            <xm:f>$C$4</xm:f>
            <x14:dxf>
              <font>
                <b val="0"/>
                <i val="0"/>
                <strike val="0"/>
                <color theme="0"/>
              </font>
              <fill>
                <patternFill>
                  <bgColor theme="5"/>
                </patternFill>
              </fill>
            </x14:dxf>
          </x14:cfRule>
          <xm:sqref>A18:A20</xm:sqref>
        </x14:conditionalFormatting>
        <x14:conditionalFormatting xmlns:xm="http://schemas.microsoft.com/office/excel/2006/main">
          <x14:cfRule type="containsText" priority="3" operator="containsText" id="{48B2579B-44EB-444A-9580-583FAB9E23A7}">
            <xm:f>NOT(ISERROR(SEARCH($C$4,A6)))</xm:f>
            <xm:f>$C$4</xm:f>
            <x14:dxf>
              <font>
                <b val="0"/>
                <i val="0"/>
                <strike val="0"/>
                <color theme="0"/>
              </font>
              <fill>
                <patternFill>
                  <bgColor theme="5"/>
                </patternFill>
              </fill>
            </x14:dxf>
          </x14:cfRule>
          <xm:sqref>A6:A11 A17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'Cell options'!$E$7:$E$12</xm:f>
          </x14:formula1>
          <xm:sqref>F10</xm:sqref>
        </x14:dataValidation>
        <x14:dataValidation type="list" allowBlank="1" showInputMessage="1" showErrorMessage="1" xr:uid="{00000000-0002-0000-0100-000003000000}">
          <x14:formula1>
            <xm:f>'Cell options'!$J$7:$J$9</xm:f>
          </x14:formula1>
          <xm:sqref>G11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40"/>
  <sheetViews>
    <sheetView workbookViewId="0">
      <selection activeCell="A16" sqref="A16"/>
    </sheetView>
  </sheetViews>
  <sheetFormatPr defaultColWidth="8.625" defaultRowHeight="15" x14ac:dyDescent="0.3"/>
  <cols>
    <col min="1" max="1" width="21" style="1" customWidth="1"/>
    <col min="2" max="2" width="14.375" style="1" customWidth="1"/>
    <col min="3" max="3" width="30.25" style="1" customWidth="1"/>
    <col min="4" max="5" width="3.75" style="1" customWidth="1"/>
    <col min="6" max="6" width="11.625" style="1" customWidth="1"/>
    <col min="7" max="7" width="10.5" style="1" customWidth="1"/>
    <col min="8" max="10" width="11" style="1" customWidth="1"/>
    <col min="11" max="12" width="14.375" style="1" customWidth="1"/>
    <col min="13" max="13" width="8.625" style="1"/>
    <col min="14" max="16" width="3.125" style="1" customWidth="1"/>
    <col min="17"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13</v>
      </c>
      <c r="D4" s="10"/>
      <c r="E4" s="10"/>
      <c r="F4" s="145" t="s">
        <v>450</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8" thickTop="1" thickBot="1" x14ac:dyDescent="0.35">
      <c r="A6" s="26" t="s">
        <v>1</v>
      </c>
      <c r="C6"/>
      <c r="D6"/>
      <c r="E6"/>
      <c r="F6"/>
      <c r="G6"/>
      <c r="H6"/>
      <c r="I6"/>
      <c r="J6"/>
      <c r="K6" s="11"/>
    </row>
    <row r="7" spans="1:26" ht="18" thickTop="1" thickBot="1" x14ac:dyDescent="0.35">
      <c r="A7" s="2"/>
      <c r="C7"/>
      <c r="D7"/>
      <c r="E7"/>
      <c r="F7"/>
      <c r="G7"/>
      <c r="H7"/>
      <c r="I7"/>
      <c r="J7"/>
    </row>
    <row r="8" spans="1:26" ht="18" thickTop="1" thickBot="1" x14ac:dyDescent="0.35">
      <c r="A8" s="26" t="s">
        <v>12</v>
      </c>
      <c r="C8" s="29" t="s">
        <v>14</v>
      </c>
      <c r="D8" s="29"/>
      <c r="E8" s="29"/>
      <c r="F8" s="30" t="s">
        <v>65</v>
      </c>
      <c r="G8" s="30" t="s">
        <v>74</v>
      </c>
      <c r="H8" s="30" t="s">
        <v>50</v>
      </c>
      <c r="I8" s="30" t="s">
        <v>77</v>
      </c>
      <c r="J8" s="30" t="s">
        <v>78</v>
      </c>
      <c r="K8" s="29" t="s">
        <v>79</v>
      </c>
      <c r="L8" s="29" t="s">
        <v>64</v>
      </c>
    </row>
    <row r="9" spans="1:26" ht="18" thickTop="1" thickBot="1" x14ac:dyDescent="0.35">
      <c r="A9" s="2"/>
      <c r="C9" s="12"/>
      <c r="D9" s="25"/>
      <c r="E9" s="25"/>
      <c r="G9" s="31"/>
    </row>
    <row r="10" spans="1:26" ht="18" thickTop="1" thickBot="1" x14ac:dyDescent="0.35">
      <c r="A10" s="26" t="s">
        <v>13</v>
      </c>
      <c r="C10" s="25" t="s">
        <v>21</v>
      </c>
      <c r="D10" s="25"/>
      <c r="E10" s="25"/>
      <c r="F10" s="28">
        <v>73</v>
      </c>
      <c r="G10" s="31" t="s">
        <v>17</v>
      </c>
      <c r="H10" s="31"/>
      <c r="I10" s="28">
        <v>69</v>
      </c>
      <c r="J10" s="28">
        <v>78</v>
      </c>
    </row>
    <row r="11" spans="1:26" ht="18" thickTop="1" thickBot="1" x14ac:dyDescent="0.35">
      <c r="A11" s="2"/>
      <c r="C11" s="25" t="s">
        <v>85</v>
      </c>
      <c r="D11" s="25"/>
      <c r="E11" s="25"/>
      <c r="F11" s="28">
        <v>29.8</v>
      </c>
      <c r="G11" s="31" t="s">
        <v>16</v>
      </c>
      <c r="H11" s="131">
        <v>0.17740017683209866</v>
      </c>
    </row>
    <row r="12" spans="1:26" ht="18" thickTop="1" thickBot="1" x14ac:dyDescent="0.35">
      <c r="A12" s="26" t="s">
        <v>22</v>
      </c>
      <c r="C12" s="25" t="s">
        <v>83</v>
      </c>
      <c r="D12" s="35"/>
      <c r="E12" s="25"/>
      <c r="F12" s="28">
        <v>35</v>
      </c>
      <c r="G12" s="31" t="s">
        <v>16</v>
      </c>
      <c r="H12" s="131">
        <v>0.48423933595664698</v>
      </c>
    </row>
    <row r="13" spans="1:26" ht="18" thickTop="1" thickBot="1" x14ac:dyDescent="0.35">
      <c r="A13" s="2"/>
      <c r="C13" s="25" t="s">
        <v>84</v>
      </c>
      <c r="D13" s="35"/>
      <c r="E13" s="25"/>
      <c r="F13" s="28">
        <v>6</v>
      </c>
      <c r="G13" s="31" t="s">
        <v>16</v>
      </c>
      <c r="H13" s="131">
        <v>0.24110649897219599</v>
      </c>
      <c r="I13"/>
      <c r="J13"/>
    </row>
    <row r="14" spans="1:26" ht="18" thickTop="1" thickBot="1" x14ac:dyDescent="0.35">
      <c r="A14" s="26" t="s">
        <v>132</v>
      </c>
      <c r="C14" s="25" t="s">
        <v>86</v>
      </c>
      <c r="D14" s="25"/>
      <c r="E14" s="25"/>
      <c r="F14" s="28">
        <v>45.2</v>
      </c>
      <c r="G14" s="31" t="s">
        <v>16</v>
      </c>
      <c r="H14" s="132">
        <v>0.19303535425516741</v>
      </c>
      <c r="I14"/>
      <c r="J14"/>
    </row>
    <row r="15" spans="1:26" ht="18" thickTop="1" thickBot="1" x14ac:dyDescent="0.35">
      <c r="A15" s="2"/>
      <c r="H15"/>
      <c r="I15"/>
      <c r="J15"/>
    </row>
    <row r="16" spans="1:26" ht="18" thickTop="1" thickBot="1" x14ac:dyDescent="0.35">
      <c r="A16" s="26" t="s">
        <v>24</v>
      </c>
      <c r="I16"/>
      <c r="J16"/>
      <c r="L16" s="25"/>
    </row>
    <row r="17" spans="1:12" ht="18" thickTop="1" thickBot="1" x14ac:dyDescent="0.35">
      <c r="A17" s="2"/>
      <c r="I17"/>
      <c r="J17"/>
      <c r="L17" s="25"/>
    </row>
    <row r="18" spans="1:12" ht="16.5" thickTop="1" thickBot="1" x14ac:dyDescent="0.35">
      <c r="A18" s="26" t="s">
        <v>2</v>
      </c>
    </row>
    <row r="19" spans="1:12" ht="16.5" thickTop="1" thickBot="1" x14ac:dyDescent="0.35">
      <c r="A19" s="2"/>
    </row>
    <row r="20" spans="1:12" ht="16.5" thickTop="1" thickBot="1" x14ac:dyDescent="0.35">
      <c r="A20" s="26" t="s">
        <v>51</v>
      </c>
    </row>
    <row r="21" spans="1:12" ht="15.75" thickTop="1" x14ac:dyDescent="0.3">
      <c r="A21" s="2"/>
    </row>
    <row r="22" spans="1:12" x14ac:dyDescent="0.3">
      <c r="A22" s="2"/>
    </row>
    <row r="23" spans="1:12" x14ac:dyDescent="0.3">
      <c r="A23" s="2"/>
    </row>
    <row r="24" spans="1:12" x14ac:dyDescent="0.3">
      <c r="A24" s="2"/>
    </row>
    <row r="25" spans="1:12" x14ac:dyDescent="0.3">
      <c r="A25" s="2"/>
    </row>
    <row r="26" spans="1:12" x14ac:dyDescent="0.3">
      <c r="A26" s="2"/>
    </row>
    <row r="27" spans="1:12" x14ac:dyDescent="0.3">
      <c r="A27" s="2"/>
    </row>
    <row r="28" spans="1:12" x14ac:dyDescent="0.3">
      <c r="A28" s="2"/>
    </row>
    <row r="29" spans="1:12" x14ac:dyDescent="0.3">
      <c r="A29" s="2"/>
    </row>
    <row r="30" spans="1:12" x14ac:dyDescent="0.3">
      <c r="A30" s="2"/>
    </row>
    <row r="31" spans="1:12" x14ac:dyDescent="0.3">
      <c r="A31" s="2"/>
    </row>
    <row r="32" spans="1:12"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3">
    <mergeCell ref="C1:U1"/>
    <mergeCell ref="C2:U2"/>
    <mergeCell ref="F4:V4"/>
  </mergeCells>
  <conditionalFormatting sqref="C9">
    <cfRule type="expression" dxfId="127" priority="4">
      <formula>$D$9</formula>
    </cfRule>
  </conditionalFormatting>
  <dataValidations count="6">
    <dataValidation type="decimal" allowBlank="1" showInputMessage="1" showErrorMessage="1" errorTitle="Positive value" error="Between 0 and the mean value entered" sqref="I10" xr:uid="{00000000-0002-0000-0200-000000000000}">
      <formula1>0</formula1>
      <formula2>F10</formula2>
    </dataValidation>
    <dataValidation type="decimal" allowBlank="1" showInputMessage="1" showErrorMessage="1" errorTitle="Positive value" error="between the mean value entered and 100" sqref="J10" xr:uid="{00000000-0002-0000-0200-000001000000}">
      <formula1>F10</formula1>
      <formula2>100</formula2>
    </dataValidation>
    <dataValidation type="decimal" operator="greaterThan" allowBlank="1" showInputMessage="1" showErrorMessage="1" errorTitle="Positive value" error="Greater than 0" sqref="H11:H14" xr:uid="{00000000-0002-0000-0200-000002000000}">
      <formula1>0</formula1>
    </dataValidation>
    <dataValidation type="decimal" allowBlank="1" showInputMessage="1" showErrorMessage="1" errorTitle="Decimal value" error="between 0 and 100" sqref="F11:F12 F14" xr:uid="{00000000-0002-0000-0200-000003000000}">
      <formula1>0</formula1>
      <formula2>100</formula2>
    </dataValidation>
    <dataValidation type="decimal" allowBlank="1" showInputMessage="1" showErrorMessage="1" errorTitle="Decimal value" error="between 0 and 100 minus %-obese" sqref="F13" xr:uid="{00000000-0002-0000-0200-000004000000}">
      <formula1>0</formula1>
      <formula2>100-F13</formula2>
    </dataValidation>
    <dataValidation type="decimal" allowBlank="1" showInputMessage="1" showErrorMessage="1" errorTitle="Value erro2" error="Must be between 1 and 99" sqref="F10" xr:uid="{00000000-0002-0000-0200-000005000000}">
      <formula1>1</formula1>
      <formula2>99</formula2>
    </dataValidation>
  </dataValidations>
  <hyperlinks>
    <hyperlink ref="A6" location="Home!A1" display="Home" xr:uid="{00000000-0004-0000-0200-000000000000}"/>
    <hyperlink ref="A8" location="Setup!A1" display="Model set up" xr:uid="{00000000-0004-0000-0200-000001000000}"/>
    <hyperlink ref="A10" location="Population!A1" display="Population" xr:uid="{00000000-0004-0000-0200-000002000000}"/>
    <hyperlink ref="A12" location="Interventions!A1" display="Interventions" xr:uid="{00000000-0004-0000-0200-000003000000}"/>
    <hyperlink ref="A14" location="Events!A1" display="Event rates" xr:uid="{00000000-0004-0000-0200-000004000000}"/>
    <hyperlink ref="A16" location="Costs!A1" display="Costs" xr:uid="{00000000-0004-0000-0200-000005000000}"/>
    <hyperlink ref="A20" location="Sensitivity!A1" display="Sensitivity analysis" xr:uid="{00000000-0004-0000-0200-000006000000}"/>
    <hyperlink ref="A18" location="Results!A1" display="Results" xr:uid="{00000000-0004-0000-0200-000007000000}"/>
  </hyperlinks>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_reset">
                <anchor moveWithCells="1" sizeWithCells="1">
                  <from>
                    <xdr:col>17</xdr:col>
                    <xdr:colOff>133350</xdr:colOff>
                    <xdr:row>3</xdr:row>
                    <xdr:rowOff>38100</xdr:rowOff>
                  </from>
                  <to>
                    <xdr:col>19</xdr:col>
                    <xdr:colOff>19050</xdr:colOff>
                    <xdr:row>3</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7" operator="containsText" id="{AE194A2D-E405-485A-8D43-DE7B408F8D92}">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containsText" priority="3" operator="containsText" id="{1B599263-D3DC-479C-8CB3-AD95A1731053}">
            <xm:f>NOT(ISERROR(SEARCH($C$4,A6)))</xm:f>
            <xm:f>$C$4</xm:f>
            <x14:dxf>
              <font>
                <b val="0"/>
                <i val="0"/>
                <strike val="0"/>
                <color theme="0"/>
              </font>
              <fill>
                <patternFill>
                  <bgColor theme="5"/>
                </patternFill>
              </fill>
            </x14:dxf>
          </x14:cfRule>
          <xm:sqref>A6:A11 A17</xm:sqref>
        </x14:conditionalFormatting>
        <x14:conditionalFormatting xmlns:xm="http://schemas.microsoft.com/office/excel/2006/main">
          <x14:cfRule type="containsText" priority="2" operator="containsText" id="{2D27F07E-C9CB-4B64-80E9-7DF84DF393F0}">
            <xm:f>NOT(ISERROR(SEARCH($C$4,A12)))</xm:f>
            <xm:f>$C$4</xm:f>
            <x14:dxf>
              <font>
                <b val="0"/>
                <i val="0"/>
                <strike val="0"/>
                <color theme="0"/>
              </font>
              <fill>
                <patternFill>
                  <bgColor theme="5"/>
                </patternFill>
              </fill>
            </x14:dxf>
          </x14:cfRule>
          <xm:sqref>A12:A16</xm:sqref>
        </x14:conditionalFormatting>
        <x14:conditionalFormatting xmlns:xm="http://schemas.microsoft.com/office/excel/2006/main">
          <x14:cfRule type="containsText" priority="1" operator="containsText" id="{AF691E75-FD4B-4294-A3A2-989007064450}">
            <xm:f>NOT(ISERROR(SEARCH($C$4,A18)))</xm:f>
            <xm:f>$C$4</xm:f>
            <x14:dxf>
              <font>
                <b val="0"/>
                <i val="0"/>
                <strike val="0"/>
                <color theme="0"/>
              </font>
              <fill>
                <patternFill>
                  <bgColor theme="5"/>
                </patternFill>
              </fill>
            </x14:dxf>
          </x14:cfRule>
          <xm:sqref>A18:A20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Z40"/>
  <sheetViews>
    <sheetView workbookViewId="0">
      <selection activeCell="A14" sqref="A14"/>
    </sheetView>
  </sheetViews>
  <sheetFormatPr defaultColWidth="8.625" defaultRowHeight="15" x14ac:dyDescent="0.3"/>
  <cols>
    <col min="1" max="1" width="21" style="1" customWidth="1"/>
    <col min="2" max="5" width="8.625" style="1"/>
    <col min="6" max="6" width="11.125" style="1" customWidth="1"/>
    <col min="7" max="7" width="15.625" style="1" bestFit="1" customWidth="1"/>
    <col min="8" max="11" width="8.625" style="1"/>
    <col min="12" max="12" width="43.75" style="1" bestFit="1" customWidth="1"/>
    <col min="13"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22</v>
      </c>
      <c r="D4" s="10"/>
      <c r="E4" s="10"/>
      <c r="F4" s="145" t="s">
        <v>353</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8" thickTop="1" thickBot="1" x14ac:dyDescent="0.35">
      <c r="A6" s="26" t="s">
        <v>1</v>
      </c>
      <c r="C6"/>
      <c r="D6"/>
      <c r="E6"/>
      <c r="F6"/>
      <c r="G6"/>
      <c r="H6"/>
      <c r="I6"/>
      <c r="J6"/>
      <c r="K6"/>
      <c r="L6"/>
      <c r="M6"/>
      <c r="N6"/>
      <c r="O6"/>
      <c r="P6"/>
      <c r="Q6"/>
      <c r="R6"/>
      <c r="S6"/>
      <c r="T6"/>
      <c r="U6"/>
      <c r="V6"/>
    </row>
    <row r="7" spans="1:26" ht="18" thickTop="1" thickBot="1" x14ac:dyDescent="0.35">
      <c r="A7" s="2"/>
      <c r="C7"/>
      <c r="D7"/>
      <c r="E7"/>
      <c r="F7"/>
      <c r="G7"/>
      <c r="H7"/>
      <c r="I7"/>
      <c r="J7"/>
      <c r="K7"/>
      <c r="L7"/>
      <c r="M7"/>
      <c r="N7"/>
      <c r="O7"/>
      <c r="P7"/>
      <c r="Q7"/>
      <c r="R7"/>
      <c r="S7"/>
      <c r="T7"/>
      <c r="U7"/>
      <c r="V7"/>
    </row>
    <row r="8" spans="1:26" ht="18" thickTop="1" thickBot="1" x14ac:dyDescent="0.35">
      <c r="A8" s="26" t="s">
        <v>12</v>
      </c>
      <c r="C8" s="29" t="s">
        <v>114</v>
      </c>
      <c r="D8" s="29"/>
      <c r="E8" s="29"/>
      <c r="F8" s="30" t="s">
        <v>65</v>
      </c>
      <c r="G8" s="30" t="s">
        <v>74</v>
      </c>
      <c r="H8" s="30" t="s">
        <v>50</v>
      </c>
      <c r="I8" s="30" t="s">
        <v>77</v>
      </c>
      <c r="J8" s="30" t="s">
        <v>78</v>
      </c>
      <c r="K8" s="29" t="s">
        <v>79</v>
      </c>
      <c r="L8" s="29" t="s">
        <v>64</v>
      </c>
      <c r="M8"/>
      <c r="N8"/>
      <c r="O8"/>
      <c r="P8"/>
      <c r="Q8"/>
      <c r="R8"/>
      <c r="S8"/>
      <c r="T8"/>
      <c r="U8"/>
      <c r="V8"/>
    </row>
    <row r="9" spans="1:26" ht="18" thickTop="1" thickBot="1" x14ac:dyDescent="0.35">
      <c r="A9" s="2"/>
      <c r="C9" s="12"/>
      <c r="D9" s="25"/>
      <c r="E9" s="25"/>
      <c r="G9" s="31"/>
      <c r="M9"/>
      <c r="N9"/>
      <c r="O9"/>
      <c r="P9"/>
      <c r="Q9"/>
      <c r="R9"/>
      <c r="S9"/>
      <c r="T9"/>
      <c r="U9"/>
      <c r="V9"/>
    </row>
    <row r="10" spans="1:26" ht="18" thickTop="1" thickBot="1" x14ac:dyDescent="0.35">
      <c r="A10" s="26" t="s">
        <v>13</v>
      </c>
      <c r="C10" s="11" t="s">
        <v>161</v>
      </c>
      <c r="F10" s="28">
        <v>75</v>
      </c>
      <c r="G10" s="31" t="s">
        <v>29</v>
      </c>
      <c r="H10" s="28">
        <v>2</v>
      </c>
      <c r="M10"/>
      <c r="N10"/>
      <c r="O10"/>
      <c r="P10"/>
      <c r="Q10"/>
      <c r="R10"/>
      <c r="S10"/>
      <c r="T10"/>
      <c r="U10"/>
      <c r="V10"/>
    </row>
    <row r="11" spans="1:26" ht="18" thickTop="1" thickBot="1" x14ac:dyDescent="0.35">
      <c r="A11" s="2"/>
      <c r="C11" s="11" t="s">
        <v>116</v>
      </c>
      <c r="F11" s="28">
        <v>20</v>
      </c>
      <c r="I11" s="28">
        <v>15</v>
      </c>
      <c r="J11" s="28">
        <v>30</v>
      </c>
      <c r="M11"/>
      <c r="N11"/>
      <c r="O11"/>
      <c r="P11"/>
      <c r="Q11"/>
      <c r="R11"/>
      <c r="S11"/>
      <c r="T11"/>
      <c r="U11"/>
      <c r="V11"/>
    </row>
    <row r="12" spans="1:26" ht="18" thickTop="1" thickBot="1" x14ac:dyDescent="0.35">
      <c r="A12" s="26" t="s">
        <v>22</v>
      </c>
      <c r="C12" s="11"/>
      <c r="G12" s="31"/>
      <c r="M12"/>
      <c r="N12"/>
      <c r="O12"/>
      <c r="P12"/>
      <c r="Q12"/>
      <c r="R12"/>
      <c r="S12"/>
      <c r="T12"/>
      <c r="U12"/>
      <c r="V12"/>
    </row>
    <row r="13" spans="1:26" ht="18" thickTop="1" thickBot="1" x14ac:dyDescent="0.35">
      <c r="A13" s="2"/>
      <c r="C13" s="11" t="s">
        <v>117</v>
      </c>
      <c r="D13"/>
      <c r="E13"/>
      <c r="F13" s="28">
        <v>160</v>
      </c>
      <c r="G13" s="31" t="s">
        <v>29</v>
      </c>
      <c r="H13" s="28">
        <v>10</v>
      </c>
      <c r="K13"/>
      <c r="L13"/>
      <c r="M13"/>
      <c r="N13"/>
      <c r="O13"/>
      <c r="P13"/>
      <c r="Q13"/>
      <c r="R13"/>
      <c r="S13"/>
      <c r="T13"/>
      <c r="U13"/>
      <c r="V13"/>
    </row>
    <row r="14" spans="1:26" ht="18" thickTop="1" thickBot="1" x14ac:dyDescent="0.35">
      <c r="A14" s="26" t="s">
        <v>132</v>
      </c>
      <c r="C14" s="11" t="s">
        <v>116</v>
      </c>
      <c r="D14"/>
      <c r="E14"/>
      <c r="F14" s="28">
        <v>30</v>
      </c>
      <c r="I14" s="28">
        <v>20</v>
      </c>
      <c r="J14" s="28">
        <v>40</v>
      </c>
      <c r="K14"/>
      <c r="L14"/>
      <c r="M14"/>
      <c r="N14"/>
      <c r="O14"/>
      <c r="P14"/>
      <c r="Q14"/>
      <c r="R14"/>
      <c r="S14"/>
      <c r="T14"/>
      <c r="U14"/>
      <c r="V14"/>
    </row>
    <row r="15" spans="1:26" ht="18" thickTop="1" thickBot="1" x14ac:dyDescent="0.35">
      <c r="A15" s="2"/>
      <c r="C15"/>
      <c r="D15"/>
      <c r="E15"/>
      <c r="F15"/>
      <c r="G15"/>
      <c r="H15"/>
      <c r="I15"/>
      <c r="J15"/>
      <c r="K15"/>
      <c r="L15"/>
      <c r="M15"/>
      <c r="N15"/>
      <c r="O15"/>
      <c r="P15"/>
      <c r="Q15"/>
      <c r="R15"/>
      <c r="S15"/>
      <c r="T15"/>
      <c r="U15"/>
      <c r="V15"/>
    </row>
    <row r="16" spans="1:26" ht="18" thickTop="1" thickBot="1" x14ac:dyDescent="0.35">
      <c r="A16" s="26" t="s">
        <v>24</v>
      </c>
      <c r="C16" s="11" t="s">
        <v>118</v>
      </c>
      <c r="D16"/>
      <c r="E16"/>
      <c r="F16" s="42">
        <f>(F10/F11)+(F13/F14)</f>
        <v>9.0833333333333321</v>
      </c>
      <c r="I16" s="42">
        <f>(F10/J11)+(F13/J14)</f>
        <v>6.5</v>
      </c>
      <c r="J16" s="42">
        <f>(F10/I11)+(F13/I14)</f>
        <v>13</v>
      </c>
      <c r="K16"/>
      <c r="L16"/>
      <c r="M16"/>
      <c r="N16"/>
      <c r="O16"/>
      <c r="P16"/>
      <c r="Q16"/>
      <c r="R16"/>
      <c r="S16"/>
      <c r="T16"/>
      <c r="U16"/>
      <c r="V16"/>
    </row>
    <row r="17" spans="1:22" ht="18" thickTop="1" thickBot="1" x14ac:dyDescent="0.35">
      <c r="A17" s="2"/>
      <c r="C17" s="11" t="s">
        <v>156</v>
      </c>
      <c r="D17"/>
      <c r="E17"/>
      <c r="F17" s="40">
        <v>100</v>
      </c>
      <c r="G17" t="s">
        <v>157</v>
      </c>
      <c r="H17" s="28">
        <v>0.1</v>
      </c>
      <c r="I17"/>
      <c r="J17"/>
      <c r="K17"/>
      <c r="L17"/>
      <c r="M17"/>
      <c r="N17"/>
      <c r="O17"/>
      <c r="P17"/>
      <c r="Q17"/>
      <c r="R17"/>
      <c r="S17"/>
      <c r="T17"/>
      <c r="U17"/>
      <c r="V17"/>
    </row>
    <row r="18" spans="1:22" ht="18" thickTop="1" thickBot="1" x14ac:dyDescent="0.35">
      <c r="A18" s="26" t="s">
        <v>2</v>
      </c>
      <c r="C18" s="11" t="s">
        <v>119</v>
      </c>
      <c r="D18"/>
      <c r="E18"/>
      <c r="F18" s="16" t="s">
        <v>79</v>
      </c>
      <c r="G18"/>
      <c r="H18"/>
      <c r="I18"/>
      <c r="J18"/>
      <c r="K18"/>
      <c r="L18"/>
      <c r="M18"/>
      <c r="N18"/>
      <c r="O18"/>
      <c r="P18"/>
      <c r="Q18"/>
      <c r="R18"/>
      <c r="S18"/>
      <c r="T18"/>
      <c r="U18"/>
      <c r="V18"/>
    </row>
    <row r="19" spans="1:22" ht="18" thickTop="1" thickBot="1" x14ac:dyDescent="0.35">
      <c r="A19" s="2"/>
      <c r="C19"/>
      <c r="D19"/>
      <c r="E19"/>
      <c r="F19"/>
      <c r="G19"/>
      <c r="H19"/>
      <c r="I19"/>
      <c r="J19"/>
      <c r="K19"/>
      <c r="L19"/>
      <c r="M19"/>
      <c r="N19"/>
      <c r="O19"/>
      <c r="P19"/>
      <c r="Q19"/>
      <c r="R19"/>
      <c r="S19"/>
      <c r="T19"/>
      <c r="U19"/>
      <c r="V19"/>
    </row>
    <row r="20" spans="1:22" ht="18" thickTop="1" thickBot="1" x14ac:dyDescent="0.35">
      <c r="A20" s="26" t="s">
        <v>51</v>
      </c>
      <c r="C20" s="29" t="s">
        <v>120</v>
      </c>
      <c r="D20" s="29"/>
      <c r="E20" s="29"/>
      <c r="F20" s="30" t="s">
        <v>65</v>
      </c>
      <c r="G20" s="30" t="s">
        <v>74</v>
      </c>
      <c r="H20" s="30" t="s">
        <v>50</v>
      </c>
      <c r="I20" s="30" t="s">
        <v>77</v>
      </c>
      <c r="J20" s="30" t="s">
        <v>78</v>
      </c>
      <c r="K20" s="29" t="s">
        <v>79</v>
      </c>
      <c r="L20" s="29" t="s">
        <v>64</v>
      </c>
      <c r="M20"/>
      <c r="N20"/>
      <c r="O20"/>
      <c r="P20"/>
      <c r="Q20"/>
      <c r="R20"/>
      <c r="S20"/>
      <c r="T20"/>
      <c r="U20"/>
      <c r="V20"/>
    </row>
    <row r="21" spans="1:22" ht="17.25" thickTop="1" x14ac:dyDescent="0.3">
      <c r="A21" s="2"/>
      <c r="C21"/>
      <c r="D21"/>
      <c r="E21"/>
      <c r="F21"/>
      <c r="G21"/>
      <c r="H21"/>
      <c r="I21"/>
      <c r="J21"/>
      <c r="K21"/>
      <c r="L21"/>
      <c r="M21"/>
      <c r="N21"/>
      <c r="O21"/>
      <c r="P21"/>
      <c r="Q21"/>
      <c r="R21"/>
      <c r="S21"/>
      <c r="T21"/>
      <c r="U21"/>
      <c r="V21"/>
    </row>
    <row r="22" spans="1:22" ht="16.5" x14ac:dyDescent="0.3">
      <c r="A22" s="2"/>
      <c r="C22" t="s">
        <v>115</v>
      </c>
      <c r="D22"/>
      <c r="E22"/>
      <c r="F22" s="40">
        <v>15</v>
      </c>
      <c r="G22" s="31" t="s">
        <v>29</v>
      </c>
      <c r="H22" s="28">
        <v>2</v>
      </c>
      <c r="I22"/>
      <c r="J22"/>
      <c r="K22"/>
      <c r="M22"/>
      <c r="N22"/>
      <c r="O22"/>
      <c r="P22"/>
      <c r="Q22"/>
      <c r="R22"/>
      <c r="S22"/>
      <c r="T22"/>
      <c r="U22"/>
      <c r="V22"/>
    </row>
    <row r="23" spans="1:22" ht="16.5" x14ac:dyDescent="0.3">
      <c r="A23" s="2"/>
      <c r="C23" t="s">
        <v>158</v>
      </c>
      <c r="D23"/>
      <c r="E23"/>
      <c r="F23" s="41">
        <f>100-F17</f>
        <v>0</v>
      </c>
      <c r="G23"/>
      <c r="H23"/>
      <c r="I23"/>
      <c r="J23"/>
      <c r="K23"/>
      <c r="L23"/>
      <c r="M23"/>
      <c r="N23"/>
      <c r="O23"/>
      <c r="P23"/>
      <c r="Q23"/>
      <c r="R23"/>
      <c r="S23"/>
      <c r="T23"/>
      <c r="U23"/>
      <c r="V23"/>
    </row>
    <row r="24" spans="1:22" x14ac:dyDescent="0.3">
      <c r="A24" s="2"/>
      <c r="C24" s="1" t="s">
        <v>159</v>
      </c>
      <c r="F24" s="40">
        <v>100</v>
      </c>
      <c r="G24" s="1" t="s">
        <v>160</v>
      </c>
      <c r="I24" s="28">
        <v>99</v>
      </c>
      <c r="J24" s="28">
        <v>100</v>
      </c>
    </row>
    <row r="25" spans="1:22" x14ac:dyDescent="0.3">
      <c r="A25" s="2"/>
    </row>
    <row r="26" spans="1:22" x14ac:dyDescent="0.3">
      <c r="A26" s="2"/>
      <c r="C26" s="1" t="s">
        <v>122</v>
      </c>
      <c r="F26" s="28">
        <v>0.74</v>
      </c>
      <c r="G26" s="1" t="s">
        <v>151</v>
      </c>
      <c r="I26" s="28">
        <v>0.63</v>
      </c>
      <c r="J26" s="28">
        <v>0.88</v>
      </c>
    </row>
    <row r="27" spans="1:22" x14ac:dyDescent="0.3">
      <c r="A27" s="2"/>
      <c r="C27" s="1" t="s">
        <v>123</v>
      </c>
      <c r="F27" s="28">
        <v>0.81</v>
      </c>
      <c r="G27" s="1" t="s">
        <v>121</v>
      </c>
      <c r="I27" s="28">
        <v>0.63</v>
      </c>
      <c r="J27" s="28">
        <v>1.06</v>
      </c>
    </row>
    <row r="28" spans="1:22" x14ac:dyDescent="0.3">
      <c r="A28" s="2"/>
      <c r="C28" s="1" t="s">
        <v>124</v>
      </c>
      <c r="F28" s="28">
        <v>0.71</v>
      </c>
      <c r="G28" s="1" t="s">
        <v>121</v>
      </c>
      <c r="I28" s="28">
        <v>0.53</v>
      </c>
      <c r="J28" s="28">
        <v>0.96</v>
      </c>
    </row>
    <row r="29" spans="1:22" x14ac:dyDescent="0.3">
      <c r="A29" s="2"/>
    </row>
    <row r="30" spans="1:22" x14ac:dyDescent="0.3">
      <c r="A30" s="2"/>
    </row>
    <row r="31" spans="1:22" x14ac:dyDescent="0.3">
      <c r="A31" s="2"/>
    </row>
    <row r="32" spans="1:22"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3">
    <mergeCell ref="C1:U1"/>
    <mergeCell ref="C2:U2"/>
    <mergeCell ref="F4:V4"/>
  </mergeCells>
  <conditionalFormatting sqref="C9">
    <cfRule type="expression" dxfId="122" priority="4">
      <formula>$D$9</formula>
    </cfRule>
  </conditionalFormatting>
  <dataValidations count="6">
    <dataValidation type="decimal" operator="greaterThan" allowBlank="1" showInputMessage="1" showErrorMessage="1" errorTitle="Positive value" error="Greater than 0" sqref="H10 H13 H17 H22" xr:uid="{00000000-0002-0000-0300-000000000000}">
      <formula1>0</formula1>
    </dataValidation>
    <dataValidation type="decimal" allowBlank="1" showInputMessage="1" showErrorMessage="1" errorTitle="Positive value" error="between the mean value entered and 100" sqref="J11 J14 J24 J26:J28" xr:uid="{00000000-0002-0000-0300-000001000000}">
      <formula1>F11</formula1>
      <formula2>100</formula2>
    </dataValidation>
    <dataValidation type="decimal" allowBlank="1" showInputMessage="1" showErrorMessage="1" errorTitle="Positive value" error="Between 0 and the mean value entered" sqref="I26 I11 I24 I27:I28 I14" xr:uid="{00000000-0002-0000-0300-000002000000}">
      <formula1>0</formula1>
      <formula2>F11</formula2>
    </dataValidation>
    <dataValidation type="decimal" allowBlank="1" showInputMessage="1" showErrorMessage="1" errorTitle="Decimal value" error="between 0 and 100" sqref="F17 F24" xr:uid="{00000000-0002-0000-0300-000003000000}">
      <formula1>0</formula1>
      <formula2>100</formula2>
    </dataValidation>
    <dataValidation type="decimal" operator="greaterThanOrEqual" allowBlank="1" showInputMessage="1" showErrorMessage="1" errorTitle="Value error" error="Must be greater than or equal to zero (0)" sqref="F10:F11 F13:F14 F22" xr:uid="{00000000-0002-0000-0300-000004000000}">
      <formula1>0</formula1>
    </dataValidation>
    <dataValidation type="decimal" allowBlank="1" showInputMessage="1" showErrorMessage="1" errorTitle="Value error" error="Range allowed is 0.01 to 20" sqref="F26:F28" xr:uid="{00000000-0002-0000-0300-000005000000}">
      <formula1>0.01</formula1>
      <formula2>20</formula2>
    </dataValidation>
  </dataValidations>
  <hyperlinks>
    <hyperlink ref="A6" location="Home!A1" display="Home" xr:uid="{00000000-0004-0000-0300-000000000000}"/>
    <hyperlink ref="A8" location="Setup!A1" display="Model set up" xr:uid="{00000000-0004-0000-0300-000001000000}"/>
    <hyperlink ref="A10" location="Population!A1" display="Population" xr:uid="{00000000-0004-0000-0300-000002000000}"/>
    <hyperlink ref="A12" location="Interventions!A1" display="Interventions" xr:uid="{00000000-0004-0000-0300-000003000000}"/>
    <hyperlink ref="A14" location="Events!A1" display="Event rates" xr:uid="{00000000-0004-0000-0300-000004000000}"/>
    <hyperlink ref="A16" location="Costs!A1" display="Costs" xr:uid="{00000000-0004-0000-0300-000005000000}"/>
    <hyperlink ref="A20" location="Sensitivity!A1" display="Sensitivity analysis" xr:uid="{00000000-0004-0000-0300-000006000000}"/>
    <hyperlink ref="A18" location="Results!A1" display="Results" xr:uid="{00000000-0004-0000-0300-000007000000}"/>
  </hyperlink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Sheet_reset">
                <anchor moveWithCells="1" sizeWithCells="1">
                  <from>
                    <xdr:col>17</xdr:col>
                    <xdr:colOff>180975</xdr:colOff>
                    <xdr:row>3</xdr:row>
                    <xdr:rowOff>38100</xdr:rowOff>
                  </from>
                  <to>
                    <xdr:col>19</xdr:col>
                    <xdr:colOff>57150</xdr:colOff>
                    <xdr:row>3</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71" operator="containsText" id="{3AA3B937-8E04-41AE-80F2-6CB70E146DDE}">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containsText" priority="2" operator="containsText" id="{CAF3064F-BE33-4BE0-BB51-4F4B9FBB94D9}">
            <xm:f>NOT(ISERROR(SEARCH($C$4,A12)))</xm:f>
            <xm:f>$C$4</xm:f>
            <x14:dxf>
              <font>
                <b val="0"/>
                <i val="0"/>
                <strike val="0"/>
                <color theme="0"/>
              </font>
              <fill>
                <patternFill>
                  <bgColor theme="5"/>
                </patternFill>
              </fill>
            </x14:dxf>
          </x14:cfRule>
          <xm:sqref>A12:A16</xm:sqref>
        </x14:conditionalFormatting>
        <x14:conditionalFormatting xmlns:xm="http://schemas.microsoft.com/office/excel/2006/main">
          <x14:cfRule type="containsText" priority="3" operator="containsText" id="{BDE5624E-05BB-4D39-929A-E7750A3A1777}">
            <xm:f>NOT(ISERROR(SEARCH($C$4,A6)))</xm:f>
            <xm:f>$C$4</xm:f>
            <x14:dxf>
              <font>
                <b val="0"/>
                <i val="0"/>
                <strike val="0"/>
                <color theme="0"/>
              </font>
              <fill>
                <patternFill>
                  <bgColor theme="5"/>
                </patternFill>
              </fill>
            </x14:dxf>
          </x14:cfRule>
          <xm:sqref>A6:A11 A17</xm:sqref>
        </x14:conditionalFormatting>
        <x14:conditionalFormatting xmlns:xm="http://schemas.microsoft.com/office/excel/2006/main">
          <x14:cfRule type="containsText" priority="1" operator="containsText" id="{3D507CFA-D200-4658-BB35-9A3F80051ECE}">
            <xm:f>NOT(ISERROR(SEARCH($C$4,A18)))</xm:f>
            <xm:f>$C$4</xm:f>
            <x14:dxf>
              <font>
                <b val="0"/>
                <i val="0"/>
                <strike val="0"/>
                <color theme="0"/>
              </font>
              <fill>
                <patternFill>
                  <bgColor theme="5"/>
                </patternFill>
              </fill>
            </x14:dxf>
          </x14:cfRule>
          <xm:sqref>A18:A20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Z40"/>
  <sheetViews>
    <sheetView workbookViewId="0">
      <selection activeCell="A16" sqref="A16"/>
    </sheetView>
  </sheetViews>
  <sheetFormatPr defaultColWidth="8.625" defaultRowHeight="15" x14ac:dyDescent="0.3"/>
  <cols>
    <col min="1" max="1" width="21" style="1" customWidth="1"/>
    <col min="2" max="5" width="8.625" style="1"/>
    <col min="6" max="6" width="9" style="1" bestFit="1" customWidth="1"/>
    <col min="7" max="7" width="10.75" style="1" customWidth="1"/>
    <col min="8" max="9" width="8.625" style="1"/>
    <col min="10" max="10" width="9.875" style="1" customWidth="1"/>
    <col min="11" max="12" width="12.5" style="1" customWidth="1"/>
    <col min="13"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s="25"/>
      <c r="C3" s="25"/>
      <c r="D3" s="25"/>
      <c r="E3" s="25"/>
      <c r="F3" s="25"/>
      <c r="G3" s="25"/>
      <c r="H3" s="25"/>
      <c r="I3" s="25"/>
      <c r="J3" s="25"/>
      <c r="K3" s="25"/>
      <c r="L3" s="25"/>
      <c r="M3" s="25"/>
      <c r="N3" s="25"/>
      <c r="O3" s="25"/>
      <c r="P3" s="25"/>
      <c r="Q3" s="25"/>
      <c r="R3" s="25"/>
      <c r="S3" s="25"/>
      <c r="T3" s="25"/>
      <c r="U3" s="25"/>
      <c r="V3" s="25"/>
      <c r="W3" s="25"/>
      <c r="X3" s="25"/>
      <c r="Y3" s="25"/>
      <c r="Z3" s="25"/>
    </row>
    <row r="4" spans="1:26" ht="21" customHeight="1" x14ac:dyDescent="0.3">
      <c r="A4" s="7" t="s">
        <v>0</v>
      </c>
      <c r="B4" s="8"/>
      <c r="C4" s="10" t="s">
        <v>132</v>
      </c>
      <c r="D4" s="10"/>
      <c r="E4" s="10"/>
      <c r="F4" s="145" t="s">
        <v>135</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s="25"/>
      <c r="C5" s="25"/>
      <c r="D5" s="25"/>
      <c r="E5" s="25"/>
      <c r="F5" s="25"/>
      <c r="G5" s="25"/>
      <c r="H5" s="25"/>
      <c r="I5" s="25"/>
      <c r="J5" s="25"/>
      <c r="K5" s="25"/>
      <c r="L5" s="25"/>
      <c r="M5" s="25"/>
      <c r="N5" s="25"/>
      <c r="O5" s="25"/>
      <c r="P5" s="25"/>
      <c r="Q5" s="25"/>
      <c r="R5" s="25"/>
      <c r="S5" s="25"/>
      <c r="T5" s="25"/>
      <c r="U5" s="25"/>
      <c r="V5" s="25"/>
      <c r="W5" s="25"/>
      <c r="X5" s="25"/>
      <c r="Y5" s="25"/>
      <c r="Z5" s="25"/>
    </row>
    <row r="6" spans="1:26" ht="18" thickTop="1" thickBot="1" x14ac:dyDescent="0.35">
      <c r="A6" s="26" t="s">
        <v>1</v>
      </c>
      <c r="B6" s="25"/>
      <c r="C6" s="149" t="s">
        <v>134</v>
      </c>
      <c r="D6" s="149"/>
      <c r="E6" s="25"/>
      <c r="F6" s="149" t="s">
        <v>23</v>
      </c>
      <c r="G6" s="149"/>
      <c r="H6" s="25"/>
      <c r="I6" s="149" t="s">
        <v>47</v>
      </c>
      <c r="J6" s="149"/>
      <c r="K6" s="25"/>
      <c r="L6" s="25"/>
      <c r="M6" s="25"/>
      <c r="N6" s="25"/>
      <c r="O6" s="25"/>
      <c r="P6" s="25"/>
      <c r="Q6" s="25"/>
      <c r="R6" s="25"/>
      <c r="S6" s="25"/>
      <c r="T6" s="25"/>
      <c r="U6" s="25"/>
      <c r="V6" s="25"/>
      <c r="W6" s="25"/>
      <c r="X6" s="25"/>
    </row>
    <row r="7" spans="1:26" ht="18" thickTop="1" thickBot="1" x14ac:dyDescent="0.35">
      <c r="A7" s="2"/>
      <c r="B7" s="25"/>
      <c r="C7" s="25"/>
      <c r="D7" s="25"/>
      <c r="E7" s="25"/>
      <c r="F7" s="25"/>
      <c r="G7" s="25"/>
      <c r="H7" s="25"/>
      <c r="I7" s="25"/>
      <c r="J7" s="25"/>
      <c r="K7" s="25"/>
      <c r="L7" s="25"/>
      <c r="M7" s="25"/>
      <c r="N7" s="25"/>
      <c r="O7" s="25"/>
      <c r="P7" s="25"/>
      <c r="Q7" s="25"/>
      <c r="R7" s="25"/>
      <c r="S7" s="25"/>
      <c r="T7" s="25"/>
      <c r="U7" s="25"/>
      <c r="V7" s="25"/>
      <c r="W7" s="25"/>
      <c r="X7" s="25"/>
    </row>
    <row r="8" spans="1:26" ht="18" thickTop="1" thickBot="1" x14ac:dyDescent="0.35">
      <c r="A8" s="26" t="s">
        <v>12</v>
      </c>
      <c r="B8" s="25"/>
      <c r="C8" s="29" t="s">
        <v>14</v>
      </c>
      <c r="D8" s="29"/>
      <c r="E8" s="29"/>
      <c r="F8" s="30" t="s">
        <v>65</v>
      </c>
      <c r="G8" s="30" t="s">
        <v>74</v>
      </c>
      <c r="H8" s="30" t="s">
        <v>50</v>
      </c>
      <c r="I8" s="30" t="s">
        <v>77</v>
      </c>
      <c r="J8" s="30" t="s">
        <v>78</v>
      </c>
      <c r="K8" s="29" t="s">
        <v>79</v>
      </c>
      <c r="L8" s="29" t="s">
        <v>64</v>
      </c>
      <c r="M8" s="25"/>
      <c r="N8" s="25"/>
      <c r="O8" s="25"/>
      <c r="P8" s="25"/>
      <c r="Q8" s="25"/>
      <c r="R8" s="25"/>
      <c r="S8" s="25"/>
      <c r="T8" s="25"/>
      <c r="U8" s="25"/>
      <c r="V8" s="25"/>
      <c r="W8" s="25"/>
      <c r="X8" s="25"/>
    </row>
    <row r="9" spans="1:26" ht="18" thickTop="1" thickBot="1" x14ac:dyDescent="0.35">
      <c r="A9" s="2"/>
      <c r="B9" s="25"/>
      <c r="C9" s="12"/>
      <c r="D9" s="25"/>
      <c r="E9" s="25"/>
      <c r="G9" s="31"/>
      <c r="M9" s="25"/>
      <c r="N9" s="25"/>
      <c r="O9" s="25"/>
      <c r="P9" s="25"/>
      <c r="Q9" s="25"/>
      <c r="R9" s="25"/>
      <c r="S9" s="25"/>
      <c r="T9" s="25"/>
      <c r="U9" s="25"/>
      <c r="V9" s="25"/>
      <c r="W9" s="25"/>
      <c r="X9" s="25"/>
    </row>
    <row r="10" spans="1:26" ht="18" thickTop="1" thickBot="1" x14ac:dyDescent="0.35">
      <c r="A10" s="26" t="s">
        <v>13</v>
      </c>
      <c r="B10" s="25"/>
      <c r="C10" s="25" t="s">
        <v>91</v>
      </c>
      <c r="D10" s="25"/>
      <c r="E10" s="25"/>
      <c r="F10" s="28">
        <v>0.5</v>
      </c>
      <c r="G10" s="25" t="s">
        <v>89</v>
      </c>
      <c r="H10" s="25"/>
      <c r="M10" s="25"/>
      <c r="N10" s="25"/>
      <c r="O10" s="25"/>
      <c r="P10" s="25"/>
      <c r="Q10" s="25"/>
      <c r="R10" s="25"/>
      <c r="S10" s="25"/>
      <c r="T10" s="25"/>
      <c r="U10" s="25"/>
      <c r="V10" s="25"/>
      <c r="W10" s="25"/>
      <c r="X10" s="25"/>
    </row>
    <row r="11" spans="1:26" ht="18" thickTop="1" thickBot="1" x14ac:dyDescent="0.35">
      <c r="A11" s="2"/>
      <c r="B11" s="25"/>
      <c r="C11" s="25" t="s">
        <v>90</v>
      </c>
      <c r="D11" s="25"/>
      <c r="E11" s="25"/>
      <c r="F11" s="28">
        <v>1</v>
      </c>
      <c r="G11" s="25" t="s">
        <v>89</v>
      </c>
      <c r="H11" s="25"/>
      <c r="M11" s="25"/>
      <c r="N11" s="25"/>
      <c r="O11" s="25"/>
      <c r="P11" s="25"/>
      <c r="Q11" s="25"/>
      <c r="R11" s="25"/>
      <c r="S11" s="25"/>
      <c r="T11" s="25"/>
      <c r="U11" s="25"/>
      <c r="V11" s="25"/>
      <c r="W11" s="25"/>
      <c r="X11" s="25"/>
    </row>
    <row r="12" spans="1:26" ht="18" thickTop="1" thickBot="1" x14ac:dyDescent="0.35">
      <c r="A12" s="26" t="s">
        <v>22</v>
      </c>
      <c r="B12" s="25"/>
      <c r="C12" s="1" t="s">
        <v>93</v>
      </c>
      <c r="F12" s="28">
        <v>8</v>
      </c>
      <c r="G12" s="1" t="s">
        <v>89</v>
      </c>
      <c r="I12" s="28">
        <v>6</v>
      </c>
      <c r="J12" s="28">
        <v>13</v>
      </c>
      <c r="K12" s="25"/>
      <c r="M12" s="25"/>
      <c r="N12" s="25"/>
      <c r="O12" s="25"/>
      <c r="P12" s="25"/>
      <c r="Q12" s="25"/>
      <c r="R12" s="25"/>
      <c r="S12" s="25"/>
      <c r="T12" s="25"/>
      <c r="U12" s="25"/>
      <c r="V12" s="25"/>
      <c r="W12" s="25"/>
      <c r="X12" s="25"/>
    </row>
    <row r="13" spans="1:26" ht="18" thickTop="1" thickBot="1" x14ac:dyDescent="0.35">
      <c r="A13" s="2"/>
      <c r="B13" s="25"/>
      <c r="C13" s="25" t="s">
        <v>92</v>
      </c>
      <c r="D13" s="25"/>
      <c r="E13" s="25"/>
      <c r="F13" s="28">
        <v>10.6</v>
      </c>
      <c r="G13" s="25" t="s">
        <v>16</v>
      </c>
      <c r="H13" s="25"/>
      <c r="I13" s="25"/>
      <c r="J13" s="25"/>
      <c r="K13" s="25"/>
      <c r="L13" s="25"/>
      <c r="M13" s="25"/>
      <c r="N13" s="25"/>
      <c r="O13" s="25"/>
      <c r="P13" s="25"/>
      <c r="Q13" s="25"/>
      <c r="R13" s="25"/>
      <c r="S13" s="25"/>
      <c r="T13" s="25"/>
      <c r="U13" s="25"/>
      <c r="V13" s="25"/>
      <c r="W13" s="25"/>
      <c r="X13" s="25"/>
    </row>
    <row r="14" spans="1:26" ht="18" thickTop="1" thickBot="1" x14ac:dyDescent="0.35">
      <c r="A14" s="26" t="s">
        <v>132</v>
      </c>
      <c r="B14" s="25"/>
      <c r="C14" s="1" t="s">
        <v>125</v>
      </c>
      <c r="F14" s="28">
        <v>8</v>
      </c>
      <c r="G14" s="1" t="s">
        <v>89</v>
      </c>
      <c r="I14" s="40">
        <v>6</v>
      </c>
      <c r="J14" s="40">
        <v>13</v>
      </c>
      <c r="N14" s="25"/>
      <c r="O14" s="25"/>
      <c r="P14" s="25"/>
      <c r="Q14" s="25"/>
      <c r="R14" s="25"/>
      <c r="S14" s="25"/>
      <c r="T14" s="25"/>
      <c r="U14" s="25"/>
      <c r="V14" s="25"/>
      <c r="W14" s="25"/>
      <c r="X14" s="25"/>
    </row>
    <row r="15" spans="1:26" ht="18" thickTop="1" thickBot="1" x14ac:dyDescent="0.35">
      <c r="A15" s="2"/>
      <c r="B15" s="25"/>
      <c r="O15" s="25"/>
      <c r="P15" s="25"/>
      <c r="Q15" s="25"/>
      <c r="R15" s="25"/>
      <c r="S15" s="25"/>
      <c r="T15" s="25"/>
      <c r="U15" s="25"/>
      <c r="V15" s="25"/>
      <c r="W15" s="25"/>
      <c r="X15" s="25"/>
    </row>
    <row r="16" spans="1:26" ht="18" thickTop="1" thickBot="1" x14ac:dyDescent="0.35">
      <c r="A16" s="26" t="s">
        <v>24</v>
      </c>
      <c r="B16" s="25"/>
      <c r="C16" s="25" t="s">
        <v>87</v>
      </c>
      <c r="D16" s="25"/>
      <c r="E16" s="25"/>
      <c r="F16" s="28">
        <v>74.5</v>
      </c>
      <c r="G16" s="25" t="s">
        <v>16</v>
      </c>
      <c r="H16" s="112">
        <v>0.16905405285720759</v>
      </c>
      <c r="I16" s="25"/>
      <c r="J16" s="25"/>
      <c r="K16" s="25"/>
      <c r="L16" s="25"/>
      <c r="M16" s="25"/>
      <c r="N16" s="25"/>
      <c r="O16" s="25"/>
      <c r="P16" s="25"/>
      <c r="Q16" s="25"/>
      <c r="R16" s="25"/>
      <c r="S16" s="25"/>
      <c r="T16" s="25"/>
      <c r="U16" s="25"/>
      <c r="V16" s="25"/>
      <c r="W16" s="25"/>
      <c r="X16" s="25"/>
    </row>
    <row r="17" spans="1:24" ht="18" thickTop="1" thickBot="1" x14ac:dyDescent="0.35">
      <c r="A17" s="2"/>
      <c r="B17" s="25"/>
      <c r="C17" s="1" t="s">
        <v>94</v>
      </c>
      <c r="F17" s="33">
        <f>100-F16</f>
        <v>25.5</v>
      </c>
      <c r="G17" s="25" t="s">
        <v>16</v>
      </c>
      <c r="I17" s="25"/>
      <c r="J17" s="25"/>
      <c r="K17" s="25"/>
      <c r="L17" s="25"/>
      <c r="M17" s="25"/>
      <c r="N17" s="25"/>
      <c r="O17" s="25"/>
      <c r="P17" s="25"/>
      <c r="Q17" s="25"/>
      <c r="R17" s="25"/>
      <c r="S17" s="25"/>
      <c r="T17" s="25"/>
      <c r="U17" s="25"/>
      <c r="V17" s="25"/>
      <c r="W17" s="25"/>
      <c r="X17" s="25"/>
    </row>
    <row r="18" spans="1:24" ht="18" thickTop="1" thickBot="1" x14ac:dyDescent="0.35">
      <c r="A18" s="26" t="s">
        <v>2</v>
      </c>
      <c r="B18" s="25"/>
      <c r="C18" s="1" t="s">
        <v>290</v>
      </c>
      <c r="F18" s="40">
        <v>27</v>
      </c>
      <c r="G18" s="1" t="s">
        <v>89</v>
      </c>
      <c r="I18" s="40">
        <v>13.3</v>
      </c>
      <c r="J18" s="40">
        <v>60</v>
      </c>
      <c r="K18" s="25"/>
      <c r="L18" s="25"/>
      <c r="M18" s="25"/>
      <c r="N18" s="25"/>
      <c r="O18" s="25"/>
      <c r="P18" s="25"/>
      <c r="Q18" s="25"/>
      <c r="R18" s="25"/>
      <c r="S18" s="25"/>
      <c r="T18" s="25"/>
      <c r="U18" s="25"/>
      <c r="V18" s="25"/>
      <c r="W18" s="25"/>
      <c r="X18" s="25"/>
    </row>
    <row r="19" spans="1:24" ht="18" thickTop="1" thickBot="1" x14ac:dyDescent="0.35">
      <c r="A19" s="2"/>
      <c r="B19" s="25"/>
      <c r="C19" s="25" t="s">
        <v>427</v>
      </c>
      <c r="D19" s="25"/>
      <c r="E19" s="25"/>
      <c r="F19" s="28">
        <v>5</v>
      </c>
      <c r="G19" s="32" t="s">
        <v>95</v>
      </c>
      <c r="H19" s="28">
        <v>1.97</v>
      </c>
      <c r="J19"/>
      <c r="M19" s="25"/>
      <c r="N19" s="25"/>
      <c r="O19" s="25"/>
      <c r="P19" s="25"/>
      <c r="Q19" s="25"/>
      <c r="R19" s="25"/>
      <c r="S19" s="25"/>
      <c r="T19" s="25"/>
      <c r="U19" s="25"/>
      <c r="V19" s="25"/>
      <c r="W19" s="25"/>
      <c r="X19" s="25"/>
    </row>
    <row r="20" spans="1:24" ht="18" thickTop="1" thickBot="1" x14ac:dyDescent="0.35">
      <c r="A20" s="26" t="s">
        <v>51</v>
      </c>
      <c r="B20" s="25"/>
      <c r="N20" s="25"/>
      <c r="O20" s="25"/>
      <c r="P20" s="25"/>
      <c r="Q20" s="25"/>
      <c r="R20" s="25"/>
      <c r="S20" s="25"/>
      <c r="T20" s="25"/>
      <c r="U20" s="25"/>
      <c r="V20" s="25"/>
      <c r="W20" s="25"/>
      <c r="X20" s="25"/>
    </row>
    <row r="21" spans="1:24" ht="17.25" thickTop="1" x14ac:dyDescent="0.3">
      <c r="A21" s="2"/>
      <c r="B21" s="25"/>
      <c r="N21" s="25"/>
      <c r="O21" s="25"/>
      <c r="P21" s="25"/>
      <c r="Q21" s="25"/>
      <c r="R21" s="25"/>
      <c r="S21" s="25"/>
      <c r="T21" s="25"/>
      <c r="U21" s="25"/>
      <c r="V21" s="25"/>
      <c r="W21" s="25"/>
      <c r="X21" s="25"/>
    </row>
    <row r="22" spans="1:24" ht="16.5" x14ac:dyDescent="0.3">
      <c r="A22" s="2"/>
      <c r="B22" s="25"/>
      <c r="N22" s="25"/>
      <c r="O22" s="25"/>
      <c r="P22" s="25"/>
      <c r="Q22" s="25"/>
      <c r="R22" s="25"/>
      <c r="S22" s="25"/>
      <c r="T22" s="25"/>
      <c r="U22" s="25"/>
      <c r="V22" s="25"/>
      <c r="W22" s="25"/>
      <c r="X22" s="25"/>
    </row>
    <row r="23" spans="1:24" ht="16.5" x14ac:dyDescent="0.3">
      <c r="A23" s="2"/>
      <c r="B23" s="25"/>
      <c r="N23" s="25"/>
      <c r="O23" s="25"/>
      <c r="P23" s="25"/>
      <c r="Q23" s="25"/>
      <c r="R23" s="25"/>
      <c r="S23" s="25"/>
      <c r="T23" s="25"/>
      <c r="U23" s="25"/>
      <c r="V23" s="25"/>
      <c r="W23" s="25"/>
      <c r="X23" s="25"/>
    </row>
    <row r="24" spans="1:24" ht="16.5" x14ac:dyDescent="0.3">
      <c r="A24" s="2"/>
      <c r="N24" s="25"/>
    </row>
    <row r="25" spans="1:24" x14ac:dyDescent="0.3">
      <c r="A25" s="2"/>
    </row>
    <row r="26" spans="1:24" x14ac:dyDescent="0.3">
      <c r="A26" s="2"/>
    </row>
    <row r="27" spans="1:24" x14ac:dyDescent="0.3">
      <c r="A27" s="2"/>
    </row>
    <row r="28" spans="1:24" ht="16.5" x14ac:dyDescent="0.3">
      <c r="A28" s="2"/>
      <c r="C28" s="25"/>
      <c r="D28" s="25"/>
      <c r="E28" s="25"/>
      <c r="F28" s="25"/>
      <c r="G28" s="25"/>
      <c r="H28" s="25"/>
      <c r="I28" s="25"/>
      <c r="J28" s="25"/>
    </row>
    <row r="29" spans="1:24" ht="16.5" x14ac:dyDescent="0.3">
      <c r="A29" s="2"/>
      <c r="G29" s="25"/>
      <c r="H29" s="25"/>
    </row>
    <row r="30" spans="1:24" x14ac:dyDescent="0.3">
      <c r="A30" s="2"/>
    </row>
    <row r="31" spans="1:24" ht="16.5" x14ac:dyDescent="0.3">
      <c r="A31" s="2"/>
      <c r="C31" s="25"/>
      <c r="D31" s="25"/>
      <c r="E31" s="25"/>
      <c r="F31" s="25"/>
    </row>
    <row r="32" spans="1:24"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6">
    <mergeCell ref="C1:U1"/>
    <mergeCell ref="C2:U2"/>
    <mergeCell ref="F4:V4"/>
    <mergeCell ref="C6:D6"/>
    <mergeCell ref="F6:G6"/>
    <mergeCell ref="I6:J6"/>
  </mergeCells>
  <conditionalFormatting sqref="C9">
    <cfRule type="expression" dxfId="117" priority="11">
      <formula>$D$9</formula>
    </cfRule>
  </conditionalFormatting>
  <conditionalFormatting sqref="C6:D6">
    <cfRule type="expression" dxfId="116" priority="7">
      <formula>FIND(C6,F4,1)</formula>
    </cfRule>
  </conditionalFormatting>
  <conditionalFormatting sqref="F6:G6">
    <cfRule type="expression" dxfId="115" priority="5">
      <formula>FIND(F6,F4,1)</formula>
    </cfRule>
  </conditionalFormatting>
  <conditionalFormatting sqref="I6:J6">
    <cfRule type="expression" dxfId="114" priority="1">
      <formula>FIND($I$6,$F$4,1)</formula>
    </cfRule>
  </conditionalFormatting>
  <dataValidations count="9">
    <dataValidation type="decimal" operator="greaterThan" allowBlank="1" showInputMessage="1" showErrorMessage="1" errorTitle="Positive value" error="Greater than 0" sqref="H16 H19" xr:uid="{00000000-0002-0000-0400-000000000000}">
      <formula1>0</formula1>
    </dataValidation>
    <dataValidation type="decimal" allowBlank="1" showInputMessage="1" showErrorMessage="1" errorTitle="Positive value" error="Between 0 and the mean value entered" sqref="I12 I14 I18" xr:uid="{00000000-0002-0000-0400-000001000000}">
      <formula1>0</formula1>
      <formula2>F12</formula2>
    </dataValidation>
    <dataValidation type="decimal" allowBlank="1" showInputMessage="1" showErrorMessage="1" errorTitle="Positive value" error="between the mean value entered and 100" sqref="J12 J14 J18" xr:uid="{00000000-0002-0000-0400-000002000000}">
      <formula1>F12</formula1>
      <formula2>100</formula2>
    </dataValidation>
    <dataValidation type="decimal" allowBlank="1" showInputMessage="1" showErrorMessage="1" errorTitle="Value between" error="1 and days in hospital" sqref="F14" xr:uid="{00000000-0002-0000-0400-000003000000}">
      <formula1>1</formula1>
      <formula2>F12</formula2>
    </dataValidation>
    <dataValidation type="decimal" operator="greaterThan" allowBlank="1" showInputMessage="1" showErrorMessage="1" errorTitle="Must be greater than" error="Time in ICU plus time on MV" sqref="F12" xr:uid="{00000000-0002-0000-0400-000004000000}">
      <formula1>F10+F11</formula1>
    </dataValidation>
    <dataValidation type="decimal" allowBlank="1" showInputMessage="1" showErrorMessage="1" errorTitle="Value between" error="0.2 and time in ICU, assumes MV only in the ICU" sqref="F10" xr:uid="{00000000-0002-0000-0400-000005000000}">
      <formula1>0.25</formula1>
      <formula2>F11</formula2>
    </dataValidation>
    <dataValidation type="decimal" allowBlank="1" showInputMessage="1" showErrorMessage="1" errorTitle="Value between" error="Time on MV and Time in hospital minus time on MV" sqref="F11" xr:uid="{00000000-0002-0000-0400-000006000000}">
      <formula1>F10</formula1>
      <formula2>F12-F10</formula2>
    </dataValidation>
    <dataValidation type="whole" allowBlank="1" showInputMessage="1" showErrorMessage="1" errorTitle="Integer value" error="between 1 and 365" sqref="F18" xr:uid="{00000000-0002-0000-0400-000007000000}">
      <formula1>1</formula1>
      <formula2>365</formula2>
    </dataValidation>
    <dataValidation type="decimal" allowBlank="1" showInputMessage="1" showErrorMessage="1" errorTitle="Decimal value" error="between 0 and 100" sqref="F19 F13 F16" xr:uid="{00000000-0002-0000-0400-000008000000}">
      <formula1>0</formula1>
      <formula2>100</formula2>
    </dataValidation>
  </dataValidations>
  <hyperlinks>
    <hyperlink ref="A6" location="Home!A1" display="Home" xr:uid="{00000000-0004-0000-0400-000000000000}"/>
    <hyperlink ref="A8" location="Setup!A1" display="Model set up" xr:uid="{00000000-0004-0000-0400-000001000000}"/>
    <hyperlink ref="A10" location="Population!A1" display="Population" xr:uid="{00000000-0004-0000-0400-000002000000}"/>
    <hyperlink ref="A12" location="Interventions!A1" display="Interventions" xr:uid="{00000000-0004-0000-0400-000003000000}"/>
    <hyperlink ref="A14" location="Events!A1" display="Event rates" xr:uid="{00000000-0004-0000-0400-000004000000}"/>
    <hyperlink ref="A16" location="Costs!A1" display="Costs" xr:uid="{00000000-0004-0000-0400-000005000000}"/>
    <hyperlink ref="A20" location="Sensitivity!A1" display="Sensitivity analysis" xr:uid="{00000000-0004-0000-0400-000006000000}"/>
    <hyperlink ref="A18" location="Results!A1" display="Results" xr:uid="{00000000-0004-0000-0400-000007000000}"/>
    <hyperlink ref="C6:D6" location="Events!F10" display="Hospital events" xr:uid="{00000000-0004-0000-0400-000008000000}"/>
    <hyperlink ref="F6:G6" location="'Adverse events'!F10" display="Adverse events" xr:uid="{00000000-0004-0000-0400-000009000000}"/>
    <hyperlink ref="I6:J6" location="'Risk factors'!F10" display="Risk factors" xr:uid="{00000000-0004-0000-0400-00000A000000}"/>
  </hyperlinks>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heet_reset">
                <anchor moveWithCells="1" sizeWithCells="1">
                  <from>
                    <xdr:col>17</xdr:col>
                    <xdr:colOff>200025</xdr:colOff>
                    <xdr:row>3</xdr:row>
                    <xdr:rowOff>38100</xdr:rowOff>
                  </from>
                  <to>
                    <xdr:col>19</xdr:col>
                    <xdr:colOff>76200</xdr:colOff>
                    <xdr:row>3</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4" operator="containsText" id="{391852D5-26C2-410A-A2C2-FE145F3FF25E}">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containsText" priority="4" operator="containsText" id="{4F7E59E5-AD0A-4E05-9546-53005558FD1F}">
            <xm:f>NOT(ISERROR(SEARCH($C$4,A6)))</xm:f>
            <xm:f>$C$4</xm:f>
            <x14:dxf>
              <font>
                <b val="0"/>
                <i val="0"/>
                <strike val="0"/>
                <color theme="0"/>
              </font>
              <fill>
                <patternFill>
                  <bgColor theme="5"/>
                </patternFill>
              </fill>
            </x14:dxf>
          </x14:cfRule>
          <xm:sqref>A6:A11 A17</xm:sqref>
        </x14:conditionalFormatting>
        <x14:conditionalFormatting xmlns:xm="http://schemas.microsoft.com/office/excel/2006/main">
          <x14:cfRule type="containsText" priority="3" operator="containsText" id="{F8310C4C-D0A9-46AE-9FA8-479550835754}">
            <xm:f>NOT(ISERROR(SEARCH($C$4,A12)))</xm:f>
            <xm:f>$C$4</xm:f>
            <x14:dxf>
              <font>
                <b val="0"/>
                <i val="0"/>
                <strike val="0"/>
                <color theme="0"/>
              </font>
              <fill>
                <patternFill>
                  <bgColor theme="5"/>
                </patternFill>
              </fill>
            </x14:dxf>
          </x14:cfRule>
          <xm:sqref>A12:A16</xm:sqref>
        </x14:conditionalFormatting>
        <x14:conditionalFormatting xmlns:xm="http://schemas.microsoft.com/office/excel/2006/main">
          <x14:cfRule type="containsText" priority="2" operator="containsText" id="{66F8806D-E6E3-4B90-B41E-7DD4344CABD9}">
            <xm:f>NOT(ISERROR(SEARCH($C$4,A18)))</xm:f>
            <xm:f>$C$4</xm:f>
            <x14:dxf>
              <font>
                <b val="0"/>
                <i val="0"/>
                <strike val="0"/>
                <color theme="0"/>
              </font>
              <fill>
                <patternFill>
                  <bgColor theme="5"/>
                </patternFill>
              </fill>
            </x14:dxf>
          </x14:cfRule>
          <xm:sqref>A18:A20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Z40"/>
  <sheetViews>
    <sheetView workbookViewId="0">
      <selection activeCell="C6" sqref="C6:D6"/>
    </sheetView>
  </sheetViews>
  <sheetFormatPr defaultColWidth="8.625" defaultRowHeight="15" x14ac:dyDescent="0.3"/>
  <cols>
    <col min="1" max="1" width="21" style="1" customWidth="1"/>
    <col min="2" max="5" width="8.625" style="1"/>
    <col min="6" max="6" width="9" style="1" bestFit="1" customWidth="1"/>
    <col min="7"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132</v>
      </c>
      <c r="D4" s="10"/>
      <c r="E4" s="10"/>
      <c r="F4" s="145" t="s">
        <v>133</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8" thickTop="1" thickBot="1" x14ac:dyDescent="0.35">
      <c r="A6" s="26" t="s">
        <v>1</v>
      </c>
      <c r="B6" s="36"/>
      <c r="C6" s="149" t="s">
        <v>134</v>
      </c>
      <c r="D6" s="149"/>
      <c r="E6" s="36"/>
      <c r="F6" s="149" t="s">
        <v>23</v>
      </c>
      <c r="G6" s="149"/>
      <c r="H6" s="36"/>
      <c r="I6" s="149" t="s">
        <v>47</v>
      </c>
      <c r="J6" s="149"/>
      <c r="K6"/>
      <c r="L6"/>
      <c r="M6"/>
      <c r="N6"/>
      <c r="O6"/>
      <c r="P6"/>
      <c r="Q6"/>
      <c r="R6"/>
      <c r="S6"/>
      <c r="T6"/>
      <c r="U6"/>
      <c r="V6"/>
      <c r="W6"/>
      <c r="X6"/>
    </row>
    <row r="7" spans="1:26" ht="18" thickTop="1" thickBot="1" x14ac:dyDescent="0.35">
      <c r="A7" s="2"/>
      <c r="B7"/>
      <c r="C7"/>
      <c r="D7"/>
      <c r="E7"/>
      <c r="F7"/>
      <c r="G7"/>
      <c r="H7"/>
      <c r="I7"/>
      <c r="J7"/>
      <c r="K7"/>
      <c r="L7"/>
      <c r="M7"/>
      <c r="N7"/>
      <c r="O7"/>
      <c r="P7"/>
      <c r="Q7"/>
      <c r="R7"/>
      <c r="S7"/>
      <c r="T7"/>
      <c r="U7"/>
      <c r="V7"/>
      <c r="W7"/>
      <c r="X7"/>
    </row>
    <row r="8" spans="1:26" ht="18" thickTop="1" thickBot="1" x14ac:dyDescent="0.35">
      <c r="A8" s="26" t="s">
        <v>12</v>
      </c>
      <c r="B8"/>
      <c r="C8" s="29" t="s">
        <v>14</v>
      </c>
      <c r="D8" s="29"/>
      <c r="E8" s="29"/>
      <c r="F8" s="30" t="s">
        <v>65</v>
      </c>
      <c r="G8" s="30" t="s">
        <v>74</v>
      </c>
      <c r="H8" s="30" t="s">
        <v>50</v>
      </c>
      <c r="I8" s="30" t="s">
        <v>77</v>
      </c>
      <c r="J8" s="30" t="s">
        <v>78</v>
      </c>
      <c r="K8" s="29" t="s">
        <v>79</v>
      </c>
      <c r="L8" s="29" t="s">
        <v>64</v>
      </c>
      <c r="M8"/>
      <c r="N8"/>
      <c r="O8"/>
      <c r="P8"/>
      <c r="Q8"/>
      <c r="R8"/>
      <c r="S8"/>
      <c r="T8"/>
      <c r="U8"/>
      <c r="V8"/>
      <c r="W8"/>
      <c r="X8"/>
    </row>
    <row r="9" spans="1:26" ht="18" thickTop="1" thickBot="1" x14ac:dyDescent="0.35">
      <c r="A9" s="2"/>
      <c r="B9"/>
      <c r="C9" s="12"/>
      <c r="D9" s="25"/>
      <c r="E9" s="25"/>
      <c r="G9" s="31"/>
      <c r="M9"/>
      <c r="N9"/>
      <c r="O9"/>
      <c r="P9"/>
      <c r="Q9"/>
      <c r="R9"/>
      <c r="S9"/>
      <c r="T9"/>
      <c r="U9"/>
      <c r="V9"/>
      <c r="W9"/>
      <c r="X9"/>
    </row>
    <row r="10" spans="1:26" ht="18" thickTop="1" thickBot="1" x14ac:dyDescent="0.35">
      <c r="A10" s="26" t="s">
        <v>13</v>
      </c>
      <c r="B10"/>
      <c r="C10" s="25" t="s">
        <v>113</v>
      </c>
      <c r="D10" s="25"/>
      <c r="E10" s="25"/>
      <c r="F10" s="28">
        <v>2.7</v>
      </c>
      <c r="G10" s="32" t="s">
        <v>16</v>
      </c>
      <c r="H10" s="112">
        <v>6.2865976015503089E-2</v>
      </c>
      <c r="I10" s="25"/>
      <c r="J10" s="25"/>
      <c r="K10" s="25"/>
      <c r="L10" s="25"/>
      <c r="M10" s="25"/>
      <c r="N10"/>
      <c r="O10"/>
      <c r="P10"/>
      <c r="Q10"/>
      <c r="R10"/>
      <c r="S10"/>
      <c r="T10"/>
      <c r="U10"/>
      <c r="V10"/>
      <c r="W10"/>
      <c r="X10"/>
    </row>
    <row r="11" spans="1:26" ht="18" thickTop="1" thickBot="1" x14ac:dyDescent="0.35">
      <c r="A11" s="2"/>
      <c r="B11"/>
      <c r="C11" s="1" t="s">
        <v>97</v>
      </c>
      <c r="F11" s="28">
        <v>13</v>
      </c>
      <c r="G11" s="1" t="s">
        <v>89</v>
      </c>
      <c r="K11" s="25"/>
      <c r="L11" s="25"/>
      <c r="M11" s="25"/>
      <c r="N11"/>
      <c r="O11"/>
      <c r="P11"/>
      <c r="Q11"/>
      <c r="R11"/>
      <c r="S11"/>
      <c r="T11"/>
      <c r="U11"/>
      <c r="V11"/>
      <c r="W11"/>
      <c r="X11"/>
    </row>
    <row r="12" spans="1:26" ht="18" thickTop="1" thickBot="1" x14ac:dyDescent="0.35">
      <c r="A12" s="26" t="s">
        <v>22</v>
      </c>
      <c r="B12"/>
      <c r="K12" s="25"/>
      <c r="L12" s="25"/>
      <c r="M12" s="25"/>
      <c r="N12"/>
      <c r="O12"/>
      <c r="P12"/>
      <c r="Q12"/>
      <c r="R12"/>
      <c r="S12"/>
      <c r="T12"/>
      <c r="U12"/>
      <c r="V12"/>
      <c r="W12"/>
      <c r="X12"/>
    </row>
    <row r="13" spans="1:26" ht="18" thickTop="1" thickBot="1" x14ac:dyDescent="0.35">
      <c r="A13" s="2"/>
      <c r="B13"/>
      <c r="C13" s="25" t="s">
        <v>96</v>
      </c>
      <c r="D13" s="35"/>
      <c r="E13" s="25"/>
      <c r="F13" s="28">
        <v>5.49</v>
      </c>
      <c r="G13" s="31" t="s">
        <v>16</v>
      </c>
      <c r="H13" s="46">
        <v>0.5</v>
      </c>
      <c r="K13" s="25"/>
      <c r="L13" s="25"/>
      <c r="M13" s="25"/>
      <c r="N13"/>
      <c r="O13"/>
      <c r="P13"/>
      <c r="Q13"/>
      <c r="R13"/>
      <c r="S13"/>
      <c r="T13"/>
      <c r="U13"/>
      <c r="V13"/>
      <c r="W13"/>
      <c r="X13"/>
    </row>
    <row r="14" spans="1:26" ht="18" thickTop="1" thickBot="1" x14ac:dyDescent="0.35">
      <c r="A14" s="26" t="s">
        <v>132</v>
      </c>
      <c r="B14"/>
      <c r="C14" s="25" t="s">
        <v>97</v>
      </c>
      <c r="D14" s="25"/>
      <c r="E14" s="25"/>
      <c r="F14" s="28">
        <v>90</v>
      </c>
      <c r="G14" s="31" t="s">
        <v>89</v>
      </c>
      <c r="H14"/>
      <c r="K14" s="25"/>
      <c r="L14" s="25"/>
      <c r="M14" s="25"/>
      <c r="N14"/>
      <c r="O14"/>
      <c r="P14"/>
      <c r="Q14"/>
      <c r="R14"/>
      <c r="S14"/>
      <c r="T14"/>
      <c r="U14"/>
      <c r="V14"/>
      <c r="W14"/>
      <c r="X14"/>
    </row>
    <row r="15" spans="1:26" ht="20.45" customHeight="1" thickTop="1" thickBot="1" x14ac:dyDescent="0.35">
      <c r="A15" s="2"/>
      <c r="B15"/>
      <c r="C15" s="1" t="s">
        <v>356</v>
      </c>
      <c r="F15" s="28">
        <v>40.75</v>
      </c>
      <c r="G15" s="31" t="s">
        <v>16</v>
      </c>
      <c r="H15" s="112">
        <v>2.6416175089486011</v>
      </c>
      <c r="K15" s="118" t="s">
        <v>416</v>
      </c>
      <c r="L15" s="25"/>
      <c r="N15"/>
      <c r="O15"/>
      <c r="P15"/>
      <c r="Q15"/>
      <c r="R15"/>
      <c r="S15"/>
      <c r="T15"/>
      <c r="U15"/>
      <c r="V15"/>
      <c r="W15"/>
      <c r="X15"/>
    </row>
    <row r="16" spans="1:26" ht="18" thickTop="1" thickBot="1" x14ac:dyDescent="0.35">
      <c r="A16" s="26" t="s">
        <v>24</v>
      </c>
      <c r="B16"/>
      <c r="C16"/>
      <c r="D16"/>
      <c r="E16"/>
      <c r="F16"/>
      <c r="G16"/>
      <c r="H16"/>
      <c r="I16"/>
      <c r="J16"/>
      <c r="K16"/>
      <c r="L16"/>
      <c r="M16"/>
      <c r="N16"/>
      <c r="O16"/>
      <c r="P16"/>
      <c r="Q16"/>
      <c r="R16"/>
      <c r="S16"/>
      <c r="T16"/>
      <c r="U16"/>
      <c r="V16"/>
      <c r="W16"/>
      <c r="X16"/>
    </row>
    <row r="17" spans="1:24" ht="18" thickTop="1" thickBot="1" x14ac:dyDescent="0.35">
      <c r="A17" s="2"/>
      <c r="B17"/>
      <c r="C17" t="s">
        <v>127</v>
      </c>
      <c r="D17"/>
      <c r="E17"/>
      <c r="H17"/>
      <c r="I17"/>
      <c r="J17"/>
      <c r="K17"/>
      <c r="L17"/>
      <c r="M17"/>
      <c r="N17"/>
      <c r="O17"/>
      <c r="P17"/>
      <c r="Q17"/>
      <c r="R17"/>
      <c r="S17"/>
      <c r="T17"/>
      <c r="U17"/>
      <c r="V17"/>
      <c r="W17"/>
      <c r="X17"/>
    </row>
    <row r="18" spans="1:24" ht="18" thickTop="1" thickBot="1" x14ac:dyDescent="0.35">
      <c r="A18" s="26" t="s">
        <v>2</v>
      </c>
      <c r="B18"/>
      <c r="C18" t="s">
        <v>128</v>
      </c>
      <c r="D18"/>
      <c r="E18"/>
      <c r="F18" s="28">
        <v>97.9</v>
      </c>
      <c r="G18" s="31" t="s">
        <v>56</v>
      </c>
      <c r="H18"/>
      <c r="I18"/>
      <c r="J18"/>
      <c r="K18"/>
      <c r="L18"/>
      <c r="M18"/>
      <c r="N18"/>
      <c r="O18"/>
      <c r="P18"/>
      <c r="Q18"/>
      <c r="R18"/>
      <c r="S18"/>
      <c r="T18"/>
      <c r="U18"/>
      <c r="V18"/>
      <c r="W18"/>
      <c r="X18"/>
    </row>
    <row r="19" spans="1:24" ht="18" thickTop="1" thickBot="1" x14ac:dyDescent="0.35">
      <c r="A19" s="2"/>
      <c r="B19"/>
      <c r="C19" t="s">
        <v>129</v>
      </c>
      <c r="D19"/>
      <c r="E19"/>
      <c r="F19" s="28">
        <v>40.9</v>
      </c>
      <c r="G19" s="31" t="s">
        <v>56</v>
      </c>
      <c r="H19"/>
      <c r="I19"/>
      <c r="J19"/>
      <c r="K19"/>
      <c r="L19"/>
      <c r="M19"/>
      <c r="N19"/>
      <c r="O19"/>
      <c r="P19"/>
      <c r="Q19"/>
      <c r="R19"/>
      <c r="S19"/>
      <c r="T19"/>
      <c r="U19"/>
      <c r="V19"/>
      <c r="W19"/>
      <c r="X19"/>
    </row>
    <row r="20" spans="1:24" ht="18" thickTop="1" thickBot="1" x14ac:dyDescent="0.35">
      <c r="A20" s="26" t="s">
        <v>51</v>
      </c>
      <c r="B20"/>
      <c r="C20" s="36" t="s">
        <v>130</v>
      </c>
      <c r="D20"/>
      <c r="E20"/>
      <c r="F20" s="28">
        <v>100</v>
      </c>
      <c r="G20" s="39" t="s">
        <v>131</v>
      </c>
      <c r="H20"/>
      <c r="I20"/>
      <c r="J20"/>
      <c r="K20"/>
      <c r="L20"/>
      <c r="M20"/>
      <c r="N20"/>
      <c r="O20"/>
      <c r="P20"/>
      <c r="Q20"/>
      <c r="R20"/>
      <c r="S20"/>
      <c r="T20"/>
      <c r="U20"/>
      <c r="V20"/>
      <c r="W20"/>
      <c r="X20"/>
    </row>
    <row r="21" spans="1:24" ht="17.25" thickTop="1" x14ac:dyDescent="0.3">
      <c r="A21" s="2"/>
      <c r="B21"/>
      <c r="C21"/>
      <c r="D21"/>
      <c r="E21"/>
      <c r="F21"/>
      <c r="G21"/>
      <c r="H21"/>
      <c r="I21"/>
      <c r="J21"/>
      <c r="K21"/>
      <c r="L21"/>
      <c r="M21"/>
      <c r="N21"/>
      <c r="O21"/>
      <c r="P21"/>
      <c r="Q21"/>
      <c r="R21"/>
      <c r="S21"/>
      <c r="T21"/>
      <c r="U21"/>
      <c r="V21"/>
      <c r="W21"/>
      <c r="X21"/>
    </row>
    <row r="22" spans="1:24" ht="16.5" x14ac:dyDescent="0.3">
      <c r="A22" s="2"/>
      <c r="B22"/>
      <c r="C22"/>
      <c r="D22"/>
      <c r="E22"/>
      <c r="F22"/>
      <c r="G22"/>
      <c r="H22"/>
      <c r="I22"/>
      <c r="J22"/>
      <c r="K22"/>
      <c r="L22"/>
      <c r="M22"/>
      <c r="N22"/>
      <c r="O22"/>
      <c r="P22"/>
      <c r="Q22"/>
      <c r="R22"/>
      <c r="S22"/>
      <c r="T22"/>
      <c r="U22"/>
      <c r="V22"/>
      <c r="W22"/>
      <c r="X22"/>
    </row>
    <row r="23" spans="1:24" ht="16.5" x14ac:dyDescent="0.3">
      <c r="A23" s="2"/>
      <c r="B23"/>
      <c r="C23" t="s">
        <v>357</v>
      </c>
      <c r="D23"/>
      <c r="E23"/>
      <c r="F23"/>
      <c r="G23"/>
      <c r="H23"/>
      <c r="I23"/>
      <c r="J23"/>
      <c r="K23"/>
      <c r="L23"/>
      <c r="M23"/>
      <c r="N23"/>
      <c r="O23"/>
      <c r="P23"/>
      <c r="Q23"/>
      <c r="R23"/>
      <c r="S23"/>
      <c r="T23"/>
      <c r="U23"/>
      <c r="V23"/>
      <c r="W23"/>
      <c r="X23"/>
    </row>
    <row r="24" spans="1:24" ht="16.5" x14ac:dyDescent="0.3">
      <c r="A24" s="2"/>
      <c r="H24"/>
      <c r="I24"/>
      <c r="J24"/>
    </row>
    <row r="25" spans="1:24" ht="16.5" x14ac:dyDescent="0.3">
      <c r="A25" s="2"/>
      <c r="H25"/>
      <c r="I25"/>
      <c r="J25"/>
    </row>
    <row r="26" spans="1:24" ht="16.5" x14ac:dyDescent="0.3">
      <c r="A26" s="2"/>
      <c r="H26"/>
      <c r="I26"/>
      <c r="J26"/>
    </row>
    <row r="27" spans="1:24" x14ac:dyDescent="0.3">
      <c r="A27" s="2"/>
    </row>
    <row r="28" spans="1:24" x14ac:dyDescent="0.3">
      <c r="A28" s="2"/>
    </row>
    <row r="29" spans="1:24" x14ac:dyDescent="0.3">
      <c r="A29" s="2"/>
    </row>
    <row r="30" spans="1:24" x14ac:dyDescent="0.3">
      <c r="A30" s="2"/>
    </row>
    <row r="31" spans="1:24" x14ac:dyDescent="0.3">
      <c r="A31" s="2"/>
    </row>
    <row r="32" spans="1:24"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6">
    <mergeCell ref="C1:U1"/>
    <mergeCell ref="C2:U2"/>
    <mergeCell ref="F4:V4"/>
    <mergeCell ref="C6:D6"/>
    <mergeCell ref="F6:G6"/>
    <mergeCell ref="I6:J6"/>
  </mergeCells>
  <conditionalFormatting sqref="C9">
    <cfRule type="expression" dxfId="109" priority="9">
      <formula>$D$9</formula>
    </cfRule>
  </conditionalFormatting>
  <conditionalFormatting sqref="C6:D6">
    <cfRule type="expression" dxfId="108" priority="3">
      <formula>FIND(C6,F4,1)</formula>
    </cfRule>
  </conditionalFormatting>
  <conditionalFormatting sqref="F6:G6">
    <cfRule type="expression" dxfId="107" priority="2">
      <formula>FIND(F6,F4,1)</formula>
    </cfRule>
  </conditionalFormatting>
  <conditionalFormatting sqref="I6:J6">
    <cfRule type="expression" dxfId="106" priority="1">
      <formula>FIND($I$6,$F$4,1)</formula>
    </cfRule>
  </conditionalFormatting>
  <dataValidations count="4">
    <dataValidation type="decimal" operator="greaterThan" allowBlank="1" showInputMessage="1" showErrorMessage="1" errorTitle="Positive value" error="Greater than 0" sqref="H10 H13 H15" xr:uid="{00000000-0002-0000-0500-000000000000}">
      <formula1>0</formula1>
    </dataValidation>
    <dataValidation type="decimal" allowBlank="1" showInputMessage="1" showErrorMessage="1" errorTitle="Decimal value" error="between 0 and 100" sqref="F10 F13 F15" xr:uid="{00000000-0002-0000-0500-000001000000}">
      <formula1>0</formula1>
      <formula2>100</formula2>
    </dataValidation>
    <dataValidation type="whole" operator="greaterThan" allowBlank="1" showInputMessage="1" showErrorMessage="1" errorTitle="Integer number of days" error="Greater than 0 (zero)" sqref="F11 F14 F20" xr:uid="{00000000-0002-0000-0500-000002000000}">
      <formula1>0</formula1>
    </dataValidation>
    <dataValidation type="decimal" operator="greaterThanOrEqual" allowBlank="1" showInputMessage="1" showErrorMessage="1" errorTitle="Value error" error="Must be greater than or equal to zero" sqref="F18:F19" xr:uid="{00000000-0002-0000-0500-000003000000}">
      <formula1>0</formula1>
    </dataValidation>
  </dataValidations>
  <hyperlinks>
    <hyperlink ref="A6" location="Home!A1" display="Home" xr:uid="{00000000-0004-0000-0500-000000000000}"/>
    <hyperlink ref="A8" location="Setup!A1" display="Model set up" xr:uid="{00000000-0004-0000-0500-000001000000}"/>
    <hyperlink ref="A10" location="Population!A1" display="Population" xr:uid="{00000000-0004-0000-0500-000002000000}"/>
    <hyperlink ref="A12" location="Interventions!A1" display="Interventions" xr:uid="{00000000-0004-0000-0500-000003000000}"/>
    <hyperlink ref="A14" location="Events!A1" display="Event rates" xr:uid="{00000000-0004-0000-0500-000004000000}"/>
    <hyperlink ref="A16" location="Costs!A1" display="Costs" xr:uid="{00000000-0004-0000-0500-000005000000}"/>
    <hyperlink ref="A20" location="Sensitivity!A1" display="Sensitivity analysis" xr:uid="{00000000-0004-0000-0500-000006000000}"/>
    <hyperlink ref="A18" location="Results!A1" display="Results" xr:uid="{00000000-0004-0000-0500-000007000000}"/>
    <hyperlink ref="C6:D6" location="Events!F10" display="Hospital events" xr:uid="{00000000-0004-0000-0500-000008000000}"/>
    <hyperlink ref="F6:G6" location="'Adverse events'!F10" display="Adverse events" xr:uid="{00000000-0004-0000-0500-000009000000}"/>
    <hyperlink ref="I6:J6" location="'Risk factors'!F10" display="Risk factors" xr:uid="{00000000-0004-0000-0500-00000A000000}"/>
  </hyperlinks>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_reset">
                <anchor moveWithCells="1" sizeWithCells="1">
                  <from>
                    <xdr:col>17</xdr:col>
                    <xdr:colOff>200025</xdr:colOff>
                    <xdr:row>3</xdr:row>
                    <xdr:rowOff>38100</xdr:rowOff>
                  </from>
                  <to>
                    <xdr:col>19</xdr:col>
                    <xdr:colOff>76200</xdr:colOff>
                    <xdr:row>3</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5" operator="containsText" id="{4D878805-2B82-49FB-BC85-FB213654296B}">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containsText" priority="4" operator="containsText" id="{AAFA3AB5-0947-48DD-B896-3138141AC8FD}">
            <xm:f>NOT(ISERROR(SEARCH($C$4,A18)))</xm:f>
            <xm:f>$C$4</xm:f>
            <x14:dxf>
              <font>
                <b val="0"/>
                <i val="0"/>
                <strike val="0"/>
                <color theme="0"/>
              </font>
              <fill>
                <patternFill>
                  <bgColor theme="5"/>
                </patternFill>
              </fill>
            </x14:dxf>
          </x14:cfRule>
          <xm:sqref>A18:A20</xm:sqref>
        </x14:conditionalFormatting>
        <x14:conditionalFormatting xmlns:xm="http://schemas.microsoft.com/office/excel/2006/main">
          <x14:cfRule type="containsText" priority="6" operator="containsText" id="{C7880658-5FD5-4697-8156-93B28B93288D}">
            <xm:f>NOT(ISERROR(SEARCH($C$4,A6)))</xm:f>
            <xm:f>$C$4</xm:f>
            <x14:dxf>
              <font>
                <b val="0"/>
                <i val="0"/>
                <strike val="0"/>
                <color theme="0"/>
              </font>
              <fill>
                <patternFill>
                  <bgColor theme="5"/>
                </patternFill>
              </fill>
            </x14:dxf>
          </x14:cfRule>
          <xm:sqref>A6:A11 A17</xm:sqref>
        </x14:conditionalFormatting>
        <x14:conditionalFormatting xmlns:xm="http://schemas.microsoft.com/office/excel/2006/main">
          <x14:cfRule type="containsText" priority="5" operator="containsText" id="{E866CFDF-AC00-48CC-83D1-ACB3D100B28A}">
            <xm:f>NOT(ISERROR(SEARCH($C$4,A12)))</xm:f>
            <xm:f>$C$4</xm:f>
            <x14:dxf>
              <font>
                <b val="0"/>
                <i val="0"/>
                <strike val="0"/>
                <color theme="0"/>
              </font>
              <fill>
                <patternFill>
                  <bgColor theme="5"/>
                </patternFill>
              </fill>
            </x14:dxf>
          </x14:cfRule>
          <xm:sqref>A12:A16</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Z40"/>
  <sheetViews>
    <sheetView topLeftCell="A4" workbookViewId="0">
      <selection activeCell="A20" sqref="A20"/>
    </sheetView>
  </sheetViews>
  <sheetFormatPr defaultColWidth="8.625" defaultRowHeight="15" x14ac:dyDescent="0.3"/>
  <cols>
    <col min="1" max="1" width="21" style="1" customWidth="1"/>
    <col min="2" max="4" width="8.625" style="1"/>
    <col min="5" max="5" width="7.625" style="1" customWidth="1"/>
    <col min="6" max="6" width="13.375" style="1" customWidth="1"/>
    <col min="7" max="7" width="8.625" style="1"/>
    <col min="8" max="8" width="7.375" style="1" customWidth="1"/>
    <col min="9" max="10" width="9.25" style="1" customWidth="1"/>
    <col min="11"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136</v>
      </c>
      <c r="D4" s="10"/>
      <c r="E4" s="10"/>
      <c r="F4" s="145" t="s">
        <v>137</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W5"/>
      <c r="X5"/>
      <c r="Y5"/>
      <c r="Z5"/>
    </row>
    <row r="6" spans="1:26" ht="18" thickTop="1" thickBot="1" x14ac:dyDescent="0.35">
      <c r="A6" s="26" t="s">
        <v>1</v>
      </c>
      <c r="B6" s="36"/>
      <c r="C6" s="149" t="s">
        <v>134</v>
      </c>
      <c r="D6" s="149"/>
      <c r="E6" s="36"/>
      <c r="F6" s="149" t="s">
        <v>23</v>
      </c>
      <c r="G6" s="149"/>
      <c r="H6" s="36"/>
      <c r="I6" s="149" t="s">
        <v>47</v>
      </c>
      <c r="J6" s="149"/>
      <c r="K6"/>
      <c r="L6"/>
      <c r="M6"/>
      <c r="N6"/>
      <c r="O6"/>
      <c r="P6"/>
      <c r="Q6"/>
      <c r="R6"/>
      <c r="S6"/>
      <c r="T6"/>
      <c r="U6"/>
      <c r="V6"/>
      <c r="W6"/>
    </row>
    <row r="7" spans="1:26" ht="18" thickTop="1" thickBot="1" x14ac:dyDescent="0.35">
      <c r="A7" s="2"/>
      <c r="B7"/>
      <c r="C7"/>
      <c r="D7"/>
      <c r="E7"/>
      <c r="F7"/>
      <c r="G7"/>
      <c r="H7"/>
      <c r="I7"/>
      <c r="J7"/>
      <c r="K7"/>
      <c r="L7"/>
      <c r="M7"/>
      <c r="N7"/>
      <c r="O7"/>
      <c r="P7"/>
      <c r="Q7"/>
      <c r="R7"/>
      <c r="S7"/>
      <c r="T7"/>
      <c r="U7"/>
      <c r="V7"/>
      <c r="W7"/>
    </row>
    <row r="8" spans="1:26" ht="18" thickTop="1" thickBot="1" x14ac:dyDescent="0.35">
      <c r="A8" s="26" t="s">
        <v>12</v>
      </c>
      <c r="B8"/>
      <c r="C8" s="29" t="s">
        <v>14</v>
      </c>
      <c r="D8" s="29"/>
      <c r="E8" s="29"/>
      <c r="F8" s="30" t="s">
        <v>65</v>
      </c>
      <c r="G8" s="30" t="s">
        <v>74</v>
      </c>
      <c r="H8" s="30" t="s">
        <v>50</v>
      </c>
      <c r="I8" s="30" t="s">
        <v>77</v>
      </c>
      <c r="J8" s="30" t="s">
        <v>78</v>
      </c>
      <c r="K8" s="29" t="s">
        <v>79</v>
      </c>
      <c r="L8" s="29" t="s">
        <v>64</v>
      </c>
      <c r="M8"/>
      <c r="N8"/>
      <c r="O8"/>
      <c r="P8"/>
      <c r="Q8"/>
      <c r="R8"/>
      <c r="S8"/>
      <c r="T8"/>
      <c r="U8"/>
      <c r="V8"/>
      <c r="W8"/>
    </row>
    <row r="9" spans="1:26" ht="18" thickTop="1" thickBot="1" x14ac:dyDescent="0.35">
      <c r="A9" s="2"/>
      <c r="B9"/>
      <c r="C9" s="12"/>
      <c r="D9" s="25"/>
      <c r="E9" s="25"/>
      <c r="G9" s="31"/>
      <c r="M9"/>
      <c r="N9"/>
      <c r="O9"/>
      <c r="P9"/>
      <c r="Q9"/>
      <c r="R9"/>
      <c r="S9"/>
      <c r="T9"/>
      <c r="U9"/>
      <c r="V9"/>
      <c r="W9"/>
    </row>
    <row r="10" spans="1:26" ht="18" thickTop="1" thickBot="1" x14ac:dyDescent="0.35">
      <c r="A10" s="26" t="s">
        <v>13</v>
      </c>
      <c r="B10"/>
      <c r="C10" s="11" t="s">
        <v>138</v>
      </c>
      <c r="F10"/>
      <c r="G10"/>
      <c r="M10"/>
      <c r="N10"/>
      <c r="O10"/>
      <c r="P10"/>
      <c r="Q10"/>
      <c r="R10"/>
      <c r="S10"/>
      <c r="T10"/>
      <c r="U10"/>
      <c r="V10"/>
      <c r="W10"/>
    </row>
    <row r="11" spans="1:26" ht="18" thickTop="1" thickBot="1" x14ac:dyDescent="0.35">
      <c r="A11" s="2"/>
      <c r="B11"/>
      <c r="C11" s="11" t="s">
        <v>139</v>
      </c>
      <c r="F11" s="16" t="s">
        <v>140</v>
      </c>
      <c r="G11"/>
      <c r="L11" s="1" t="s">
        <v>146</v>
      </c>
      <c r="M11"/>
      <c r="N11"/>
      <c r="O11"/>
      <c r="P11"/>
      <c r="Q11"/>
      <c r="R11"/>
      <c r="S11"/>
      <c r="T11"/>
      <c r="U11"/>
      <c r="V11"/>
      <c r="W11"/>
    </row>
    <row r="12" spans="1:26" ht="18" thickTop="1" thickBot="1" x14ac:dyDescent="0.35">
      <c r="A12" s="26" t="s">
        <v>22</v>
      </c>
      <c r="B12"/>
      <c r="G12" s="31"/>
      <c r="M12"/>
      <c r="N12"/>
      <c r="O12"/>
      <c r="P12"/>
      <c r="Q12"/>
      <c r="R12"/>
      <c r="S12"/>
      <c r="T12"/>
      <c r="U12"/>
      <c r="V12"/>
      <c r="W12"/>
    </row>
    <row r="13" spans="1:26" ht="18" thickTop="1" thickBot="1" x14ac:dyDescent="0.35">
      <c r="A13" s="2"/>
      <c r="B13"/>
      <c r="C13" s="11" t="s">
        <v>141</v>
      </c>
      <c r="F13" s="36"/>
      <c r="G13"/>
      <c r="H13"/>
      <c r="I13"/>
      <c r="J13"/>
      <c r="K13"/>
      <c r="L13"/>
      <c r="M13"/>
      <c r="N13"/>
      <c r="O13"/>
      <c r="P13"/>
      <c r="Q13"/>
      <c r="R13"/>
      <c r="S13"/>
      <c r="T13"/>
      <c r="U13"/>
      <c r="V13"/>
      <c r="W13"/>
    </row>
    <row r="14" spans="1:26" ht="18" thickTop="1" thickBot="1" x14ac:dyDescent="0.35">
      <c r="A14" s="26" t="s">
        <v>132</v>
      </c>
      <c r="B14"/>
      <c r="C14" s="11" t="s">
        <v>139</v>
      </c>
      <c r="F14" s="16" t="s">
        <v>140</v>
      </c>
      <c r="G14"/>
      <c r="H14"/>
      <c r="I14"/>
      <c r="J14"/>
      <c r="K14"/>
      <c r="L14" s="1" t="s">
        <v>147</v>
      </c>
      <c r="M14"/>
      <c r="N14"/>
      <c r="O14"/>
      <c r="P14"/>
      <c r="Q14"/>
      <c r="R14"/>
      <c r="S14"/>
      <c r="T14"/>
      <c r="U14"/>
      <c r="V14"/>
      <c r="W14"/>
    </row>
    <row r="15" spans="1:26" ht="18" thickTop="1" thickBot="1" x14ac:dyDescent="0.35">
      <c r="A15" s="2"/>
      <c r="B15"/>
      <c r="C15"/>
      <c r="D15"/>
      <c r="E15"/>
      <c r="F15"/>
      <c r="G15"/>
      <c r="H15"/>
      <c r="I15"/>
      <c r="J15"/>
      <c r="K15"/>
      <c r="L15"/>
      <c r="M15"/>
      <c r="N15"/>
      <c r="O15"/>
      <c r="P15"/>
      <c r="Q15"/>
      <c r="R15"/>
      <c r="S15"/>
      <c r="T15"/>
      <c r="U15"/>
      <c r="V15"/>
      <c r="W15"/>
    </row>
    <row r="16" spans="1:26" ht="18" thickTop="1" thickBot="1" x14ac:dyDescent="0.35">
      <c r="A16" s="26" t="s">
        <v>24</v>
      </c>
      <c r="B16"/>
      <c r="C16" s="11" t="s">
        <v>142</v>
      </c>
      <c r="D16"/>
      <c r="E16"/>
      <c r="F16"/>
      <c r="G16"/>
      <c r="H16"/>
      <c r="I16"/>
      <c r="J16"/>
      <c r="K16"/>
      <c r="L16"/>
      <c r="M16"/>
      <c r="N16"/>
      <c r="O16"/>
      <c r="P16"/>
      <c r="Q16"/>
      <c r="R16"/>
      <c r="S16"/>
      <c r="T16"/>
      <c r="U16"/>
      <c r="V16"/>
      <c r="W16"/>
    </row>
    <row r="17" spans="1:23" ht="18" thickTop="1" thickBot="1" x14ac:dyDescent="0.35">
      <c r="A17" s="2"/>
      <c r="B17"/>
      <c r="C17" s="11" t="s">
        <v>143</v>
      </c>
      <c r="F17" s="28">
        <v>4</v>
      </c>
      <c r="G17" t="s">
        <v>145</v>
      </c>
      <c r="H17"/>
      <c r="I17" s="28">
        <v>2</v>
      </c>
      <c r="J17" s="28">
        <v>22</v>
      </c>
      <c r="K17" s="36" t="s">
        <v>152</v>
      </c>
      <c r="O17"/>
      <c r="P17"/>
      <c r="Q17"/>
      <c r="R17"/>
      <c r="S17"/>
      <c r="T17"/>
      <c r="U17"/>
      <c r="V17"/>
      <c r="W17"/>
    </row>
    <row r="18" spans="1:23" ht="18" thickTop="1" thickBot="1" x14ac:dyDescent="0.35">
      <c r="A18" s="26" t="s">
        <v>2</v>
      </c>
      <c r="B18"/>
      <c r="C18" s="11" t="s">
        <v>150</v>
      </c>
      <c r="D18" s="36"/>
      <c r="E18" s="36"/>
      <c r="F18" s="28">
        <v>6.45</v>
      </c>
      <c r="G18" s="36" t="s">
        <v>151</v>
      </c>
      <c r="H18" s="36"/>
      <c r="I18" s="28">
        <v>2.92</v>
      </c>
      <c r="J18" s="28">
        <v>14.25</v>
      </c>
      <c r="K18" t="s">
        <v>152</v>
      </c>
      <c r="L18"/>
      <c r="M18"/>
      <c r="N18"/>
      <c r="O18"/>
      <c r="P18"/>
      <c r="Q18"/>
      <c r="R18"/>
      <c r="S18"/>
      <c r="T18"/>
      <c r="U18"/>
      <c r="V18"/>
      <c r="W18"/>
    </row>
    <row r="19" spans="1:23" ht="18" thickTop="1" thickBot="1" x14ac:dyDescent="0.35">
      <c r="A19" s="2"/>
      <c r="B19"/>
      <c r="C19" s="11" t="s">
        <v>144</v>
      </c>
      <c r="D19"/>
      <c r="E19"/>
      <c r="F19" s="28">
        <v>1.73</v>
      </c>
      <c r="G19" s="36" t="s">
        <v>151</v>
      </c>
      <c r="H19"/>
      <c r="I19" s="28">
        <v>1.42</v>
      </c>
      <c r="J19" s="28">
        <v>2.12</v>
      </c>
      <c r="K19" s="36" t="s">
        <v>152</v>
      </c>
      <c r="L19"/>
      <c r="M19"/>
      <c r="N19"/>
      <c r="O19"/>
      <c r="P19"/>
      <c r="Q19"/>
      <c r="R19"/>
      <c r="S19"/>
      <c r="T19"/>
      <c r="U19"/>
      <c r="V19"/>
      <c r="W19"/>
    </row>
    <row r="20" spans="1:23" ht="18" thickTop="1" thickBot="1" x14ac:dyDescent="0.35">
      <c r="A20" s="26" t="s">
        <v>51</v>
      </c>
      <c r="B20"/>
      <c r="C20" s="11" t="s">
        <v>149</v>
      </c>
      <c r="D20"/>
      <c r="E20"/>
      <c r="F20" s="28">
        <v>1.64</v>
      </c>
      <c r="G20" s="36" t="s">
        <v>151</v>
      </c>
      <c r="H20"/>
      <c r="I20" s="28">
        <v>1.1499999999999999</v>
      </c>
      <c r="J20" s="28">
        <v>2.35</v>
      </c>
      <c r="K20" s="36" t="s">
        <v>152</v>
      </c>
      <c r="L20"/>
      <c r="M20"/>
      <c r="N20"/>
      <c r="O20"/>
      <c r="P20"/>
      <c r="Q20"/>
      <c r="R20"/>
      <c r="S20"/>
      <c r="T20"/>
      <c r="U20"/>
      <c r="V20"/>
      <c r="W20"/>
    </row>
    <row r="21" spans="1:23" ht="17.25" thickTop="1" x14ac:dyDescent="0.3">
      <c r="A21" s="2"/>
      <c r="B21"/>
      <c r="C21" s="11" t="s">
        <v>313</v>
      </c>
      <c r="D21"/>
      <c r="E21"/>
      <c r="F21" s="28" t="s">
        <v>346</v>
      </c>
      <c r="G21"/>
      <c r="H21"/>
      <c r="I21"/>
      <c r="J21"/>
      <c r="K21"/>
      <c r="L21"/>
      <c r="M21"/>
      <c r="N21"/>
      <c r="O21"/>
      <c r="P21"/>
      <c r="Q21"/>
      <c r="R21"/>
      <c r="S21"/>
      <c r="T21"/>
      <c r="U21"/>
      <c r="V21"/>
      <c r="W21"/>
    </row>
    <row r="22" spans="1:23" x14ac:dyDescent="0.3">
      <c r="A22" s="2"/>
    </row>
    <row r="23" spans="1:23" ht="16.5" x14ac:dyDescent="0.3">
      <c r="A23" s="2"/>
      <c r="C23" s="11" t="s">
        <v>148</v>
      </c>
      <c r="D23" s="36"/>
      <c r="E23" s="36"/>
      <c r="F23" s="36"/>
      <c r="G23" s="36"/>
      <c r="H23" s="36"/>
      <c r="I23" s="36"/>
      <c r="J23" s="36"/>
      <c r="K23" s="36"/>
      <c r="L23" s="36"/>
      <c r="M23" s="36"/>
      <c r="N23" s="36"/>
    </row>
    <row r="24" spans="1:23" ht="16.5" x14ac:dyDescent="0.3">
      <c r="A24" s="2"/>
      <c r="C24" s="11" t="s">
        <v>150</v>
      </c>
      <c r="D24" s="36"/>
      <c r="E24" s="36"/>
      <c r="F24" s="28">
        <v>1.71</v>
      </c>
      <c r="G24" s="36" t="s">
        <v>151</v>
      </c>
      <c r="H24" s="36"/>
      <c r="I24" s="14">
        <v>1.36</v>
      </c>
      <c r="J24" s="14">
        <v>2.16</v>
      </c>
      <c r="K24" s="36" t="s">
        <v>155</v>
      </c>
      <c r="L24" s="36" t="s">
        <v>154</v>
      </c>
      <c r="M24" s="36" t="s">
        <v>153</v>
      </c>
      <c r="N24" s="36"/>
    </row>
    <row r="25" spans="1:23" ht="16.5" x14ac:dyDescent="0.3">
      <c r="A25" s="2"/>
      <c r="C25"/>
      <c r="D25"/>
      <c r="E25"/>
      <c r="F25"/>
      <c r="G25"/>
      <c r="H25"/>
      <c r="I25"/>
      <c r="J25"/>
      <c r="K25"/>
      <c r="L25" s="36"/>
      <c r="M25" s="36"/>
      <c r="N25" s="36"/>
    </row>
    <row r="26" spans="1:23" ht="16.5" x14ac:dyDescent="0.3">
      <c r="A26" s="2"/>
      <c r="C26"/>
      <c r="D26"/>
      <c r="E26"/>
      <c r="F26"/>
      <c r="G26"/>
      <c r="H26"/>
      <c r="I26"/>
      <c r="J26"/>
      <c r="K26"/>
      <c r="L26" s="36"/>
      <c r="M26" s="36"/>
      <c r="N26" s="36"/>
    </row>
    <row r="27" spans="1:23" ht="16.5" x14ac:dyDescent="0.3">
      <c r="A27" s="2"/>
      <c r="C27"/>
      <c r="D27"/>
      <c r="E27"/>
      <c r="F27"/>
      <c r="G27"/>
      <c r="H27"/>
      <c r="I27"/>
      <c r="J27"/>
      <c r="K27"/>
      <c r="L27" s="36"/>
      <c r="M27" s="36"/>
      <c r="N27" s="36"/>
    </row>
    <row r="28" spans="1:23" x14ac:dyDescent="0.3">
      <c r="A28" s="2"/>
    </row>
    <row r="29" spans="1:23" x14ac:dyDescent="0.3">
      <c r="A29" s="2"/>
    </row>
    <row r="30" spans="1:23" x14ac:dyDescent="0.3">
      <c r="A30" s="2"/>
    </row>
    <row r="31" spans="1:23" x14ac:dyDescent="0.3">
      <c r="A31" s="2"/>
    </row>
    <row r="32" spans="1:23"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6">
    <mergeCell ref="C1:U1"/>
    <mergeCell ref="C2:U2"/>
    <mergeCell ref="F4:V4"/>
    <mergeCell ref="C6:D6"/>
    <mergeCell ref="F6:G6"/>
    <mergeCell ref="I6:J6"/>
  </mergeCells>
  <conditionalFormatting sqref="C9">
    <cfRule type="expression" dxfId="101" priority="7">
      <formula>$D$9</formula>
    </cfRule>
  </conditionalFormatting>
  <conditionalFormatting sqref="C6:D6">
    <cfRule type="expression" dxfId="100" priority="3">
      <formula>FIND(C6,F4,1)</formula>
    </cfRule>
  </conditionalFormatting>
  <conditionalFormatting sqref="F6:G6">
    <cfRule type="expression" dxfId="99" priority="2">
      <formula>FIND(F6,F4,1)</formula>
    </cfRule>
  </conditionalFormatting>
  <conditionalFormatting sqref="I6:J6">
    <cfRule type="expression" dxfId="98" priority="1">
      <formula>FIND($I$6,$F$4,1)</formula>
    </cfRule>
  </conditionalFormatting>
  <dataValidations count="4">
    <dataValidation type="decimal" operator="greaterThanOrEqual" allowBlank="1" showInputMessage="1" showErrorMessage="1" errorTitle="Value error" error="Must be greater than or equal to zero" sqref="F17" xr:uid="{00000000-0002-0000-0600-000000000000}">
      <formula1>0</formula1>
    </dataValidation>
    <dataValidation type="decimal" allowBlank="1" showInputMessage="1" showErrorMessage="1" errorTitle="Positive value" error="Between 0 and the mean value entered" sqref="I17:I20 I24" xr:uid="{00000000-0002-0000-0600-000001000000}">
      <formula1>0</formula1>
      <formula2>F17</formula2>
    </dataValidation>
    <dataValidation type="decimal" allowBlank="1" showInputMessage="1" showErrorMessage="1" errorTitle="Positive value" error="between the mean value entered and 100" sqref="J17:J20 J24" xr:uid="{00000000-0002-0000-0600-000002000000}">
      <formula1>F17</formula1>
      <formula2>100</formula2>
    </dataValidation>
    <dataValidation type="decimal" allowBlank="1" showInputMessage="1" showErrorMessage="1" errorTitle="Value error" error="Range allowed is 0.01 to 20" sqref="F18:F20 F24" xr:uid="{00000000-0002-0000-0600-000003000000}">
      <formula1>0.01</formula1>
      <formula2>20</formula2>
    </dataValidation>
  </dataValidations>
  <hyperlinks>
    <hyperlink ref="A6" location="Home!A1" display="Home" xr:uid="{00000000-0004-0000-0600-000000000000}"/>
    <hyperlink ref="A8" location="Setup!A1" display="Model set up" xr:uid="{00000000-0004-0000-0600-000001000000}"/>
    <hyperlink ref="A10" location="Population!A1" display="Population" xr:uid="{00000000-0004-0000-0600-000002000000}"/>
    <hyperlink ref="A12" location="Interventions!A1" display="Interventions" xr:uid="{00000000-0004-0000-0600-000003000000}"/>
    <hyperlink ref="A14" location="Events!A1" display="Event rates" xr:uid="{00000000-0004-0000-0600-000004000000}"/>
    <hyperlink ref="A16" location="Costs!A1" display="Costs" xr:uid="{00000000-0004-0000-0600-000005000000}"/>
    <hyperlink ref="A20" location="Sensitivity!A1" display="Sensitivity analysis" xr:uid="{00000000-0004-0000-0600-000006000000}"/>
    <hyperlink ref="A18" location="Results!A1" display="Results" xr:uid="{00000000-0004-0000-0600-000007000000}"/>
    <hyperlink ref="C6:D6" location="Events!F10" display="Hospital events" xr:uid="{00000000-0004-0000-0600-000008000000}"/>
    <hyperlink ref="F6:G6" location="'Adverse events'!F10" display="Adverse events" xr:uid="{00000000-0004-0000-0600-000009000000}"/>
    <hyperlink ref="I6:J6" location="'Risk factors'!F10" display="Risk factors" xr:uid="{00000000-0004-0000-0600-00000A000000}"/>
  </hyperlinks>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_reset">
                <anchor moveWithCells="1" sizeWithCells="1">
                  <from>
                    <xdr:col>17</xdr:col>
                    <xdr:colOff>228600</xdr:colOff>
                    <xdr:row>3</xdr:row>
                    <xdr:rowOff>38100</xdr:rowOff>
                  </from>
                  <to>
                    <xdr:col>19</xdr:col>
                    <xdr:colOff>104775</xdr:colOff>
                    <xdr:row>3</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3" operator="containsText" id="{E9B010BD-7FFF-4D3E-A660-DF7AF7D898A6}">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containsText" priority="6" operator="containsText" id="{EF2066D2-D3EC-4B87-B2A3-F994BFE74AD5}">
            <xm:f>NOT(ISERROR(SEARCH($C$4,A6)))</xm:f>
            <xm:f>$C$4</xm:f>
            <x14:dxf>
              <font>
                <b val="0"/>
                <i val="0"/>
                <strike val="0"/>
                <color theme="0"/>
              </font>
              <fill>
                <patternFill>
                  <bgColor theme="5"/>
                </patternFill>
              </fill>
            </x14:dxf>
          </x14:cfRule>
          <xm:sqref>A6:A11 A17</xm:sqref>
        </x14:conditionalFormatting>
        <x14:conditionalFormatting xmlns:xm="http://schemas.microsoft.com/office/excel/2006/main">
          <x14:cfRule type="containsText" priority="5" operator="containsText" id="{3A4C13FE-A965-4426-BD04-30F83E0266FF}">
            <xm:f>NOT(ISERROR(SEARCH($C$4,A12)))</xm:f>
            <xm:f>$C$4</xm:f>
            <x14:dxf>
              <font>
                <b val="0"/>
                <i val="0"/>
                <strike val="0"/>
                <color theme="0"/>
              </font>
              <fill>
                <patternFill>
                  <bgColor theme="5"/>
                </patternFill>
              </fill>
            </x14:dxf>
          </x14:cfRule>
          <xm:sqref>A12:A16</xm:sqref>
        </x14:conditionalFormatting>
        <x14:conditionalFormatting xmlns:xm="http://schemas.microsoft.com/office/excel/2006/main">
          <x14:cfRule type="containsText" priority="4" operator="containsText" id="{5A7630DA-1079-443C-99B6-36D2FE050EA7}">
            <xm:f>NOT(ISERROR(SEARCH($C$4,A18)))</xm:f>
            <xm:f>$C$4</xm:f>
            <x14:dxf>
              <font>
                <b val="0"/>
                <i val="0"/>
                <strike val="0"/>
                <color theme="0"/>
              </font>
              <fill>
                <patternFill>
                  <bgColor theme="5"/>
                </patternFill>
              </fill>
            </x14:dxf>
          </x14:cfRule>
          <xm:sqref>A18:A20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4000000}">
          <x14:formula1>
            <xm:f>'Cell options'!$H$7:$H$8</xm:f>
          </x14:formula1>
          <xm:sqref>F21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Z40"/>
  <sheetViews>
    <sheetView workbookViewId="0">
      <selection activeCell="A18" sqref="A18"/>
    </sheetView>
  </sheetViews>
  <sheetFormatPr defaultColWidth="8.625" defaultRowHeight="15" x14ac:dyDescent="0.3"/>
  <cols>
    <col min="1" max="1" width="21" style="1" customWidth="1"/>
    <col min="2" max="3" width="8.625" style="1"/>
    <col min="4" max="4" width="10.125" style="1" customWidth="1"/>
    <col min="5" max="6" width="8.625" style="1"/>
    <col min="7" max="7" width="16.625" style="1" bestFit="1" customWidth="1"/>
    <col min="8" max="10" width="9.625" style="1" bestFit="1" customWidth="1"/>
    <col min="11"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24</v>
      </c>
      <c r="D4" s="10"/>
      <c r="E4" s="10"/>
      <c r="F4" s="145" t="s">
        <v>169</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8" thickTop="1" thickBot="1" x14ac:dyDescent="0.35">
      <c r="A6" s="26" t="s">
        <v>1</v>
      </c>
      <c r="B6"/>
      <c r="C6" s="149" t="s">
        <v>168</v>
      </c>
      <c r="D6" s="149"/>
      <c r="E6" s="36"/>
      <c r="F6" s="149" t="s">
        <v>162</v>
      </c>
      <c r="G6" s="149"/>
      <c r="H6"/>
      <c r="I6"/>
      <c r="J6"/>
      <c r="K6"/>
      <c r="L6"/>
      <c r="M6"/>
      <c r="N6"/>
      <c r="O6"/>
      <c r="P6"/>
      <c r="Q6"/>
      <c r="R6"/>
      <c r="S6"/>
      <c r="T6"/>
      <c r="U6"/>
    </row>
    <row r="7" spans="1:26" ht="18" thickTop="1" thickBot="1" x14ac:dyDescent="0.35">
      <c r="A7" s="2"/>
      <c r="B7"/>
      <c r="C7"/>
      <c r="D7"/>
      <c r="E7"/>
      <c r="F7"/>
      <c r="G7"/>
      <c r="H7"/>
      <c r="I7"/>
      <c r="J7"/>
      <c r="K7"/>
      <c r="L7"/>
      <c r="M7"/>
      <c r="N7"/>
      <c r="O7"/>
      <c r="P7"/>
      <c r="Q7"/>
      <c r="R7"/>
      <c r="S7"/>
      <c r="T7"/>
      <c r="U7"/>
    </row>
    <row r="8" spans="1:26" ht="18" thickTop="1" thickBot="1" x14ac:dyDescent="0.35">
      <c r="A8" s="26" t="s">
        <v>12</v>
      </c>
      <c r="B8"/>
      <c r="C8" s="29" t="s">
        <v>14</v>
      </c>
      <c r="D8" s="29"/>
      <c r="E8" s="29"/>
      <c r="F8" s="30" t="s">
        <v>65</v>
      </c>
      <c r="G8" s="30" t="s">
        <v>74</v>
      </c>
      <c r="H8" s="30" t="s">
        <v>50</v>
      </c>
      <c r="I8" s="30" t="s">
        <v>77</v>
      </c>
      <c r="J8" s="30" t="s">
        <v>78</v>
      </c>
      <c r="K8" s="29" t="s">
        <v>79</v>
      </c>
      <c r="L8" s="29" t="s">
        <v>64</v>
      </c>
      <c r="M8"/>
      <c r="N8"/>
      <c r="O8"/>
      <c r="P8"/>
      <c r="Q8"/>
      <c r="R8"/>
      <c r="S8"/>
      <c r="T8"/>
      <c r="U8"/>
    </row>
    <row r="9" spans="1:26" ht="18" thickTop="1" thickBot="1" x14ac:dyDescent="0.35">
      <c r="A9" s="2"/>
      <c r="B9"/>
      <c r="C9" s="12"/>
      <c r="D9" s="25"/>
      <c r="E9" s="25"/>
      <c r="G9" s="31"/>
      <c r="M9"/>
      <c r="N9"/>
      <c r="O9"/>
      <c r="P9"/>
      <c r="Q9"/>
      <c r="R9"/>
      <c r="S9"/>
      <c r="T9"/>
      <c r="U9"/>
    </row>
    <row r="10" spans="1:26" ht="18" thickTop="1" thickBot="1" x14ac:dyDescent="0.35">
      <c r="A10" s="26" t="s">
        <v>13</v>
      </c>
      <c r="B10"/>
      <c r="C10" s="11" t="s">
        <v>166</v>
      </c>
      <c r="F10" s="43">
        <v>10244.049999999999</v>
      </c>
      <c r="G10" s="39" t="str">
        <f>Currency&amp;" per procedure"</f>
        <v>USD per procedure</v>
      </c>
      <c r="H10" s="133">
        <v>2663.69</v>
      </c>
      <c r="M10"/>
      <c r="N10"/>
      <c r="O10"/>
      <c r="P10"/>
      <c r="Q10"/>
      <c r="R10"/>
      <c r="S10"/>
      <c r="T10"/>
      <c r="U10"/>
    </row>
    <row r="11" spans="1:26" ht="18" thickTop="1" thickBot="1" x14ac:dyDescent="0.35">
      <c r="A11" s="2"/>
      <c r="B11"/>
      <c r="C11" s="11" t="s">
        <v>165</v>
      </c>
      <c r="F11" s="43">
        <v>755.75</v>
      </c>
      <c r="G11" s="39" t="str">
        <f>Currency&amp;" per day"</f>
        <v>USD per day</v>
      </c>
      <c r="H11"/>
      <c r="I11" s="133">
        <v>210.48</v>
      </c>
      <c r="J11" s="133">
        <v>906.25</v>
      </c>
      <c r="M11"/>
      <c r="N11"/>
      <c r="O11"/>
      <c r="P11"/>
      <c r="Q11"/>
      <c r="R11"/>
      <c r="S11"/>
      <c r="T11"/>
      <c r="U11"/>
    </row>
    <row r="12" spans="1:26" ht="18" thickTop="1" thickBot="1" x14ac:dyDescent="0.35">
      <c r="A12" s="26" t="s">
        <v>22</v>
      </c>
      <c r="B12"/>
      <c r="C12" s="11" t="s">
        <v>163</v>
      </c>
      <c r="F12" s="43">
        <v>2535.52</v>
      </c>
      <c r="G12" s="39" t="str">
        <f>Currency&amp;" per day"</f>
        <v>USD per day</v>
      </c>
      <c r="H12"/>
      <c r="I12" s="133">
        <v>2197.4499999999998</v>
      </c>
      <c r="J12" s="133">
        <v>3066.62</v>
      </c>
      <c r="M12"/>
      <c r="N12"/>
      <c r="O12"/>
      <c r="P12"/>
      <c r="Q12"/>
      <c r="R12"/>
      <c r="S12"/>
      <c r="T12"/>
      <c r="U12"/>
    </row>
    <row r="13" spans="1:26" ht="18" thickTop="1" thickBot="1" x14ac:dyDescent="0.35">
      <c r="A13" s="2"/>
      <c r="B13"/>
      <c r="C13" s="36" t="s">
        <v>164</v>
      </c>
      <c r="F13" s="43">
        <v>2357.3000000000002</v>
      </c>
      <c r="G13" s="39" t="str">
        <f>Currency&amp;" per day"</f>
        <v>USD per day</v>
      </c>
      <c r="H13" s="133">
        <v>235.73000000000002</v>
      </c>
      <c r="I13"/>
      <c r="J13"/>
      <c r="K13"/>
      <c r="L13"/>
      <c r="M13"/>
      <c r="N13"/>
      <c r="O13"/>
      <c r="P13"/>
      <c r="Q13"/>
      <c r="R13"/>
      <c r="S13"/>
      <c r="T13"/>
      <c r="U13"/>
    </row>
    <row r="14" spans="1:26" ht="18" thickTop="1" thickBot="1" x14ac:dyDescent="0.35">
      <c r="A14" s="26" t="s">
        <v>132</v>
      </c>
      <c r="B14"/>
      <c r="C14"/>
      <c r="D14"/>
      <c r="E14"/>
      <c r="F14"/>
      <c r="G14"/>
      <c r="H14"/>
      <c r="I14"/>
      <c r="J14"/>
      <c r="K14"/>
      <c r="L14"/>
      <c r="M14"/>
      <c r="N14"/>
      <c r="O14"/>
      <c r="P14"/>
      <c r="Q14"/>
      <c r="R14"/>
      <c r="S14"/>
      <c r="T14"/>
      <c r="U14"/>
    </row>
    <row r="15" spans="1:26" ht="18" thickTop="1" thickBot="1" x14ac:dyDescent="0.35">
      <c r="A15" s="2"/>
      <c r="B15"/>
      <c r="C15" s="11" t="s">
        <v>167</v>
      </c>
      <c r="D15"/>
      <c r="E15"/>
      <c r="F15" s="43">
        <v>57.93</v>
      </c>
      <c r="G15" s="39" t="str">
        <f>Currency&amp;" per hour"</f>
        <v>USD per hour</v>
      </c>
      <c r="H15"/>
      <c r="I15" s="133">
        <v>48.97</v>
      </c>
      <c r="J15" s="133">
        <v>66.900000000000006</v>
      </c>
      <c r="K15"/>
      <c r="L15"/>
      <c r="M15"/>
      <c r="N15"/>
      <c r="O15"/>
      <c r="P15"/>
      <c r="Q15"/>
      <c r="R15"/>
      <c r="S15"/>
      <c r="T15"/>
      <c r="U15"/>
    </row>
    <row r="16" spans="1:26" ht="18" thickTop="1" thickBot="1" x14ac:dyDescent="0.35">
      <c r="A16" s="26" t="s">
        <v>24</v>
      </c>
      <c r="B16"/>
      <c r="C16"/>
      <c r="D16"/>
      <c r="E16"/>
      <c r="F16"/>
      <c r="G16"/>
      <c r="H16"/>
      <c r="I16"/>
      <c r="J16"/>
      <c r="K16"/>
      <c r="L16"/>
      <c r="M16"/>
      <c r="N16"/>
      <c r="O16"/>
      <c r="P16"/>
      <c r="Q16"/>
      <c r="R16"/>
      <c r="S16"/>
      <c r="T16"/>
      <c r="U16"/>
    </row>
    <row r="17" spans="1:21" ht="18" thickTop="1" thickBot="1" x14ac:dyDescent="0.35">
      <c r="A17" s="2"/>
      <c r="B17"/>
      <c r="C17" t="s">
        <v>170</v>
      </c>
      <c r="D17"/>
      <c r="E17"/>
      <c r="F17" s="43">
        <v>420.43</v>
      </c>
      <c r="G17" s="39" t="str">
        <f>Currency&amp;" per day"</f>
        <v>USD per day</v>
      </c>
      <c r="I17" s="133">
        <v>59.37</v>
      </c>
      <c r="J17" s="133">
        <v>1679.64</v>
      </c>
      <c r="K17"/>
      <c r="L17"/>
      <c r="M17"/>
      <c r="N17"/>
      <c r="O17"/>
      <c r="P17"/>
      <c r="Q17"/>
      <c r="R17"/>
      <c r="S17"/>
      <c r="T17"/>
      <c r="U17"/>
    </row>
    <row r="18" spans="1:21" ht="18" thickTop="1" thickBot="1" x14ac:dyDescent="0.35">
      <c r="A18" s="26" t="s">
        <v>2</v>
      </c>
      <c r="B18"/>
      <c r="C18" t="s">
        <v>171</v>
      </c>
      <c r="D18"/>
      <c r="E18"/>
      <c r="F18" s="43">
        <v>0</v>
      </c>
      <c r="G18" s="39" t="str">
        <f>Currency&amp;" per day"</f>
        <v>USD per day</v>
      </c>
      <c r="H18" s="46">
        <v>5</v>
      </c>
      <c r="I18"/>
      <c r="J18"/>
      <c r="K18"/>
      <c r="L18" s="36"/>
      <c r="M18"/>
      <c r="N18"/>
      <c r="O18"/>
      <c r="P18"/>
      <c r="Q18"/>
      <c r="R18"/>
      <c r="S18"/>
      <c r="T18"/>
      <c r="U18"/>
    </row>
    <row r="19" spans="1:21" ht="18" thickTop="1" thickBot="1" x14ac:dyDescent="0.35">
      <c r="A19" s="2"/>
      <c r="B19"/>
      <c r="C19" t="s">
        <v>172</v>
      </c>
      <c r="D19"/>
      <c r="E19"/>
      <c r="F19" s="43">
        <v>0</v>
      </c>
      <c r="G19" t="s">
        <v>89</v>
      </c>
      <c r="H19" s="46">
        <v>5</v>
      </c>
      <c r="I19"/>
      <c r="J19"/>
      <c r="K19"/>
      <c r="L19" s="36"/>
      <c r="M19"/>
      <c r="N19"/>
      <c r="O19"/>
      <c r="P19"/>
      <c r="Q19"/>
      <c r="R19"/>
      <c r="S19"/>
      <c r="T19"/>
      <c r="U19"/>
    </row>
    <row r="20" spans="1:21" ht="18" thickTop="1" thickBot="1" x14ac:dyDescent="0.35">
      <c r="A20" s="26" t="s">
        <v>51</v>
      </c>
      <c r="B20"/>
      <c r="C20"/>
      <c r="D20"/>
      <c r="E20"/>
      <c r="F20"/>
      <c r="G20"/>
      <c r="H20"/>
      <c r="I20"/>
      <c r="J20"/>
      <c r="K20"/>
      <c r="L20"/>
      <c r="M20"/>
      <c r="N20"/>
      <c r="O20"/>
      <c r="P20"/>
      <c r="Q20"/>
      <c r="R20"/>
      <c r="S20"/>
      <c r="T20"/>
      <c r="U20"/>
    </row>
    <row r="21" spans="1:21" ht="17.25" thickTop="1" x14ac:dyDescent="0.3">
      <c r="A21" s="2"/>
      <c r="B21"/>
      <c r="H21"/>
      <c r="I21"/>
      <c r="J21"/>
      <c r="K21"/>
      <c r="L21"/>
      <c r="M21"/>
      <c r="N21"/>
      <c r="O21"/>
      <c r="P21"/>
      <c r="Q21"/>
      <c r="R21"/>
      <c r="S21"/>
      <c r="T21"/>
      <c r="U21"/>
    </row>
    <row r="22" spans="1:21" x14ac:dyDescent="0.3">
      <c r="A22" s="2"/>
    </row>
    <row r="23" spans="1:21" x14ac:dyDescent="0.3">
      <c r="A23" s="2"/>
    </row>
    <row r="24" spans="1:21" x14ac:dyDescent="0.3">
      <c r="A24" s="2"/>
    </row>
    <row r="25" spans="1:21" x14ac:dyDescent="0.3">
      <c r="A25" s="2"/>
    </row>
    <row r="26" spans="1:21" x14ac:dyDescent="0.3">
      <c r="A26" s="2"/>
    </row>
    <row r="27" spans="1:21" x14ac:dyDescent="0.3">
      <c r="A27" s="2"/>
    </row>
    <row r="28" spans="1:21" x14ac:dyDescent="0.3">
      <c r="A28" s="2"/>
    </row>
    <row r="29" spans="1:21" x14ac:dyDescent="0.3">
      <c r="A29" s="2"/>
    </row>
    <row r="30" spans="1:21" x14ac:dyDescent="0.3">
      <c r="A30" s="2"/>
    </row>
    <row r="31" spans="1:21" x14ac:dyDescent="0.3">
      <c r="A31" s="2"/>
    </row>
    <row r="32" spans="1:21"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5">
    <mergeCell ref="C1:U1"/>
    <mergeCell ref="C2:U2"/>
    <mergeCell ref="F4:V4"/>
    <mergeCell ref="C6:D6"/>
    <mergeCell ref="F6:G6"/>
  </mergeCells>
  <conditionalFormatting sqref="C9">
    <cfRule type="expression" dxfId="93" priority="6">
      <formula>$D$9</formula>
    </cfRule>
  </conditionalFormatting>
  <conditionalFormatting sqref="C6:D6">
    <cfRule type="expression" dxfId="92" priority="2">
      <formula>FIND(C6,F4,1)</formula>
    </cfRule>
  </conditionalFormatting>
  <conditionalFormatting sqref="F6:G6">
    <cfRule type="expression" dxfId="91" priority="1">
      <formula>FIND(F6,F4,1)</formula>
    </cfRule>
  </conditionalFormatting>
  <dataValidations count="4">
    <dataValidation type="decimal" operator="greaterThan" allowBlank="1" showInputMessage="1" showErrorMessage="1" errorTitle="Positive value" error="Greater than 0" sqref="H10 H13 H18:H19" xr:uid="{00000000-0002-0000-0700-000000000000}">
      <formula1>0</formula1>
    </dataValidation>
    <dataValidation type="decimal" allowBlank="1" showInputMessage="1" showErrorMessage="1" errorTitle="Positive value" error="between the mean value entered and the mean value multiplied by 5 (i.e. up to a five-fold increase in costs)" sqref="J11:J12 J15 J17" xr:uid="{00000000-0002-0000-0700-000001000000}">
      <formula1>F11</formula1>
      <formula2>F11*5</formula2>
    </dataValidation>
    <dataValidation type="decimal" allowBlank="1" showInputMessage="1" showErrorMessage="1" errorTitle="Positive value" error="Between 0 and the mean value entered" sqref="I11:I12 I15 I17" xr:uid="{00000000-0002-0000-0700-000002000000}">
      <formula1>0</formula1>
      <formula2>F11</formula2>
    </dataValidation>
    <dataValidation type="decimal" operator="greaterThanOrEqual" allowBlank="1" showInputMessage="1" showErrorMessage="1" sqref="F10:F13 F15 F17:F19" xr:uid="{00000000-0002-0000-0700-000003000000}">
      <formula1>0</formula1>
    </dataValidation>
  </dataValidations>
  <hyperlinks>
    <hyperlink ref="A6" location="Home!A1" display="Home" xr:uid="{00000000-0004-0000-0700-000000000000}"/>
    <hyperlink ref="A8" location="Setup!A1" display="Model set up" xr:uid="{00000000-0004-0000-0700-000001000000}"/>
    <hyperlink ref="A10" location="Population!A1" display="Population" xr:uid="{00000000-0004-0000-0700-000002000000}"/>
    <hyperlink ref="A12" location="Interventions!A1" display="Interventions" xr:uid="{00000000-0004-0000-0700-000003000000}"/>
    <hyperlink ref="A14" location="Events!A1" display="Event rates" xr:uid="{00000000-0004-0000-0700-000004000000}"/>
    <hyperlink ref="A16" location="Costs!A1" display="Costs" xr:uid="{00000000-0004-0000-0700-000005000000}"/>
    <hyperlink ref="A20" location="Sensitivity!A1" display="Sensitivity analysis" xr:uid="{00000000-0004-0000-0700-000006000000}"/>
    <hyperlink ref="A18" location="Results!A1" display="Results" xr:uid="{00000000-0004-0000-0700-000007000000}"/>
    <hyperlink ref="C6:D6" location="Costs!F10" display="Hospital costs" xr:uid="{00000000-0004-0000-0700-000008000000}"/>
    <hyperlink ref="F6:G6" location="'Costs AE'!F10" display="Event costs" xr:uid="{00000000-0004-0000-0700-000009000000}"/>
  </hyperlinks>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_reset">
                <anchor moveWithCells="1" sizeWithCells="1">
                  <from>
                    <xdr:col>17</xdr:col>
                    <xdr:colOff>247650</xdr:colOff>
                    <xdr:row>3</xdr:row>
                    <xdr:rowOff>38100</xdr:rowOff>
                  </from>
                  <to>
                    <xdr:col>19</xdr:col>
                    <xdr:colOff>133350</xdr:colOff>
                    <xdr:row>3</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3" operator="containsText" id="{0090480F-CF37-4489-AC8B-D9D3BD280737}">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containsText" priority="4" operator="containsText" id="{EA5181B0-8727-4C83-8441-10EC774FF644}">
            <xm:f>NOT(ISERROR(SEARCH($C$4,A12)))</xm:f>
            <xm:f>$C$4</xm:f>
            <x14:dxf>
              <font>
                <b val="0"/>
                <i val="0"/>
                <strike val="0"/>
                <color theme="0"/>
              </font>
              <fill>
                <patternFill>
                  <bgColor theme="5"/>
                </patternFill>
              </fill>
            </x14:dxf>
          </x14:cfRule>
          <xm:sqref>A12:A16</xm:sqref>
        </x14:conditionalFormatting>
        <x14:conditionalFormatting xmlns:xm="http://schemas.microsoft.com/office/excel/2006/main">
          <x14:cfRule type="containsText" priority="5" operator="containsText" id="{B2D0540F-09EF-430E-BB9C-3FEB247D2958}">
            <xm:f>NOT(ISERROR(SEARCH($C$4,A6)))</xm:f>
            <xm:f>$C$4</xm:f>
            <x14:dxf>
              <font>
                <b val="0"/>
                <i val="0"/>
                <strike val="0"/>
                <color theme="0"/>
              </font>
              <fill>
                <patternFill>
                  <bgColor theme="5"/>
                </patternFill>
              </fill>
            </x14:dxf>
          </x14:cfRule>
          <xm:sqref>A6:A11 A17</xm:sqref>
        </x14:conditionalFormatting>
        <x14:conditionalFormatting xmlns:xm="http://schemas.microsoft.com/office/excel/2006/main">
          <x14:cfRule type="containsText" priority="3" operator="containsText" id="{D918D040-86F4-4187-8A65-C67AD8263679}">
            <xm:f>NOT(ISERROR(SEARCH($C$4,A18)))</xm:f>
            <xm:f>$C$4</xm:f>
            <x14:dxf>
              <font>
                <b val="0"/>
                <i val="0"/>
                <strike val="0"/>
                <color theme="0"/>
              </font>
              <fill>
                <patternFill>
                  <bgColor theme="5"/>
                </patternFill>
              </fill>
            </x14:dxf>
          </x14:cfRule>
          <xm:sqref>A18:A20</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Z40"/>
  <sheetViews>
    <sheetView workbookViewId="0">
      <selection activeCell="A18" sqref="A18"/>
    </sheetView>
  </sheetViews>
  <sheetFormatPr defaultColWidth="8.625" defaultRowHeight="15" x14ac:dyDescent="0.3"/>
  <cols>
    <col min="1" max="1" width="21" style="1" customWidth="1"/>
    <col min="2" max="3" width="8.625" style="1"/>
    <col min="4" max="4" width="10.125" style="1" customWidth="1"/>
    <col min="5" max="5" width="9.25" style="1" customWidth="1"/>
    <col min="6" max="6" width="8.625" style="1"/>
    <col min="7" max="7" width="17.5" style="1" bestFit="1" customWidth="1"/>
    <col min="8"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24</v>
      </c>
      <c r="D4" s="10"/>
      <c r="E4" s="10"/>
      <c r="F4" s="145" t="s">
        <v>173</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8" thickTop="1" thickBot="1" x14ac:dyDescent="0.35">
      <c r="A6" s="26" t="s">
        <v>1</v>
      </c>
      <c r="B6" s="36"/>
      <c r="C6" s="149" t="s">
        <v>168</v>
      </c>
      <c r="D6" s="149"/>
      <c r="E6" s="36"/>
      <c r="F6" s="149" t="s">
        <v>162</v>
      </c>
      <c r="G6" s="149"/>
      <c r="H6"/>
      <c r="I6"/>
      <c r="J6"/>
      <c r="K6"/>
      <c r="L6"/>
      <c r="M6"/>
      <c r="N6"/>
      <c r="O6"/>
      <c r="P6"/>
      <c r="Q6"/>
    </row>
    <row r="7" spans="1:26" ht="18" thickTop="1" thickBot="1" x14ac:dyDescent="0.35">
      <c r="A7" s="2"/>
      <c r="B7"/>
      <c r="C7"/>
      <c r="D7"/>
      <c r="E7"/>
      <c r="F7"/>
      <c r="G7"/>
      <c r="H7"/>
      <c r="I7"/>
      <c r="J7"/>
      <c r="K7"/>
      <c r="L7"/>
      <c r="M7"/>
      <c r="N7"/>
      <c r="O7"/>
      <c r="P7"/>
      <c r="Q7"/>
    </row>
    <row r="8" spans="1:26" ht="18" thickTop="1" thickBot="1" x14ac:dyDescent="0.35">
      <c r="A8" s="26" t="s">
        <v>12</v>
      </c>
      <c r="B8"/>
      <c r="C8" s="29" t="s">
        <v>14</v>
      </c>
      <c r="D8" s="29"/>
      <c r="E8" s="29"/>
      <c r="F8" s="30" t="s">
        <v>65</v>
      </c>
      <c r="G8" s="30" t="s">
        <v>74</v>
      </c>
      <c r="H8" s="30" t="s">
        <v>50</v>
      </c>
      <c r="I8" s="30" t="s">
        <v>77</v>
      </c>
      <c r="J8" s="30" t="s">
        <v>78</v>
      </c>
      <c r="K8" s="29" t="s">
        <v>79</v>
      </c>
      <c r="L8" s="29" t="s">
        <v>64</v>
      </c>
      <c r="M8"/>
      <c r="N8"/>
      <c r="O8"/>
      <c r="P8"/>
      <c r="Q8"/>
      <c r="R8"/>
      <c r="S8"/>
    </row>
    <row r="9" spans="1:26" ht="18" thickTop="1" thickBot="1" x14ac:dyDescent="0.35">
      <c r="A9" s="2"/>
      <c r="B9"/>
      <c r="C9" s="12"/>
      <c r="D9" s="25"/>
      <c r="E9" s="25"/>
      <c r="G9" s="31"/>
      <c r="M9"/>
      <c r="N9"/>
      <c r="O9"/>
      <c r="P9"/>
      <c r="Q9"/>
      <c r="R9"/>
      <c r="S9"/>
    </row>
    <row r="10" spans="1:26" ht="18" thickTop="1" thickBot="1" x14ac:dyDescent="0.35">
      <c r="A10" s="26" t="s">
        <v>13</v>
      </c>
      <c r="B10"/>
      <c r="C10" s="11" t="s">
        <v>177</v>
      </c>
      <c r="F10" s="119">
        <v>-157.6</v>
      </c>
      <c r="G10" s="39" t="str">
        <f>Currency&amp;" per day"</f>
        <v>USD per day</v>
      </c>
      <c r="H10" s="120"/>
      <c r="I10" s="119">
        <v>-568.32000000000005</v>
      </c>
      <c r="J10" s="119">
        <v>253.12</v>
      </c>
      <c r="M10"/>
      <c r="N10"/>
      <c r="O10"/>
      <c r="P10"/>
      <c r="Q10"/>
      <c r="R10"/>
      <c r="S10"/>
    </row>
    <row r="11" spans="1:26" ht="18" thickTop="1" thickBot="1" x14ac:dyDescent="0.35">
      <c r="A11" s="2"/>
      <c r="B11"/>
      <c r="C11" s="11" t="s">
        <v>175</v>
      </c>
      <c r="F11" s="119">
        <v>2582.6</v>
      </c>
      <c r="G11" s="39" t="str">
        <f>Currency&amp;" per event"</f>
        <v>USD per event</v>
      </c>
      <c r="H11"/>
      <c r="I11" s="119">
        <v>629.41</v>
      </c>
      <c r="J11" s="119">
        <v>3915.96</v>
      </c>
      <c r="M11"/>
      <c r="N11"/>
      <c r="O11"/>
      <c r="P11"/>
      <c r="Q11"/>
      <c r="R11"/>
      <c r="S11"/>
    </row>
    <row r="12" spans="1:26" ht="18" thickTop="1" thickBot="1" x14ac:dyDescent="0.35">
      <c r="A12" s="26" t="s">
        <v>22</v>
      </c>
      <c r="B12"/>
      <c r="C12" s="11" t="s">
        <v>176</v>
      </c>
      <c r="F12" s="119">
        <v>-157.6</v>
      </c>
      <c r="G12" s="39" t="str">
        <f>Currency&amp;" per day"</f>
        <v>USD per day</v>
      </c>
      <c r="H12" s="120"/>
      <c r="I12" s="119">
        <v>-568.32000000000005</v>
      </c>
      <c r="J12" s="119">
        <v>253.12</v>
      </c>
      <c r="M12"/>
      <c r="N12"/>
      <c r="O12"/>
      <c r="P12"/>
      <c r="Q12"/>
      <c r="R12"/>
      <c r="S12"/>
    </row>
    <row r="13" spans="1:26" ht="18" thickTop="1" thickBot="1" x14ac:dyDescent="0.35">
      <c r="A13" s="2"/>
      <c r="B13"/>
      <c r="C13" s="11" t="s">
        <v>174</v>
      </c>
      <c r="F13" s="43">
        <v>23585.82</v>
      </c>
      <c r="G13" s="39" t="str">
        <f>Currency&amp;" per event"</f>
        <v>USD per event</v>
      </c>
      <c r="H13" s="120"/>
      <c r="I13" s="119">
        <v>15090.45</v>
      </c>
      <c r="J13" s="119">
        <v>41806.15</v>
      </c>
      <c r="K13"/>
      <c r="L13"/>
      <c r="M13"/>
      <c r="N13"/>
      <c r="O13"/>
      <c r="P13"/>
      <c r="Q13"/>
      <c r="R13"/>
      <c r="S13"/>
    </row>
    <row r="14" spans="1:26" ht="18" thickTop="1" thickBot="1" x14ac:dyDescent="0.35">
      <c r="A14" s="26" t="s">
        <v>132</v>
      </c>
      <c r="B14"/>
      <c r="C14"/>
      <c r="D14"/>
      <c r="E14"/>
      <c r="F14"/>
      <c r="G14"/>
      <c r="H14" s="81"/>
      <c r="I14"/>
      <c r="J14"/>
      <c r="K14"/>
      <c r="L14"/>
      <c r="M14"/>
      <c r="N14"/>
      <c r="O14"/>
      <c r="P14"/>
      <c r="Q14"/>
      <c r="R14"/>
      <c r="S14"/>
    </row>
    <row r="15" spans="1:26" ht="18" thickTop="1" thickBot="1" x14ac:dyDescent="0.35">
      <c r="A15" s="2"/>
      <c r="B15"/>
      <c r="C15" s="11" t="s">
        <v>178</v>
      </c>
      <c r="D15"/>
      <c r="E15"/>
      <c r="F15" s="43">
        <v>2</v>
      </c>
      <c r="G15" t="s">
        <v>180</v>
      </c>
      <c r="H15" s="134">
        <v>0.2</v>
      </c>
      <c r="I15"/>
      <c r="J15"/>
      <c r="K15"/>
      <c r="L15"/>
      <c r="M15"/>
      <c r="N15"/>
      <c r="O15"/>
      <c r="P15"/>
      <c r="Q15"/>
      <c r="R15"/>
      <c r="S15"/>
    </row>
    <row r="16" spans="1:26" ht="18" thickTop="1" thickBot="1" x14ac:dyDescent="0.35">
      <c r="A16" s="26" t="s">
        <v>24</v>
      </c>
      <c r="B16"/>
      <c r="C16" s="11" t="s">
        <v>179</v>
      </c>
      <c r="D16"/>
      <c r="E16"/>
      <c r="F16" s="43">
        <v>1</v>
      </c>
      <c r="G16" s="36" t="s">
        <v>180</v>
      </c>
      <c r="H16" s="134">
        <v>0.1</v>
      </c>
      <c r="I16"/>
      <c r="J16"/>
      <c r="K16"/>
      <c r="L16"/>
      <c r="M16"/>
      <c r="N16"/>
      <c r="O16"/>
      <c r="P16"/>
      <c r="Q16"/>
      <c r="R16"/>
      <c r="S16"/>
    </row>
    <row r="17" spans="1:19" ht="18" thickTop="1" thickBot="1" x14ac:dyDescent="0.35">
      <c r="A17" s="2"/>
      <c r="B17"/>
      <c r="C17"/>
      <c r="D17"/>
      <c r="E17"/>
      <c r="F17"/>
      <c r="G17"/>
      <c r="H17" s="129"/>
      <c r="I17"/>
      <c r="J17"/>
      <c r="K17"/>
      <c r="L17"/>
      <c r="M17"/>
      <c r="N17"/>
      <c r="O17"/>
      <c r="P17"/>
      <c r="Q17"/>
      <c r="R17"/>
      <c r="S17"/>
    </row>
    <row r="18" spans="1:19" ht="18" thickTop="1" thickBot="1" x14ac:dyDescent="0.35">
      <c r="A18" s="26" t="s">
        <v>2</v>
      </c>
      <c r="B18"/>
      <c r="C18" s="11" t="s">
        <v>277</v>
      </c>
      <c r="D18"/>
      <c r="E18"/>
      <c r="F18"/>
      <c r="G18"/>
      <c r="H18" s="130"/>
      <c r="I18"/>
      <c r="J18"/>
      <c r="K18"/>
      <c r="L18"/>
      <c r="M18"/>
      <c r="N18"/>
      <c r="O18"/>
      <c r="P18"/>
      <c r="Q18"/>
      <c r="R18"/>
      <c r="S18"/>
    </row>
    <row r="19" spans="1:19" ht="18" thickTop="1" thickBot="1" x14ac:dyDescent="0.35">
      <c r="A19" s="2"/>
      <c r="B19"/>
      <c r="C19" s="35" t="s">
        <v>279</v>
      </c>
      <c r="D19"/>
      <c r="E19"/>
      <c r="F19" s="28">
        <v>13.3</v>
      </c>
      <c r="G19" t="s">
        <v>89</v>
      </c>
      <c r="H19" s="135">
        <v>20.8</v>
      </c>
      <c r="I19"/>
      <c r="J19"/>
      <c r="K19"/>
      <c r="L19"/>
      <c r="M19"/>
      <c r="N19"/>
      <c r="O19"/>
      <c r="P19"/>
      <c r="Q19"/>
    </row>
    <row r="20" spans="1:19" ht="18" thickTop="1" thickBot="1" x14ac:dyDescent="0.35">
      <c r="A20" s="26" t="s">
        <v>51</v>
      </c>
      <c r="B20"/>
      <c r="C20" s="35" t="s">
        <v>278</v>
      </c>
      <c r="D20" s="44"/>
      <c r="E20" s="44"/>
      <c r="F20" s="28">
        <v>24</v>
      </c>
      <c r="G20" s="44" t="s">
        <v>89</v>
      </c>
      <c r="H20" s="134">
        <v>5</v>
      </c>
      <c r="I20"/>
      <c r="J20"/>
      <c r="K20"/>
      <c r="L20"/>
      <c r="M20"/>
      <c r="N20"/>
      <c r="O20"/>
      <c r="P20"/>
      <c r="Q20"/>
    </row>
    <row r="21" spans="1:19" ht="15.75" thickTop="1" x14ac:dyDescent="0.3">
      <c r="A21" s="2"/>
      <c r="F21" s="31"/>
      <c r="H21" s="129"/>
    </row>
    <row r="22" spans="1:19" x14ac:dyDescent="0.3">
      <c r="A22" s="2"/>
      <c r="C22" s="1" t="s">
        <v>315</v>
      </c>
      <c r="F22" s="43">
        <v>0</v>
      </c>
      <c r="G22" s="39" t="str">
        <f>Currency&amp;" per event"</f>
        <v>USD per event</v>
      </c>
      <c r="H22" s="43">
        <v>100</v>
      </c>
    </row>
    <row r="23" spans="1:19" x14ac:dyDescent="0.3">
      <c r="A23" s="2"/>
    </row>
    <row r="24" spans="1:19" x14ac:dyDescent="0.3">
      <c r="A24" s="2"/>
    </row>
    <row r="25" spans="1:19" x14ac:dyDescent="0.3">
      <c r="A25" s="2"/>
    </row>
    <row r="26" spans="1:19" x14ac:dyDescent="0.3">
      <c r="A26" s="2"/>
    </row>
    <row r="27" spans="1:19" x14ac:dyDescent="0.3">
      <c r="A27" s="2"/>
    </row>
    <row r="28" spans="1:19" x14ac:dyDescent="0.3">
      <c r="A28" s="2"/>
    </row>
    <row r="29" spans="1:19" x14ac:dyDescent="0.3">
      <c r="A29" s="2"/>
    </row>
    <row r="30" spans="1:19" x14ac:dyDescent="0.3">
      <c r="A30" s="2"/>
    </row>
    <row r="31" spans="1:19" x14ac:dyDescent="0.3">
      <c r="A31" s="2"/>
    </row>
    <row r="32" spans="1:19"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5">
    <mergeCell ref="C1:U1"/>
    <mergeCell ref="C2:U2"/>
    <mergeCell ref="F4:V4"/>
    <mergeCell ref="C6:D6"/>
    <mergeCell ref="F6:G6"/>
  </mergeCells>
  <conditionalFormatting sqref="C9">
    <cfRule type="expression" dxfId="86" priority="6">
      <formula>$D$9</formula>
    </cfRule>
  </conditionalFormatting>
  <conditionalFormatting sqref="C6:D6">
    <cfRule type="expression" dxfId="85" priority="2">
      <formula>FIND(C6,F4,1)</formula>
    </cfRule>
  </conditionalFormatting>
  <conditionalFormatting sqref="F6:G6">
    <cfRule type="expression" dxfId="84" priority="1">
      <formula>FIND(F6,F4,1)</formula>
    </cfRule>
  </conditionalFormatting>
  <dataValidations count="6">
    <dataValidation type="decimal" operator="greaterThan" allowBlank="1" showInputMessage="1" showErrorMessage="1" errorTitle="Positive value" error="Greater than 0" sqref="H15:H16 H19:H20 H22" xr:uid="{00000000-0002-0000-0800-000000000000}">
      <formula1>0</formula1>
    </dataValidation>
    <dataValidation type="decimal" allowBlank="1" showInputMessage="1" showErrorMessage="1" errorTitle="Positive value" error="Between 0 and the mean value entered" sqref="I13 I11" xr:uid="{00000000-0002-0000-0800-000001000000}">
      <formula1>0</formula1>
      <formula2>F11</formula2>
    </dataValidation>
    <dataValidation type="decimal" allowBlank="1" showInputMessage="1" showErrorMessage="1" errorTitle="Positive value" error="between the mean value entered and the mean value multiplied by 5 (i.e. up to a five-fold increase in costs)" sqref="J13 J11" xr:uid="{00000000-0002-0000-0800-000002000000}">
      <formula1>F11</formula1>
      <formula2>F11*5</formula2>
    </dataValidation>
    <dataValidation type="decimal" allowBlank="1" showInputMessage="1" showErrorMessage="1" errorTitle="Value restriction" error="to between -2,000 and the mean value entered" sqref="I10 I12" xr:uid="{00000000-0002-0000-0800-000003000000}">
      <formula1>-2000</formula1>
      <formula2>F10</formula2>
    </dataValidation>
    <dataValidation type="decimal" allowBlank="1" showInputMessage="1" showErrorMessage="1" errorTitle="Value restriction" error="to between the mean value entered and 2,000" sqref="J10 J12" xr:uid="{00000000-0002-0000-0800-000004000000}">
      <formula1>F10</formula1>
      <formula2>2000</formula2>
    </dataValidation>
    <dataValidation type="decimal" operator="greaterThanOrEqual" allowBlank="1" showInputMessage="1" showErrorMessage="1" sqref="F11 F13 F19:F20 F22 F15:F16" xr:uid="{00000000-0002-0000-0800-000005000000}">
      <formula1>0</formula1>
    </dataValidation>
  </dataValidations>
  <hyperlinks>
    <hyperlink ref="A6" location="Home!A1" display="Home" xr:uid="{00000000-0004-0000-0800-000000000000}"/>
    <hyperlink ref="A8" location="Setup!A1" display="Model set up" xr:uid="{00000000-0004-0000-0800-000001000000}"/>
    <hyperlink ref="A10" location="Population!A1" display="Population" xr:uid="{00000000-0004-0000-0800-000002000000}"/>
    <hyperlink ref="A12" location="Interventions!A1" display="Interventions" xr:uid="{00000000-0004-0000-0800-000003000000}"/>
    <hyperlink ref="A14" location="Events!A1" display="Event rates" xr:uid="{00000000-0004-0000-0800-000004000000}"/>
    <hyperlink ref="A16" location="Costs!A1" display="Costs" xr:uid="{00000000-0004-0000-0800-000005000000}"/>
    <hyperlink ref="A20" location="Sensitivity!A1" display="Sensitivity analysis" xr:uid="{00000000-0004-0000-0800-000006000000}"/>
    <hyperlink ref="A18" location="Results!A1" display="Results" xr:uid="{00000000-0004-0000-0800-000007000000}"/>
    <hyperlink ref="C6:D6" location="Costs!F10" display="Hospital costs" xr:uid="{00000000-0004-0000-0800-000008000000}"/>
    <hyperlink ref="F6:G6" location="'Costs AE'!F10" display="Event costs" xr:uid="{00000000-0004-0000-0800-000009000000}"/>
  </hyperlinks>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eet_reset">
                <anchor moveWithCells="1" sizeWithCells="1">
                  <from>
                    <xdr:col>17</xdr:col>
                    <xdr:colOff>209550</xdr:colOff>
                    <xdr:row>3</xdr:row>
                    <xdr:rowOff>38100</xdr:rowOff>
                  </from>
                  <to>
                    <xdr:col>19</xdr:col>
                    <xdr:colOff>85725</xdr:colOff>
                    <xdr:row>3</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1" operator="containsText" id="{5D623EFB-6526-484B-9AA5-89FE908896B1}">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containsText" priority="4" operator="containsText" id="{2497A9CC-5129-4BC8-83F1-5A2F1FC79D72}">
            <xm:f>NOT(ISERROR(SEARCH($C$4,A12)))</xm:f>
            <xm:f>$C$4</xm:f>
            <x14:dxf>
              <font>
                <b val="0"/>
                <i val="0"/>
                <strike val="0"/>
                <color theme="0"/>
              </font>
              <fill>
                <patternFill>
                  <bgColor theme="5"/>
                </patternFill>
              </fill>
            </x14:dxf>
          </x14:cfRule>
          <xm:sqref>A12:A16</xm:sqref>
        </x14:conditionalFormatting>
        <x14:conditionalFormatting xmlns:xm="http://schemas.microsoft.com/office/excel/2006/main">
          <x14:cfRule type="containsText" priority="5" operator="containsText" id="{24339B0D-E314-4DE0-9371-3C8DD5D9B39D}">
            <xm:f>NOT(ISERROR(SEARCH($C$4,A6)))</xm:f>
            <xm:f>$C$4</xm:f>
            <x14:dxf>
              <font>
                <b val="0"/>
                <i val="0"/>
                <strike val="0"/>
                <color theme="0"/>
              </font>
              <fill>
                <patternFill>
                  <bgColor theme="5"/>
                </patternFill>
              </fill>
            </x14:dxf>
          </x14:cfRule>
          <xm:sqref>A6:A11 A17</xm:sqref>
        </x14:conditionalFormatting>
        <x14:conditionalFormatting xmlns:xm="http://schemas.microsoft.com/office/excel/2006/main">
          <x14:cfRule type="containsText" priority="3" operator="containsText" id="{CE4C4BC8-E702-4ACD-ACB1-794F3B4F935A}">
            <xm:f>NOT(ISERROR(SEARCH($C$4,A18)))</xm:f>
            <xm:f>$C$4</xm:f>
            <x14:dxf>
              <font>
                <b val="0"/>
                <i val="0"/>
                <strike val="0"/>
                <color theme="0"/>
              </font>
              <fill>
                <patternFill>
                  <bgColor theme="5"/>
                </patternFill>
              </fill>
            </x14:dxf>
          </x14:cfRule>
          <xm:sqref>A18:A20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Z40"/>
  <sheetViews>
    <sheetView workbookViewId="0">
      <selection activeCell="A20" sqref="A20"/>
    </sheetView>
  </sheetViews>
  <sheetFormatPr defaultColWidth="8.625" defaultRowHeight="15" x14ac:dyDescent="0.3"/>
  <cols>
    <col min="1" max="1" width="21" style="1" customWidth="1"/>
    <col min="2" max="2" width="7.75" style="1" customWidth="1"/>
    <col min="3" max="4" width="8.625" style="1"/>
    <col min="5" max="5" width="3" style="1" customWidth="1"/>
    <col min="6" max="6" width="18.25" style="1" customWidth="1"/>
    <col min="7" max="7" width="8.625" style="1"/>
    <col min="8" max="8" width="18.875" style="1" customWidth="1"/>
    <col min="9" max="9" width="8.625" style="1"/>
    <col min="10" max="10" width="16.5" style="1" customWidth="1"/>
    <col min="11" max="11" width="8.625" style="1"/>
    <col min="12" max="12" width="11.125" style="1" bestFit="1" customWidth="1"/>
    <col min="13" max="17" width="3.625" style="1" customWidth="1"/>
    <col min="18" max="18" width="4.625" style="1" customWidth="1"/>
    <col min="19" max="19" width="11.125" style="1" bestFit="1" customWidth="1"/>
    <col min="20" max="20" width="4.625" style="1" customWidth="1"/>
    <col min="21" max="21" width="13.125" style="1" customWidth="1"/>
    <col min="22" max="22" width="2.625" style="1" customWidth="1"/>
    <col min="23"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s="15"/>
      <c r="C3" s="15"/>
      <c r="D3" s="15"/>
      <c r="E3" s="15"/>
      <c r="F3" s="15"/>
      <c r="G3" s="15"/>
      <c r="H3" s="15"/>
      <c r="I3" s="15"/>
      <c r="J3" s="15"/>
      <c r="K3" s="15"/>
      <c r="L3" s="15"/>
      <c r="M3" s="15"/>
      <c r="N3" s="15"/>
      <c r="O3" s="15"/>
      <c r="P3" s="15"/>
      <c r="Q3" s="15"/>
      <c r="R3" s="15"/>
      <c r="S3" s="15"/>
      <c r="T3" s="15"/>
      <c r="U3" s="15"/>
      <c r="V3" s="15"/>
      <c r="W3" s="15"/>
      <c r="X3" s="15"/>
      <c r="Y3" s="15"/>
      <c r="Z3" s="15"/>
    </row>
    <row r="4" spans="1:26" ht="21" customHeight="1" x14ac:dyDescent="0.3">
      <c r="A4" s="7" t="s">
        <v>0</v>
      </c>
      <c r="B4" s="8"/>
      <c r="C4" s="10" t="s">
        <v>2</v>
      </c>
      <c r="D4" s="10"/>
      <c r="E4" s="10"/>
      <c r="F4" s="145" t="str">
        <f>"Base case: "&amp;i_Set_Time&amp;" year"</f>
        <v>Base case: 1 year</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s="15"/>
      <c r="C5" s="15"/>
      <c r="D5" s="15"/>
      <c r="E5" s="15"/>
      <c r="F5" s="15"/>
      <c r="G5" s="15"/>
      <c r="H5" s="15"/>
      <c r="I5" s="15"/>
      <c r="J5" s="15"/>
      <c r="K5" s="15"/>
      <c r="L5" s="15"/>
      <c r="M5" s="15"/>
      <c r="N5" s="15"/>
      <c r="O5" s="15"/>
      <c r="P5" s="15"/>
      <c r="Q5" s="15"/>
      <c r="R5" s="15"/>
      <c r="S5" s="15"/>
      <c r="T5" s="15"/>
      <c r="U5" s="15"/>
      <c r="V5" s="15"/>
      <c r="W5" s="15"/>
      <c r="X5" s="15"/>
      <c r="Y5" s="15"/>
      <c r="Z5" s="15"/>
    </row>
    <row r="6" spans="1:26" ht="18" thickTop="1" thickBot="1" x14ac:dyDescent="0.35">
      <c r="A6" s="26" t="s">
        <v>1</v>
      </c>
      <c r="T6"/>
    </row>
    <row r="7" spans="1:26" ht="18" thickTop="1" thickBot="1" x14ac:dyDescent="0.35">
      <c r="A7" s="2"/>
      <c r="T7"/>
      <c r="U7" s="15">
        <v>5</v>
      </c>
    </row>
    <row r="8" spans="1:26" ht="18" thickTop="1" thickBot="1" x14ac:dyDescent="0.35">
      <c r="A8" s="26" t="s">
        <v>12</v>
      </c>
      <c r="C8" s="29" t="s">
        <v>14</v>
      </c>
      <c r="D8" s="29"/>
      <c r="E8" s="29"/>
      <c r="F8" s="29" t="s">
        <v>48</v>
      </c>
      <c r="G8" s="29"/>
      <c r="H8" s="29" t="s">
        <v>54</v>
      </c>
      <c r="I8" s="29"/>
      <c r="J8" s="29" t="s">
        <v>55</v>
      </c>
      <c r="L8"/>
      <c r="M8"/>
      <c r="N8"/>
      <c r="O8"/>
      <c r="P8"/>
      <c r="Q8"/>
      <c r="R8"/>
      <c r="S8"/>
      <c r="T8"/>
      <c r="U8" s="14">
        <v>41</v>
      </c>
    </row>
    <row r="9" spans="1:26" ht="18" thickTop="1" thickBot="1" x14ac:dyDescent="0.35">
      <c r="A9" s="2"/>
      <c r="R9"/>
      <c r="S9"/>
      <c r="T9"/>
    </row>
    <row r="10" spans="1:26" ht="18" thickTop="1" thickBot="1" x14ac:dyDescent="0.35">
      <c r="A10" s="26" t="s">
        <v>13</v>
      </c>
      <c r="C10" s="12" t="s">
        <v>120</v>
      </c>
      <c r="D10" s="15"/>
      <c r="E10" s="15"/>
      <c r="F10" s="33" t="str">
        <f>ROUND(i_Int_Kend_MS,2)&amp;"% of patients"</f>
        <v>0% of patients</v>
      </c>
      <c r="H10" s="33" t="str">
        <f>ROUND(i_Int_Kend_MS+i_Int_Kend_MS_inc,2)&amp;"% of patients"</f>
        <v>100% of patients</v>
      </c>
      <c r="J10"/>
      <c r="K10"/>
      <c r="L10" s="21"/>
      <c r="M10"/>
      <c r="N10"/>
      <c r="O10"/>
      <c r="P10"/>
      <c r="Q10"/>
      <c r="R10"/>
      <c r="S10"/>
      <c r="T10"/>
      <c r="U10" s="14">
        <v>10</v>
      </c>
    </row>
    <row r="11" spans="1:26" ht="18" thickTop="1" thickBot="1" x14ac:dyDescent="0.35">
      <c r="A11" s="2"/>
      <c r="C11" s="11" t="s">
        <v>53</v>
      </c>
      <c r="F11" s="82">
        <f ca="1">'Results summary'!N7</f>
        <v>7233558.4253824744</v>
      </c>
      <c r="G11" s="1" t="str">
        <f>Currency</f>
        <v>USD</v>
      </c>
      <c r="H11" s="82">
        <f ca="1">'Results summary'!O7</f>
        <v>7133020.3871021532</v>
      </c>
      <c r="I11" s="1" t="str">
        <f>Currency</f>
        <v>USD</v>
      </c>
      <c r="J11" s="83">
        <f ca="1">H11-F11</f>
        <v>-100538.03828032129</v>
      </c>
      <c r="K11" t="str">
        <f ca="1">IF(J11&lt;0,"Scenario 2 is cost saving",IF(J11&gt;0,"Scenario 1 is cost saving","cost equivalence"))</f>
        <v>Scenario 2 is cost saving</v>
      </c>
      <c r="Q11"/>
      <c r="R11"/>
      <c r="S11" s="21">
        <f ca="1">F11/200</f>
        <v>36167.792126912369</v>
      </c>
      <c r="T11"/>
      <c r="U11" s="21">
        <f ca="1">H11/200</f>
        <v>35665.101935510764</v>
      </c>
      <c r="W11" s="22"/>
    </row>
    <row r="12" spans="1:26" ht="18" thickTop="1" thickBot="1" x14ac:dyDescent="0.35">
      <c r="A12" s="26" t="s">
        <v>22</v>
      </c>
      <c r="H12" s="141"/>
      <c r="L12"/>
      <c r="M12"/>
      <c r="N12" s="80"/>
      <c r="O12"/>
      <c r="P12"/>
      <c r="Q12"/>
      <c r="R12"/>
      <c r="S12" s="21"/>
      <c r="T12"/>
      <c r="U12" s="21"/>
    </row>
    <row r="13" spans="1:26" ht="18" thickTop="1" thickBot="1" x14ac:dyDescent="0.35">
      <c r="A13" s="2"/>
      <c r="C13" s="140" t="s">
        <v>465</v>
      </c>
      <c r="H13" s="141"/>
      <c r="M13"/>
      <c r="N13"/>
      <c r="O13"/>
      <c r="P13"/>
      <c r="Q13"/>
      <c r="R13"/>
      <c r="S13"/>
      <c r="T13"/>
    </row>
    <row r="14" spans="1:26" ht="18" thickTop="1" thickBot="1" x14ac:dyDescent="0.35">
      <c r="A14" s="26" t="s">
        <v>132</v>
      </c>
      <c r="C14" s="12" t="s">
        <v>329</v>
      </c>
      <c r="F14" s="82">
        <f ca="1">'Results summary'!N8</f>
        <v>471.75552778229024</v>
      </c>
      <c r="G14" s="1" t="s">
        <v>89</v>
      </c>
      <c r="H14" s="82">
        <f ca="1">'Results summary'!O8</f>
        <v>467.56008752364585</v>
      </c>
      <c r="I14" s="1" t="s">
        <v>89</v>
      </c>
      <c r="J14" s="20">
        <f ca="1">H14-F14</f>
        <v>-4.1954402586443962</v>
      </c>
      <c r="K14" s="15" t="str">
        <f ca="1">IF(J14&lt;0,"Scenario 2 reduces resource use associated with "&amp;C14,IF(J14&gt;0,"Scenario 1 reduces resource use  associated with "&amp;C14,"Equivalence"))</f>
        <v>Scenario 2 reduces resource use associated with ICU days</v>
      </c>
      <c r="M14" s="139"/>
      <c r="N14"/>
      <c r="O14"/>
      <c r="P14"/>
      <c r="Q14"/>
      <c r="R14"/>
      <c r="S14" s="21">
        <f ca="1">F14/200</f>
        <v>2.3587776389114512</v>
      </c>
      <c r="T14" s="139"/>
      <c r="U14" s="21">
        <f ca="1">H14/200</f>
        <v>2.3378004376182293</v>
      </c>
    </row>
    <row r="15" spans="1:26" ht="18" thickTop="1" thickBot="1" x14ac:dyDescent="0.35">
      <c r="A15" s="2"/>
      <c r="C15" s="12" t="s">
        <v>464</v>
      </c>
      <c r="F15" s="82">
        <f ca="1">'Results summary'!N10</f>
        <v>2061.6297560228932</v>
      </c>
      <c r="G15" s="1" t="s">
        <v>89</v>
      </c>
      <c r="H15" s="82">
        <f ca="1">'Results summary'!O10</f>
        <v>2036.0093913495689</v>
      </c>
      <c r="I15" s="1" t="s">
        <v>89</v>
      </c>
      <c r="J15" s="20">
        <f ca="1">H15-F15</f>
        <v>-25.620364673324275</v>
      </c>
      <c r="K15" s="139" t="str">
        <f ca="1">IF(J15&lt;0,"Scenario 2 reduces resource use  associated with "&amp;C15,IF(J15&gt;0,"Scenario 1 reduces resource use associated with "&amp;C15,"Equivalence"))</f>
        <v>Scenario 2 reduces resource use  associated with Hospital days</v>
      </c>
      <c r="P15"/>
      <c r="Q15"/>
      <c r="R15"/>
      <c r="S15" s="21">
        <f ca="1">F15/200</f>
        <v>10.308148780114466</v>
      </c>
      <c r="T15" s="139"/>
      <c r="U15" s="21">
        <f ca="1">H15/200</f>
        <v>10.180046956747844</v>
      </c>
    </row>
    <row r="16" spans="1:26" ht="18" thickTop="1" thickBot="1" x14ac:dyDescent="0.35">
      <c r="A16" s="26" t="s">
        <v>24</v>
      </c>
      <c r="H16" s="141"/>
      <c r="S16" s="21"/>
      <c r="T16" s="139"/>
      <c r="U16" s="21"/>
    </row>
    <row r="17" spans="1:21" ht="18" thickTop="1" thickBot="1" x14ac:dyDescent="0.35">
      <c r="A17" s="2"/>
      <c r="C17" s="140" t="s">
        <v>466</v>
      </c>
      <c r="H17" s="141"/>
      <c r="O17"/>
      <c r="P17"/>
      <c r="Q17"/>
      <c r="R17"/>
      <c r="S17"/>
      <c r="T17"/>
    </row>
    <row r="18" spans="1:21" ht="18" thickTop="1" thickBot="1" x14ac:dyDescent="0.35">
      <c r="A18" s="26" t="s">
        <v>2</v>
      </c>
      <c r="C18" s="12" t="s">
        <v>330</v>
      </c>
      <c r="F18" s="19">
        <f ca="1">'Results summary'!N9</f>
        <v>4.9201831902345736</v>
      </c>
      <c r="G18" s="1" t="s">
        <v>56</v>
      </c>
      <c r="H18" s="19">
        <f ca="1">'Results summary'!O9</f>
        <v>3.6532227806235968</v>
      </c>
      <c r="I18" s="1" t="s">
        <v>56</v>
      </c>
      <c r="J18" s="20">
        <f ca="1">H18-F18</f>
        <v>-1.2669604096109768</v>
      </c>
      <c r="K18" s="15" t="str">
        <f ca="1">IF(J18&lt;0,"Scenario 2 increases patient safety associated with "&amp;C18,IF(J18&gt;0,"Scenario 1 increases patient safety associated with "&amp;C18,"Equivalence"))</f>
        <v>Scenario 2 increases patient safety associated with Readmissions</v>
      </c>
      <c r="L18"/>
      <c r="M18"/>
      <c r="N18"/>
      <c r="Q18"/>
      <c r="R18"/>
      <c r="S18" s="21">
        <f ca="1">F18/200</f>
        <v>2.4600915951172867E-2</v>
      </c>
      <c r="T18" s="139"/>
      <c r="U18" s="21">
        <f ca="1">H18/200</f>
        <v>1.8266113903117984E-2</v>
      </c>
    </row>
    <row r="19" spans="1:21" ht="18" thickTop="1" thickBot="1" x14ac:dyDescent="0.35">
      <c r="A19" s="2"/>
      <c r="O19"/>
      <c r="P19"/>
      <c r="Q19"/>
      <c r="R19"/>
      <c r="S19"/>
      <c r="T19"/>
    </row>
    <row r="20" spans="1:21" ht="18" thickTop="1" thickBot="1" x14ac:dyDescent="0.35">
      <c r="A20" s="26" t="s">
        <v>51</v>
      </c>
      <c r="C20" s="44"/>
      <c r="D20"/>
      <c r="E20"/>
      <c r="F20"/>
      <c r="G20"/>
      <c r="H20"/>
      <c r="I20"/>
      <c r="J20" s="21"/>
      <c r="K20"/>
      <c r="L20"/>
      <c r="M20"/>
      <c r="N20"/>
      <c r="O20"/>
      <c r="P20"/>
      <c r="Q20"/>
      <c r="R20"/>
      <c r="S20"/>
      <c r="T20"/>
    </row>
    <row r="21" spans="1:21" ht="17.25" thickTop="1" x14ac:dyDescent="0.3">
      <c r="A21" s="2"/>
      <c r="C21"/>
      <c r="D21"/>
      <c r="E21"/>
      <c r="F21"/>
      <c r="G21"/>
      <c r="H21"/>
      <c r="I21"/>
      <c r="J21"/>
      <c r="K21"/>
      <c r="L21"/>
      <c r="M21"/>
      <c r="N21"/>
      <c r="O21"/>
      <c r="P21"/>
      <c r="Q21"/>
      <c r="R21"/>
      <c r="S21"/>
      <c r="T21"/>
    </row>
    <row r="22" spans="1:21" ht="16.5" x14ac:dyDescent="0.3">
      <c r="A22" s="2"/>
      <c r="C22"/>
      <c r="D22"/>
      <c r="E22"/>
      <c r="F22"/>
      <c r="G22"/>
      <c r="H22"/>
      <c r="I22" s="138"/>
      <c r="J22" s="138"/>
      <c r="K22" s="138"/>
      <c r="L22" s="138"/>
      <c r="M22" s="138"/>
      <c r="N22" s="138"/>
      <c r="O22" s="138"/>
      <c r="P22" s="138"/>
      <c r="Q22" s="138"/>
      <c r="R22"/>
      <c r="S22"/>
      <c r="T22"/>
    </row>
    <row r="23" spans="1:21" x14ac:dyDescent="0.3">
      <c r="A23" s="2"/>
    </row>
    <row r="24" spans="1:21" x14ac:dyDescent="0.3">
      <c r="A24" s="2"/>
    </row>
    <row r="25" spans="1:21" x14ac:dyDescent="0.3">
      <c r="A25" s="2"/>
    </row>
    <row r="26" spans="1:21" x14ac:dyDescent="0.3">
      <c r="A26" s="2"/>
    </row>
    <row r="27" spans="1:21" x14ac:dyDescent="0.3">
      <c r="A27" s="2"/>
    </row>
    <row r="28" spans="1:21" x14ac:dyDescent="0.3">
      <c r="A28" s="2"/>
    </row>
    <row r="29" spans="1:21" x14ac:dyDescent="0.3">
      <c r="A29" s="2"/>
    </row>
    <row r="30" spans="1:21" x14ac:dyDescent="0.3">
      <c r="A30" s="2"/>
    </row>
    <row r="31" spans="1:21" x14ac:dyDescent="0.3">
      <c r="A31" s="2"/>
    </row>
    <row r="32" spans="1:21"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3">
    <mergeCell ref="C1:U1"/>
    <mergeCell ref="C2:U2"/>
    <mergeCell ref="F4:V4"/>
  </mergeCells>
  <conditionalFormatting sqref="U8:U10 U13 U17">
    <cfRule type="expression" dxfId="79" priority="13" stopIfTrue="1">
      <formula>$U$7&gt;TimeHorizon</formula>
    </cfRule>
  </conditionalFormatting>
  <conditionalFormatting sqref="U7">
    <cfRule type="expression" dxfId="78" priority="12">
      <formula>$U$7&gt;TimeHorizon</formula>
    </cfRule>
  </conditionalFormatting>
  <conditionalFormatting sqref="C10">
    <cfRule type="expression" dxfId="77" priority="6">
      <formula>$D$10</formula>
    </cfRule>
  </conditionalFormatting>
  <conditionalFormatting sqref="J18 J14 J11">
    <cfRule type="iconSet" priority="5">
      <iconSet reverse="1">
        <cfvo type="percent" val="0"/>
        <cfvo type="num" val="0"/>
        <cfvo type="num" val="0" gte="0"/>
      </iconSet>
    </cfRule>
  </conditionalFormatting>
  <conditionalFormatting sqref="U8">
    <cfRule type="iconSet" priority="87">
      <iconSet iconSet="3Arrows">
        <cfvo type="percent" val="0"/>
        <cfvo type="num" val="$O$12"/>
        <cfvo type="num" val="$O$12" gte="0"/>
      </iconSet>
    </cfRule>
  </conditionalFormatting>
  <conditionalFormatting sqref="J15">
    <cfRule type="iconSet" priority="1">
      <iconSet reverse="1">
        <cfvo type="percent" val="0"/>
        <cfvo type="num" val="0"/>
        <cfvo type="num" val="0" gte="0"/>
      </iconSet>
    </cfRule>
  </conditionalFormatting>
  <conditionalFormatting sqref="U10">
    <cfRule type="iconSet" priority="91">
      <iconSet iconSet="3Arrows">
        <cfvo type="percent" val="0"/>
        <cfvo type="num" val="$O$13"/>
        <cfvo type="num" val="$O$13" gte="0"/>
      </iconSet>
    </cfRule>
  </conditionalFormatting>
  <hyperlinks>
    <hyperlink ref="A6" location="Home!A1" display="Home" xr:uid="{00000000-0004-0000-0900-000000000000}"/>
    <hyperlink ref="A8" location="Setup!A1" display="Model set up" xr:uid="{00000000-0004-0000-0900-000001000000}"/>
    <hyperlink ref="A10" location="Population!A1" display="Population" xr:uid="{00000000-0004-0000-0900-000002000000}"/>
    <hyperlink ref="A12" location="Interventions!A1" display="Interventions" xr:uid="{00000000-0004-0000-0900-000003000000}"/>
    <hyperlink ref="A14" location="Events!A1" display="Event rates" xr:uid="{00000000-0004-0000-0900-000004000000}"/>
    <hyperlink ref="A16" location="Costs!A1" display="Costs" xr:uid="{00000000-0004-0000-0900-000005000000}"/>
    <hyperlink ref="A20" location="Sensitivity!A1" display="Sensitivity analysis" xr:uid="{00000000-0004-0000-0900-000006000000}"/>
    <hyperlink ref="A18" location="Results!A1" display="Results" xr:uid="{00000000-0004-0000-0900-000007000000}"/>
  </hyperlinks>
  <pageMargins left="0.7" right="0.7" top="0.75" bottom="0.75" header="0.3" footer="0.3"/>
  <pageSetup paperSize="9" orientation="portrait" horizontalDpi="4294967293" r:id="rId1"/>
  <ignoredErrors>
    <ignoredError sqref="H11" formula="1"/>
  </ignoredErrors>
  <drawing r:id="rId2"/>
  <extLst>
    <ext xmlns:x14="http://schemas.microsoft.com/office/spreadsheetml/2009/9/main" uri="{78C0D931-6437-407d-A8EE-F0AAD7539E65}">
      <x14:conditionalFormattings>
        <x14:conditionalFormatting xmlns:xm="http://schemas.microsoft.com/office/excel/2006/main">
          <x14:cfRule type="containsText" priority="65" operator="containsText" id="{BC1E9083-86F1-4351-BF2E-E2F6E088510E}">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containsText" priority="4" operator="containsText" id="{006530FD-F747-4A81-BC9C-C5E119F1C674}">
            <xm:f>NOT(ISERROR(SEARCH($C$4,A6)))</xm:f>
            <xm:f>$C$4</xm:f>
            <x14:dxf>
              <font>
                <b val="0"/>
                <i val="0"/>
                <strike val="0"/>
                <color theme="0"/>
              </font>
              <fill>
                <patternFill>
                  <bgColor theme="5"/>
                </patternFill>
              </fill>
            </x14:dxf>
          </x14:cfRule>
          <xm:sqref>A6:A11 A17</xm:sqref>
        </x14:conditionalFormatting>
        <x14:conditionalFormatting xmlns:xm="http://schemas.microsoft.com/office/excel/2006/main">
          <x14:cfRule type="containsText" priority="3" operator="containsText" id="{67F04655-3554-4CDE-B86B-6D8492B2D187}">
            <xm:f>NOT(ISERROR(SEARCH($C$4,A12)))</xm:f>
            <xm:f>$C$4</xm:f>
            <x14:dxf>
              <font>
                <b val="0"/>
                <i val="0"/>
                <strike val="0"/>
                <color theme="0"/>
              </font>
              <fill>
                <patternFill>
                  <bgColor theme="5"/>
                </patternFill>
              </fill>
            </x14:dxf>
          </x14:cfRule>
          <xm:sqref>A12:A16</xm:sqref>
        </x14:conditionalFormatting>
        <x14:conditionalFormatting xmlns:xm="http://schemas.microsoft.com/office/excel/2006/main">
          <x14:cfRule type="containsText" priority="2" operator="containsText" id="{467BF19F-AEFF-4D6B-ADFE-E52E6A752F79}">
            <xm:f>NOT(ISERROR(SEARCH($C$4,A18)))</xm:f>
            <xm:f>$C$4</xm:f>
            <x14:dxf>
              <font>
                <b val="0"/>
                <i val="0"/>
                <strike val="0"/>
                <color theme="0"/>
              </font>
              <fill>
                <patternFill>
                  <bgColor theme="5"/>
                </patternFill>
              </fill>
            </x14:dxf>
          </x14:cfRule>
          <xm:sqref>A18:A20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Z40"/>
  <sheetViews>
    <sheetView tabSelected="1" workbookViewId="0">
      <selection activeCell="F10" sqref="F10"/>
    </sheetView>
  </sheetViews>
  <sheetFormatPr defaultColWidth="8.625" defaultRowHeight="15" x14ac:dyDescent="0.3"/>
  <cols>
    <col min="1" max="1" width="21" style="1" customWidth="1"/>
    <col min="2" max="4" width="8.625" style="1"/>
    <col min="5" max="6" width="16.5" style="1" customWidth="1"/>
    <col min="7" max="7" width="15.125" style="1" bestFit="1" customWidth="1"/>
    <col min="8" max="8" width="14.5" style="1" customWidth="1"/>
    <col min="9"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s="15"/>
      <c r="C3" s="15"/>
      <c r="D3" s="15"/>
      <c r="E3" s="15"/>
      <c r="F3" s="15"/>
      <c r="G3" s="15"/>
      <c r="H3" s="15"/>
      <c r="I3" s="15"/>
      <c r="J3" s="15"/>
      <c r="K3" s="15"/>
      <c r="L3" s="15"/>
      <c r="M3" s="15"/>
      <c r="N3" s="15"/>
      <c r="O3" s="15"/>
      <c r="P3" s="15"/>
      <c r="Q3" s="15"/>
      <c r="R3" s="15"/>
      <c r="S3" s="15"/>
      <c r="T3" s="15"/>
      <c r="U3" s="15"/>
      <c r="V3" s="15"/>
      <c r="W3" s="15"/>
      <c r="X3" s="15"/>
      <c r="Y3" s="15"/>
      <c r="Z3" s="15"/>
    </row>
    <row r="4" spans="1:26" ht="21" customHeight="1" x14ac:dyDescent="0.3">
      <c r="A4" s="7" t="s">
        <v>0</v>
      </c>
      <c r="B4" s="8"/>
      <c r="C4" s="10" t="s">
        <v>51</v>
      </c>
      <c r="D4" s="10"/>
      <c r="E4" s="10"/>
      <c r="F4" s="145" t="s">
        <v>52</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s="15"/>
      <c r="C5" s="15"/>
      <c r="D5" s="15"/>
      <c r="E5" s="15"/>
      <c r="F5" s="15"/>
      <c r="G5" s="15"/>
      <c r="H5" s="15"/>
      <c r="I5" s="15"/>
      <c r="J5" s="15"/>
      <c r="K5" s="15"/>
      <c r="L5" s="15"/>
      <c r="M5" s="15"/>
      <c r="N5" s="15"/>
      <c r="O5" s="15"/>
      <c r="P5" s="15"/>
      <c r="Q5" s="15"/>
      <c r="R5" s="15"/>
      <c r="S5" s="15"/>
      <c r="T5" s="15"/>
      <c r="U5" s="15"/>
      <c r="V5" s="15"/>
      <c r="W5" s="15"/>
      <c r="X5" s="15"/>
      <c r="Y5" s="15"/>
      <c r="Z5" s="15"/>
    </row>
    <row r="6" spans="1:26" ht="18" thickTop="1" thickBot="1" x14ac:dyDescent="0.35">
      <c r="A6" s="26" t="s">
        <v>1</v>
      </c>
      <c r="C6" s="11"/>
      <c r="F6" s="11"/>
      <c r="G6" s="11"/>
      <c r="H6" s="11"/>
      <c r="J6" s="15"/>
      <c r="K6" s="15"/>
      <c r="L6" s="15"/>
      <c r="M6" s="15"/>
      <c r="N6" s="15"/>
      <c r="O6" s="15"/>
      <c r="P6" s="15"/>
      <c r="Q6" s="15"/>
      <c r="R6" s="15"/>
      <c r="S6" s="15"/>
      <c r="T6" s="15"/>
    </row>
    <row r="7" spans="1:26" ht="18" thickTop="1" thickBot="1" x14ac:dyDescent="0.35">
      <c r="A7" s="2"/>
      <c r="C7" s="12"/>
      <c r="D7" s="15"/>
      <c r="E7" s="15"/>
      <c r="J7" s="15"/>
      <c r="K7" s="15"/>
      <c r="L7" s="15"/>
      <c r="M7" s="15"/>
      <c r="N7" s="15"/>
      <c r="O7" s="15"/>
      <c r="P7" s="15"/>
      <c r="Q7" s="15"/>
      <c r="R7" s="15"/>
      <c r="S7" s="15"/>
      <c r="T7" s="15"/>
      <c r="U7" s="15">
        <v>5</v>
      </c>
    </row>
    <row r="8" spans="1:26" ht="18" thickTop="1" thickBot="1" x14ac:dyDescent="0.35">
      <c r="A8" s="26" t="s">
        <v>12</v>
      </c>
      <c r="C8" s="29" t="s">
        <v>14</v>
      </c>
      <c r="D8" s="29"/>
      <c r="E8" s="29"/>
      <c r="F8" s="30" t="s">
        <v>65</v>
      </c>
      <c r="G8" s="30" t="s">
        <v>74</v>
      </c>
      <c r="H8"/>
      <c r="I8"/>
      <c r="J8"/>
      <c r="K8" s="15"/>
      <c r="L8" s="15"/>
      <c r="M8" s="15"/>
      <c r="N8" s="15"/>
      <c r="O8" s="15"/>
      <c r="P8" s="15"/>
      <c r="Q8" s="15"/>
      <c r="R8" s="15"/>
      <c r="S8" s="15"/>
      <c r="T8" s="15"/>
      <c r="U8" s="14">
        <v>41</v>
      </c>
    </row>
    <row r="9" spans="1:26" ht="18" thickTop="1" thickBot="1" x14ac:dyDescent="0.35">
      <c r="A9" s="2"/>
      <c r="C9" s="12"/>
      <c r="D9" s="44"/>
      <c r="E9" s="44"/>
      <c r="G9" s="31"/>
      <c r="K9" s="15"/>
      <c r="L9" s="15"/>
      <c r="M9" s="15"/>
      <c r="N9" s="15"/>
      <c r="O9" s="15"/>
      <c r="P9" s="15"/>
      <c r="Q9" s="15"/>
      <c r="R9" s="15"/>
      <c r="S9" s="15"/>
      <c r="T9" s="15"/>
    </row>
    <row r="10" spans="1:26" ht="18" thickTop="1" thickBot="1" x14ac:dyDescent="0.35">
      <c r="A10" s="26" t="s">
        <v>13</v>
      </c>
      <c r="C10" s="44" t="s">
        <v>336</v>
      </c>
      <c r="D10" s="44"/>
      <c r="E10" s="44"/>
      <c r="F10" s="28">
        <v>400</v>
      </c>
      <c r="G10" s="1" t="s">
        <v>349</v>
      </c>
      <c r="K10" s="15"/>
      <c r="L10" s="15"/>
      <c r="M10" s="15"/>
      <c r="N10" s="15"/>
      <c r="O10" s="15"/>
      <c r="P10" s="15"/>
      <c r="Q10" s="15"/>
      <c r="R10" s="15"/>
      <c r="S10" s="15"/>
      <c r="T10" s="15"/>
      <c r="U10" s="14">
        <v>10</v>
      </c>
    </row>
    <row r="11" spans="1:26" ht="18" thickTop="1" thickBot="1" x14ac:dyDescent="0.35">
      <c r="A11" s="2"/>
      <c r="C11" s="1" t="s">
        <v>337</v>
      </c>
      <c r="F11" s="28">
        <v>5</v>
      </c>
      <c r="G11" s="32" t="s">
        <v>338</v>
      </c>
      <c r="H11" s="44"/>
      <c r="I11" s="44"/>
      <c r="J11" s="44"/>
      <c r="K11" s="15"/>
      <c r="L11" s="15"/>
      <c r="M11" s="15"/>
      <c r="N11" s="15"/>
      <c r="O11" s="15"/>
      <c r="P11" s="15"/>
      <c r="Q11" s="15"/>
      <c r="R11" s="15"/>
      <c r="S11" s="15"/>
      <c r="T11" s="15"/>
    </row>
    <row r="12" spans="1:26" ht="18" thickTop="1" thickBot="1" x14ac:dyDescent="0.35">
      <c r="A12" s="26" t="s">
        <v>22</v>
      </c>
      <c r="C12"/>
      <c r="D12"/>
      <c r="E12"/>
      <c r="F12"/>
      <c r="G12"/>
      <c r="H12"/>
      <c r="I12"/>
      <c r="J12"/>
      <c r="K12"/>
      <c r="L12" s="15"/>
      <c r="M12" s="15"/>
      <c r="N12" s="15"/>
      <c r="O12" s="15"/>
      <c r="P12" s="15"/>
      <c r="Q12" s="15"/>
      <c r="R12" s="15"/>
      <c r="S12" s="15"/>
      <c r="T12" s="15"/>
      <c r="U12" s="14">
        <v>12</v>
      </c>
    </row>
    <row r="13" spans="1:26" ht="18" thickTop="1" thickBot="1" x14ac:dyDescent="0.35">
      <c r="A13" s="2"/>
      <c r="C13" s="29" t="s">
        <v>352</v>
      </c>
      <c r="D13" s="29"/>
      <c r="E13" s="29"/>
      <c r="F13" s="29"/>
      <c r="G13" s="29"/>
      <c r="H13" s="109"/>
      <c r="K13"/>
      <c r="L13" s="15"/>
      <c r="M13" s="15"/>
      <c r="N13" s="15"/>
      <c r="O13" s="15"/>
      <c r="P13" s="15"/>
      <c r="Q13" s="15"/>
      <c r="R13" s="15"/>
      <c r="S13" s="15"/>
      <c r="T13" s="15"/>
    </row>
    <row r="14" spans="1:26" ht="18" thickTop="1" thickBot="1" x14ac:dyDescent="0.35">
      <c r="A14" s="26" t="s">
        <v>132</v>
      </c>
      <c r="C14" s="29" t="s">
        <v>343</v>
      </c>
      <c r="D14" s="29"/>
      <c r="E14" s="29" t="s">
        <v>342</v>
      </c>
      <c r="F14" s="30" t="s">
        <v>344</v>
      </c>
      <c r="G14" s="30" t="s">
        <v>345</v>
      </c>
      <c r="K14"/>
      <c r="L14" s="15"/>
      <c r="M14" s="15"/>
      <c r="N14" s="15"/>
      <c r="O14" s="15"/>
      <c r="P14" s="15"/>
      <c r="Q14" s="15"/>
      <c r="R14" s="15"/>
      <c r="S14" s="15"/>
      <c r="T14" s="15"/>
      <c r="U14" s="14">
        <v>12</v>
      </c>
    </row>
    <row r="15" spans="1:26" ht="18" thickTop="1" thickBot="1" x14ac:dyDescent="0.35">
      <c r="A15" s="2"/>
      <c r="D15"/>
      <c r="E15"/>
      <c r="F15"/>
      <c r="G15"/>
      <c r="K15"/>
      <c r="L15" s="15"/>
      <c r="M15" s="15"/>
      <c r="N15" s="15"/>
      <c r="O15" s="15"/>
      <c r="P15" s="15"/>
      <c r="Q15" s="15"/>
      <c r="R15" s="15"/>
      <c r="S15" s="15"/>
      <c r="T15" s="15"/>
    </row>
    <row r="16" spans="1:26" ht="18" thickTop="1" thickBot="1" x14ac:dyDescent="0.35">
      <c r="A16" s="26" t="s">
        <v>24</v>
      </c>
      <c r="C16" t="s">
        <v>57</v>
      </c>
      <c r="D16"/>
      <c r="E16" s="108">
        <f ca="1">'Sensitivity results'!S8</f>
        <v>-101021.33244832838</v>
      </c>
      <c r="F16" s="108">
        <f ca="1">'Sensitivity results'!S9</f>
        <v>-216418.25719621405</v>
      </c>
      <c r="G16" s="108">
        <f ca="1">'Sensitivity results'!S10</f>
        <v>-44053.769857306033</v>
      </c>
      <c r="L16" s="15"/>
      <c r="M16" s="15"/>
      <c r="N16" s="15"/>
      <c r="O16" s="15"/>
      <c r="P16" s="15"/>
      <c r="Q16" s="15"/>
      <c r="R16" s="15"/>
      <c r="S16" s="15"/>
      <c r="T16" s="15"/>
      <c r="U16" s="14">
        <v>25</v>
      </c>
    </row>
    <row r="17" spans="1:21" ht="18" thickTop="1" thickBot="1" x14ac:dyDescent="0.35">
      <c r="A17" s="2"/>
      <c r="C17" t="s">
        <v>329</v>
      </c>
      <c r="D17"/>
      <c r="E17" s="108">
        <f ca="1">'Sensitivity results'!T8</f>
        <v>-4.0344917639448568</v>
      </c>
      <c r="F17" s="108">
        <f ca="1">'Sensitivity results'!T9</f>
        <v>-9.1494302586860954</v>
      </c>
      <c r="G17" s="108">
        <f ca="1">'Sensitivity results'!T10</f>
        <v>-1.6300077367379231</v>
      </c>
      <c r="K17"/>
      <c r="L17" s="15"/>
      <c r="M17" s="15"/>
      <c r="N17" s="15"/>
      <c r="O17" s="15"/>
      <c r="P17" s="15"/>
      <c r="Q17" s="15"/>
      <c r="R17" s="15"/>
      <c r="S17" s="15"/>
      <c r="T17" s="15"/>
    </row>
    <row r="18" spans="1:21" ht="18" thickTop="1" thickBot="1" x14ac:dyDescent="0.35">
      <c r="A18" s="26" t="s">
        <v>2</v>
      </c>
      <c r="C18" t="s">
        <v>330</v>
      </c>
      <c r="D18"/>
      <c r="E18" s="108">
        <f ca="1">'Sensitivity results'!U8</f>
        <v>-1.2780347379701309</v>
      </c>
      <c r="F18" s="108">
        <f ca="1">'Sensitivity results'!U9</f>
        <v>-2.0330405197915802</v>
      </c>
      <c r="G18" s="108">
        <f ca="1">'Sensitivity results'!U10</f>
        <v>-0.64393515039942173</v>
      </c>
      <c r="I18"/>
      <c r="J18"/>
      <c r="K18"/>
      <c r="L18" s="15"/>
      <c r="M18" s="15"/>
      <c r="N18" s="15"/>
      <c r="O18" s="15"/>
      <c r="P18" s="15"/>
      <c r="Q18" s="15"/>
      <c r="R18" s="15"/>
      <c r="S18" s="15"/>
      <c r="T18" s="15"/>
      <c r="U18" s="16">
        <f>SUMIF($F$8:$F$13,"=Yes",U8:U16)</f>
        <v>0</v>
      </c>
    </row>
    <row r="19" spans="1:21" ht="18" thickTop="1" thickBot="1" x14ac:dyDescent="0.35">
      <c r="A19" s="2"/>
      <c r="H19"/>
      <c r="I19"/>
      <c r="J19"/>
      <c r="K19"/>
      <c r="L19" s="15"/>
      <c r="M19" s="15"/>
      <c r="N19" s="15"/>
      <c r="O19" s="15"/>
      <c r="P19" s="15"/>
      <c r="Q19" s="15"/>
      <c r="R19" s="15"/>
      <c r="S19" s="15"/>
      <c r="T19" s="15"/>
    </row>
    <row r="20" spans="1:21" ht="18" thickTop="1" thickBot="1" x14ac:dyDescent="0.35">
      <c r="A20" s="26" t="s">
        <v>51</v>
      </c>
      <c r="C20"/>
      <c r="D20"/>
      <c r="E20"/>
      <c r="F20"/>
      <c r="G20"/>
      <c r="H20"/>
      <c r="I20"/>
      <c r="J20"/>
      <c r="K20"/>
      <c r="L20" s="15"/>
      <c r="M20" s="15"/>
      <c r="N20" s="15"/>
      <c r="O20" s="15"/>
      <c r="P20" s="15"/>
      <c r="Q20" s="15"/>
      <c r="R20" s="15"/>
      <c r="S20" s="15"/>
      <c r="T20" s="15"/>
    </row>
    <row r="21" spans="1:21" ht="18" thickTop="1" thickBot="1" x14ac:dyDescent="0.35">
      <c r="A21" s="2"/>
      <c r="C21" s="29" t="s">
        <v>439</v>
      </c>
      <c r="D21" s="29"/>
      <c r="E21" s="29"/>
      <c r="F21" s="29"/>
      <c r="G21" s="29"/>
      <c r="H21"/>
      <c r="I21" s="111"/>
      <c r="J21"/>
      <c r="K21"/>
      <c r="L21" s="15"/>
      <c r="M21" s="15"/>
      <c r="N21" s="15"/>
      <c r="O21" s="15"/>
      <c r="P21" s="15"/>
      <c r="Q21" s="15"/>
      <c r="R21" s="15"/>
      <c r="S21" s="15"/>
      <c r="T21" s="15"/>
    </row>
    <row r="22" spans="1:21" ht="17.25" thickTop="1" x14ac:dyDescent="0.3">
      <c r="A22" s="2"/>
      <c r="C22"/>
      <c r="D22"/>
      <c r="E22"/>
      <c r="F22"/>
      <c r="G22"/>
      <c r="H22"/>
      <c r="I22"/>
      <c r="J22"/>
      <c r="K22"/>
      <c r="L22" s="15"/>
      <c r="M22" s="15"/>
      <c r="N22" s="15"/>
      <c r="O22" s="15"/>
      <c r="P22" s="15"/>
      <c r="Q22" s="15"/>
      <c r="R22" s="15"/>
      <c r="S22" s="15"/>
      <c r="T22" s="15"/>
    </row>
    <row r="23" spans="1:21" ht="16.5" x14ac:dyDescent="0.3">
      <c r="A23" s="2"/>
      <c r="C23" s="111" t="s">
        <v>438</v>
      </c>
      <c r="D23" s="111"/>
      <c r="E23" s="111"/>
      <c r="F23" s="28">
        <v>50</v>
      </c>
      <c r="G23" s="1" t="s">
        <v>16</v>
      </c>
    </row>
    <row r="24" spans="1:21" x14ac:dyDescent="0.3">
      <c r="A24" s="2"/>
    </row>
    <row r="25" spans="1:21" x14ac:dyDescent="0.3">
      <c r="A25" s="2"/>
    </row>
    <row r="26" spans="1:21" x14ac:dyDescent="0.3">
      <c r="A26" s="2"/>
    </row>
    <row r="27" spans="1:21" x14ac:dyDescent="0.3">
      <c r="A27" s="2"/>
    </row>
    <row r="28" spans="1:21" x14ac:dyDescent="0.3">
      <c r="A28" s="2"/>
    </row>
    <row r="29" spans="1:21" x14ac:dyDescent="0.3">
      <c r="A29" s="2"/>
    </row>
    <row r="30" spans="1:21" x14ac:dyDescent="0.3">
      <c r="A30" s="2"/>
    </row>
    <row r="31" spans="1:21" x14ac:dyDescent="0.3">
      <c r="A31" s="2"/>
    </row>
    <row r="32" spans="1:21"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3">
    <mergeCell ref="C1:U1"/>
    <mergeCell ref="C2:U2"/>
    <mergeCell ref="F4:V4"/>
  </mergeCells>
  <conditionalFormatting sqref="U8">
    <cfRule type="iconSet" priority="30">
      <iconSet iconSet="3Arrows">
        <cfvo type="percent" val="0"/>
        <cfvo type="num" val="$O$8"/>
        <cfvo type="num" val="$O$8" gte="0"/>
      </iconSet>
    </cfRule>
  </conditionalFormatting>
  <conditionalFormatting sqref="U10">
    <cfRule type="iconSet" priority="29">
      <iconSet iconSet="3Arrows">
        <cfvo type="percent" val="0"/>
        <cfvo type="num" val="$O$10"/>
        <cfvo type="num" val="$O$10" gte="0"/>
      </iconSet>
    </cfRule>
  </conditionalFormatting>
  <conditionalFormatting sqref="U12">
    <cfRule type="iconSet" priority="28">
      <iconSet iconSet="3Arrows">
        <cfvo type="percent" val="0"/>
        <cfvo type="num" val="$O$12"/>
        <cfvo type="num" val="$O$12" gte="0"/>
      </iconSet>
    </cfRule>
  </conditionalFormatting>
  <conditionalFormatting sqref="U14">
    <cfRule type="iconSet" priority="27">
      <iconSet iconSet="3Arrows">
        <cfvo type="percent" val="0"/>
        <cfvo type="num" val="$O$14"/>
        <cfvo type="num" val="$O$14" gte="0"/>
      </iconSet>
    </cfRule>
  </conditionalFormatting>
  <conditionalFormatting sqref="U16">
    <cfRule type="iconSet" priority="26">
      <iconSet iconSet="3Arrows">
        <cfvo type="percent" val="0"/>
        <cfvo type="num" val="$O$16"/>
        <cfvo type="num" val="$O$16" gte="0"/>
      </iconSet>
    </cfRule>
  </conditionalFormatting>
  <conditionalFormatting sqref="U8:U18">
    <cfRule type="expression" dxfId="72" priority="25" stopIfTrue="1">
      <formula>$U$7&gt;TimeHorizon</formula>
    </cfRule>
  </conditionalFormatting>
  <conditionalFormatting sqref="U7">
    <cfRule type="expression" dxfId="71" priority="24">
      <formula>$U$7&gt;TimeHorizon</formula>
    </cfRule>
  </conditionalFormatting>
  <conditionalFormatting sqref="C7">
    <cfRule type="expression" dxfId="70" priority="23">
      <formula>$D$7</formula>
    </cfRule>
  </conditionalFormatting>
  <conditionalFormatting sqref="C9">
    <cfRule type="expression" dxfId="69" priority="3">
      <formula>$D$9</formula>
    </cfRule>
  </conditionalFormatting>
  <dataValidations count="2">
    <dataValidation type="whole" allowBlank="1" showInputMessage="1" showErrorMessage="1" errorTitle="Integer value required" error="Min 1 and max 99" sqref="F23" xr:uid="{00000000-0002-0000-0A00-000000000000}">
      <formula1>1</formula1>
      <formula2>99</formula2>
    </dataValidation>
    <dataValidation type="whole" allowBlank="1" showInputMessage="1" showErrorMessage="1" errorTitle="Positive integer" error="Between 1 and 2000" sqref="F10:F11" xr:uid="{00000000-0002-0000-0A00-000001000000}">
      <formula1>1</formula1>
      <formula2>2000</formula2>
    </dataValidation>
  </dataValidations>
  <hyperlinks>
    <hyperlink ref="A6" location="Home!A1" display="Home" xr:uid="{00000000-0004-0000-0A00-000000000000}"/>
    <hyperlink ref="A8" location="Setup!A1" display="Model set up" xr:uid="{00000000-0004-0000-0A00-000001000000}"/>
    <hyperlink ref="A10" location="Population!A1" display="Population" xr:uid="{00000000-0004-0000-0A00-000002000000}"/>
    <hyperlink ref="A12" location="Interventions!A1" display="Interventions" xr:uid="{00000000-0004-0000-0A00-000003000000}"/>
    <hyperlink ref="A14" location="Events!A1" display="Event rates" xr:uid="{00000000-0004-0000-0A00-000004000000}"/>
    <hyperlink ref="A16" location="Costs!A1" display="Costs" xr:uid="{00000000-0004-0000-0A00-000005000000}"/>
    <hyperlink ref="A20" location="Sensitivity!A1" display="Sensitivity analysis" xr:uid="{00000000-0004-0000-0A00-000006000000}"/>
    <hyperlink ref="A18" location="Results!A1" display="Results" xr:uid="{00000000-0004-0000-0A00-000007000000}"/>
  </hyperlink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sensitivity">
                <anchor moveWithCells="1" sizeWithCells="1">
                  <from>
                    <xdr:col>7</xdr:col>
                    <xdr:colOff>676275</xdr:colOff>
                    <xdr:row>7</xdr:row>
                    <xdr:rowOff>19050</xdr:rowOff>
                  </from>
                  <to>
                    <xdr:col>10</xdr:col>
                    <xdr:colOff>180975</xdr:colOff>
                    <xdr:row>11</xdr:row>
                    <xdr:rowOff>9525</xdr:rowOff>
                  </to>
                </anchor>
              </controlPr>
            </control>
          </mc:Choice>
        </mc:AlternateContent>
        <mc:AlternateContent xmlns:mc="http://schemas.openxmlformats.org/markup-compatibility/2006">
          <mc:Choice Requires="x14">
            <control shapeId="27650" r:id="rId5" name="Button 2">
              <controlPr defaultSize="0" print="0" autoFill="0" autoPict="0" macro="[0]!OWSA">
                <anchor moveWithCells="1" sizeWithCells="1">
                  <from>
                    <xdr:col>7</xdr:col>
                    <xdr:colOff>676275</xdr:colOff>
                    <xdr:row>19</xdr:row>
                    <xdr:rowOff>171450</xdr:rowOff>
                  </from>
                  <to>
                    <xdr:col>10</xdr:col>
                    <xdr:colOff>180975</xdr:colOff>
                    <xdr:row>24</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33" operator="containsText" id="{7A5CC926-9780-4DD8-8A2C-B64838C0C024}">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iconSet" priority="31" id="{804C9E3C-44F2-4861-A204-DA0F6CDFD573}">
            <x14:iconSet iconSet="3Flags" custom="1">
              <x14:cfvo type="percent">
                <xm:f>0</xm:f>
              </x14:cfvo>
              <x14:cfvo type="num" gte="0">
                <xm:f>99</xm:f>
              </x14:cfvo>
              <x14:cfvo type="num" gte="0">
                <xm:f>100</xm:f>
              </x14:cfvo>
              <x14:cfIcon iconSet="3Symbols" iconId="0"/>
              <x14:cfIcon iconSet="3Symbols" iconId="2"/>
              <x14:cfIcon iconSet="3Symbols" iconId="1"/>
            </x14:iconSet>
          </x14:cfRule>
          <xm:sqref>U18</xm:sqref>
        </x14:conditionalFormatting>
        <x14:conditionalFormatting xmlns:xm="http://schemas.microsoft.com/office/excel/2006/main">
          <x14:cfRule type="containsText" priority="6" operator="containsText" id="{8C0E5ED1-9A54-47DD-9685-C5F77D10B53F}">
            <xm:f>NOT(ISERROR(SEARCH($C$4,A6)))</xm:f>
            <xm:f>$C$4</xm:f>
            <x14:dxf>
              <font>
                <b val="0"/>
                <i val="0"/>
                <strike val="0"/>
                <color theme="0"/>
              </font>
              <fill>
                <patternFill>
                  <bgColor theme="5"/>
                </patternFill>
              </fill>
            </x14:dxf>
          </x14:cfRule>
          <xm:sqref>A6:A11 A17</xm:sqref>
        </x14:conditionalFormatting>
        <x14:conditionalFormatting xmlns:xm="http://schemas.microsoft.com/office/excel/2006/main">
          <x14:cfRule type="containsText" priority="5" operator="containsText" id="{7AE779BE-3A77-4103-8EAB-0FB13EF18650}">
            <xm:f>NOT(ISERROR(SEARCH($C$4,A12)))</xm:f>
            <xm:f>$C$4</xm:f>
            <x14:dxf>
              <font>
                <b val="0"/>
                <i val="0"/>
                <strike val="0"/>
                <color theme="0"/>
              </font>
              <fill>
                <patternFill>
                  <bgColor theme="5"/>
                </patternFill>
              </fill>
            </x14:dxf>
          </x14:cfRule>
          <xm:sqref>A12:A16</xm:sqref>
        </x14:conditionalFormatting>
        <x14:conditionalFormatting xmlns:xm="http://schemas.microsoft.com/office/excel/2006/main">
          <x14:cfRule type="containsText" priority="4" operator="containsText" id="{EC66303A-2F73-4D76-BDAA-3432A8D57A5B}">
            <xm:f>NOT(ISERROR(SEARCH($C$4,A18)))</xm:f>
            <xm:f>$C$4</xm:f>
            <x14:dxf>
              <font>
                <b val="0"/>
                <i val="0"/>
                <strike val="0"/>
                <color theme="0"/>
              </font>
              <fill>
                <patternFill>
                  <bgColor theme="5"/>
                </patternFill>
              </fill>
            </x14:dxf>
          </x14:cfRule>
          <xm:sqref>A18:A20</xm:sqref>
        </x14:conditionalFormatting>
        <x14:conditionalFormatting xmlns:xm="http://schemas.microsoft.com/office/excel/2006/main">
          <x14:cfRule type="iconSet" priority="2" id="{B5456816-7E48-4843-9AA3-5E98371F034D}">
            <x14:iconSet iconSet="3Symbols2" custom="1">
              <x14:cfvo type="percent">
                <xm:f>0</xm:f>
              </x14:cfvo>
              <x14:cfvo type="num">
                <xm:f>0</xm:f>
              </x14:cfvo>
              <x14:cfvo type="num" gte="0">
                <xm:f>0</xm:f>
              </x14:cfvo>
              <x14:cfIcon iconSet="3Symbols2" iconId="2"/>
              <x14:cfIcon iconSet="3Arrows" iconId="1"/>
              <x14:cfIcon iconSet="3Symbols2" iconId="0"/>
            </x14:iconSet>
          </x14:cfRule>
          <xm:sqref>E16:G18</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Z40"/>
  <sheetViews>
    <sheetView topLeftCell="B4" workbookViewId="0">
      <selection activeCell="K24" sqref="K24"/>
    </sheetView>
  </sheetViews>
  <sheetFormatPr defaultColWidth="8.625" defaultRowHeight="15" x14ac:dyDescent="0.3"/>
  <cols>
    <col min="1" max="1" width="21" style="1" customWidth="1"/>
    <col min="2" max="3" width="8.625" style="1"/>
    <col min="4" max="4" width="10.125" style="1" customWidth="1"/>
    <col min="5" max="8" width="8.625" style="1"/>
    <col min="9" max="10" width="10.125" style="1" customWidth="1"/>
    <col min="11" max="12" width="11.5" style="1" customWidth="1"/>
    <col min="13"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452</v>
      </c>
      <c r="D4" s="10"/>
      <c r="E4" s="10"/>
      <c r="F4" s="145" t="s">
        <v>451</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8" thickTop="1" thickBot="1" x14ac:dyDescent="0.35">
      <c r="A6" s="26" t="s">
        <v>1</v>
      </c>
      <c r="B6"/>
      <c r="C6"/>
      <c r="D6"/>
      <c r="E6"/>
      <c r="F6"/>
      <c r="G6"/>
      <c r="H6"/>
      <c r="I6"/>
      <c r="J6"/>
      <c r="K6"/>
      <c r="L6"/>
      <c r="M6"/>
      <c r="N6"/>
      <c r="O6"/>
      <c r="P6"/>
      <c r="Q6"/>
      <c r="R6"/>
    </row>
    <row r="7" spans="1:26" ht="18" thickTop="1" thickBot="1" x14ac:dyDescent="0.35">
      <c r="A7" s="2"/>
      <c r="B7"/>
      <c r="C7"/>
      <c r="D7"/>
      <c r="E7"/>
      <c r="F7"/>
      <c r="G7"/>
      <c r="H7"/>
      <c r="I7"/>
      <c r="J7"/>
      <c r="K7"/>
      <c r="L7"/>
      <c r="M7"/>
      <c r="N7"/>
      <c r="O7"/>
      <c r="P7"/>
      <c r="Q7"/>
      <c r="R7"/>
    </row>
    <row r="8" spans="1:26" ht="18" thickTop="1" thickBot="1" x14ac:dyDescent="0.35">
      <c r="A8" s="26" t="s">
        <v>12</v>
      </c>
      <c r="B8"/>
      <c r="C8" s="29" t="s">
        <v>14</v>
      </c>
      <c r="D8" s="29"/>
      <c r="E8" s="29"/>
      <c r="F8" s="30" t="s">
        <v>65</v>
      </c>
      <c r="G8" s="30" t="s">
        <v>74</v>
      </c>
      <c r="H8" s="30" t="s">
        <v>50</v>
      </c>
      <c r="I8" s="30" t="s">
        <v>77</v>
      </c>
      <c r="J8" s="30" t="s">
        <v>78</v>
      </c>
      <c r="K8" s="29" t="s">
        <v>79</v>
      </c>
      <c r="L8" s="29" t="s">
        <v>64</v>
      </c>
      <c r="M8"/>
      <c r="N8"/>
      <c r="O8"/>
      <c r="P8"/>
      <c r="Q8"/>
      <c r="R8"/>
      <c r="S8"/>
    </row>
    <row r="9" spans="1:26" ht="18" thickTop="1" thickBot="1" x14ac:dyDescent="0.35">
      <c r="A9" s="2"/>
      <c r="B9"/>
      <c r="C9" s="12"/>
      <c r="D9" s="25"/>
      <c r="E9" s="25"/>
      <c r="G9" s="31"/>
      <c r="M9"/>
      <c r="N9"/>
      <c r="O9"/>
      <c r="P9"/>
      <c r="Q9"/>
      <c r="R9"/>
      <c r="S9"/>
    </row>
    <row r="10" spans="1:26" ht="18" thickTop="1" thickBot="1" x14ac:dyDescent="0.35">
      <c r="A10" s="26" t="s">
        <v>13</v>
      </c>
      <c r="B10"/>
      <c r="C10" s="25" t="s">
        <v>98</v>
      </c>
      <c r="D10" s="25"/>
      <c r="E10" s="25"/>
      <c r="M10"/>
      <c r="N10"/>
      <c r="O10"/>
      <c r="P10"/>
      <c r="Q10"/>
      <c r="R10"/>
      <c r="S10"/>
    </row>
    <row r="11" spans="1:26" ht="18" thickTop="1" thickBot="1" x14ac:dyDescent="0.35">
      <c r="A11" s="2"/>
      <c r="B11"/>
      <c r="C11" s="1" t="s">
        <v>101</v>
      </c>
      <c r="F11" s="28">
        <v>1.8</v>
      </c>
      <c r="G11" s="32" t="s">
        <v>16</v>
      </c>
      <c r="H11" s="25"/>
      <c r="I11" s="25"/>
      <c r="J11" s="25"/>
      <c r="M11"/>
      <c r="N11"/>
      <c r="O11"/>
      <c r="P11"/>
      <c r="Q11"/>
      <c r="R11"/>
      <c r="S11"/>
    </row>
    <row r="12" spans="1:26" ht="18" thickTop="1" thickBot="1" x14ac:dyDescent="0.35">
      <c r="A12" s="26" t="s">
        <v>22</v>
      </c>
      <c r="B12"/>
      <c r="C12" s="1" t="s">
        <v>99</v>
      </c>
      <c r="F12" s="28">
        <v>3.9</v>
      </c>
      <c r="G12" s="32" t="s">
        <v>16</v>
      </c>
      <c r="I12" s="25"/>
      <c r="J12" s="25"/>
      <c r="M12"/>
      <c r="N12"/>
      <c r="O12"/>
      <c r="P12"/>
      <c r="Q12"/>
      <c r="R12"/>
      <c r="S12"/>
    </row>
    <row r="13" spans="1:26" ht="18" thickTop="1" thickBot="1" x14ac:dyDescent="0.35">
      <c r="A13" s="2"/>
      <c r="B13"/>
      <c r="C13" s="1" t="s">
        <v>100</v>
      </c>
      <c r="F13" s="28">
        <v>5.6</v>
      </c>
      <c r="G13" s="32" t="s">
        <v>16</v>
      </c>
      <c r="I13" s="25"/>
      <c r="J13" s="25"/>
      <c r="L13"/>
      <c r="M13"/>
      <c r="N13"/>
      <c r="O13"/>
      <c r="P13"/>
      <c r="Q13"/>
      <c r="R13"/>
      <c r="S13"/>
    </row>
    <row r="14" spans="1:26" ht="18" thickTop="1" thickBot="1" x14ac:dyDescent="0.35">
      <c r="A14" s="26" t="s">
        <v>132</v>
      </c>
      <c r="B14"/>
      <c r="D14" s="25"/>
      <c r="E14" s="25"/>
      <c r="K14"/>
      <c r="L14"/>
      <c r="M14"/>
      <c r="N14"/>
      <c r="O14"/>
      <c r="P14"/>
      <c r="Q14"/>
      <c r="R14"/>
      <c r="S14"/>
    </row>
    <row r="15" spans="1:26" ht="18" thickTop="1" thickBot="1" x14ac:dyDescent="0.35">
      <c r="A15" s="2"/>
      <c r="B15"/>
      <c r="C15" s="25" t="s">
        <v>102</v>
      </c>
      <c r="D15" s="25"/>
      <c r="E15" s="25"/>
      <c r="K15"/>
      <c r="L15"/>
      <c r="M15"/>
      <c r="N15"/>
      <c r="O15"/>
      <c r="P15"/>
      <c r="Q15"/>
      <c r="R15"/>
      <c r="S15"/>
    </row>
    <row r="16" spans="1:26" ht="18" thickTop="1" thickBot="1" x14ac:dyDescent="0.35">
      <c r="A16" s="26" t="s">
        <v>24</v>
      </c>
      <c r="B16"/>
      <c r="C16" s="1" t="s">
        <v>99</v>
      </c>
      <c r="F16" s="28">
        <v>2.68</v>
      </c>
      <c r="G16" s="34" t="s">
        <v>104</v>
      </c>
      <c r="H16" s="25"/>
      <c r="I16" s="28">
        <v>2.2599999999999998</v>
      </c>
      <c r="J16" s="28">
        <v>3.17</v>
      </c>
      <c r="K16"/>
      <c r="L16"/>
      <c r="M16"/>
      <c r="N16"/>
      <c r="O16"/>
      <c r="P16"/>
      <c r="Q16"/>
      <c r="R16"/>
      <c r="S16"/>
    </row>
    <row r="17" spans="1:19" ht="18" thickTop="1" thickBot="1" x14ac:dyDescent="0.35">
      <c r="A17" s="2"/>
      <c r="B17"/>
      <c r="C17" s="1" t="s">
        <v>100</v>
      </c>
      <c r="F17" s="28">
        <v>3.95</v>
      </c>
      <c r="G17" s="34" t="s">
        <v>104</v>
      </c>
      <c r="H17" s="25"/>
      <c r="I17" s="28">
        <v>3.45</v>
      </c>
      <c r="J17" s="28">
        <v>4.5199999999999996</v>
      </c>
      <c r="K17"/>
      <c r="L17"/>
      <c r="M17"/>
      <c r="N17"/>
      <c r="O17"/>
      <c r="P17"/>
      <c r="Q17"/>
      <c r="R17"/>
      <c r="S17"/>
    </row>
    <row r="18" spans="1:19" ht="18" thickTop="1" thickBot="1" x14ac:dyDescent="0.35">
      <c r="A18" s="26" t="s">
        <v>2</v>
      </c>
      <c r="B18"/>
      <c r="C18" s="1" t="s">
        <v>103</v>
      </c>
      <c r="D18"/>
      <c r="E18"/>
      <c r="F18" s="28">
        <v>4.67</v>
      </c>
      <c r="G18" s="34" t="s">
        <v>104</v>
      </c>
      <c r="I18" s="28">
        <v>4.13</v>
      </c>
      <c r="J18" s="28">
        <v>5.28</v>
      </c>
      <c r="K18"/>
      <c r="L18"/>
      <c r="M18"/>
      <c r="N18"/>
      <c r="O18"/>
      <c r="P18"/>
      <c r="Q18"/>
      <c r="R18"/>
      <c r="S18"/>
    </row>
    <row r="19" spans="1:19" ht="18" thickTop="1" thickBot="1" x14ac:dyDescent="0.35">
      <c r="A19" s="2"/>
      <c r="B19"/>
      <c r="C19"/>
      <c r="D19"/>
      <c r="E19"/>
      <c r="F19"/>
      <c r="G19"/>
      <c r="H19"/>
      <c r="I19"/>
      <c r="J19"/>
      <c r="K19"/>
      <c r="L19"/>
      <c r="M19"/>
      <c r="N19"/>
      <c r="O19"/>
      <c r="P19"/>
      <c r="Q19"/>
      <c r="R19"/>
    </row>
    <row r="20" spans="1:19" ht="18" thickTop="1" thickBot="1" x14ac:dyDescent="0.35">
      <c r="A20" s="26" t="s">
        <v>51</v>
      </c>
      <c r="B20"/>
      <c r="C20" s="1" t="s">
        <v>270</v>
      </c>
      <c r="D20"/>
      <c r="E20"/>
      <c r="F20" s="28">
        <v>0.61</v>
      </c>
      <c r="G20" s="32" t="s">
        <v>16</v>
      </c>
      <c r="H20" s="14">
        <v>5.7481760714745811E-4</v>
      </c>
      <c r="I20"/>
      <c r="J20"/>
      <c r="K20"/>
      <c r="L20"/>
      <c r="M20"/>
      <c r="N20"/>
      <c r="O20"/>
      <c r="P20"/>
      <c r="Q20"/>
      <c r="R20"/>
    </row>
    <row r="21" spans="1:19" ht="17.25" thickTop="1" x14ac:dyDescent="0.3">
      <c r="A21" s="2"/>
      <c r="B21"/>
      <c r="C21"/>
      <c r="D21"/>
      <c r="E21"/>
      <c r="F21"/>
      <c r="G21"/>
      <c r="H21"/>
      <c r="I21"/>
      <c r="J21"/>
      <c r="K21"/>
      <c r="L21"/>
      <c r="M21"/>
      <c r="N21"/>
      <c r="O21"/>
      <c r="P21"/>
      <c r="Q21"/>
      <c r="R21"/>
    </row>
    <row r="22" spans="1:19" ht="16.5" x14ac:dyDescent="0.3">
      <c r="A22" s="2"/>
      <c r="C22" s="1" t="s">
        <v>274</v>
      </c>
      <c r="F22" s="14">
        <v>7.9</v>
      </c>
      <c r="G22" s="1" t="s">
        <v>89</v>
      </c>
      <c r="H22" s="14">
        <v>8.5</v>
      </c>
      <c r="I22" s="38"/>
      <c r="J22" s="38"/>
    </row>
    <row r="23" spans="1:19" x14ac:dyDescent="0.3">
      <c r="A23" s="2"/>
    </row>
    <row r="24" spans="1:19" x14ac:dyDescent="0.3">
      <c r="A24" s="2"/>
      <c r="C24" s="1" t="s">
        <v>458</v>
      </c>
      <c r="F24" s="14">
        <f>1.36/(6.1+1.36)</f>
        <v>0.18230563002680966</v>
      </c>
      <c r="H24" s="14">
        <f>F24/10</f>
        <v>1.8230563002680965E-2</v>
      </c>
    </row>
    <row r="25" spans="1:19" x14ac:dyDescent="0.3">
      <c r="A25" s="2"/>
    </row>
    <row r="26" spans="1:19" x14ac:dyDescent="0.3">
      <c r="A26" s="2"/>
      <c r="C26" s="1" t="s">
        <v>459</v>
      </c>
      <c r="F26" s="28">
        <v>65</v>
      </c>
      <c r="G26" s="1" t="s">
        <v>16</v>
      </c>
      <c r="H26" s="28">
        <f>F26/10</f>
        <v>6.5</v>
      </c>
      <c r="K26" s="1" t="s">
        <v>460</v>
      </c>
    </row>
    <row r="27" spans="1:19" x14ac:dyDescent="0.3">
      <c r="A27" s="2"/>
    </row>
    <row r="28" spans="1:19" x14ac:dyDescent="0.3">
      <c r="A28" s="2"/>
    </row>
    <row r="29" spans="1:19" x14ac:dyDescent="0.3">
      <c r="A29" s="2"/>
    </row>
    <row r="30" spans="1:19" x14ac:dyDescent="0.3">
      <c r="A30" s="2"/>
    </row>
    <row r="31" spans="1:19" x14ac:dyDescent="0.3">
      <c r="A31" s="2"/>
    </row>
    <row r="32" spans="1:19"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3">
    <mergeCell ref="C1:U1"/>
    <mergeCell ref="C2:U2"/>
    <mergeCell ref="F4:V4"/>
  </mergeCells>
  <conditionalFormatting sqref="C9">
    <cfRule type="expression" dxfId="64" priority="4">
      <formula>$D$9</formula>
    </cfRule>
  </conditionalFormatting>
  <dataValidations count="7">
    <dataValidation type="whole" operator="greaterThan" allowBlank="1" showInputMessage="1" showErrorMessage="1" errorTitle="Integer number of days" error="Greater than 0 (zero)" sqref="F22" xr:uid="{00000000-0002-0000-0B00-000000000000}">
      <formula1>0</formula1>
    </dataValidation>
    <dataValidation type="decimal" allowBlank="1" showInputMessage="1" showErrorMessage="1" errorTitle="Decimal value" error="between 0 and 100" sqref="F11:F13 F20 F26 H26" xr:uid="{00000000-0002-0000-0B00-000001000000}">
      <formula1>0</formula1>
      <formula2>100</formula2>
    </dataValidation>
    <dataValidation type="decimal" operator="greaterThan" allowBlank="1" showInputMessage="1" showErrorMessage="1" errorTitle="Positive value" error="Greater than 0" sqref="H20 H22 H24" xr:uid="{00000000-0002-0000-0B00-000002000000}">
      <formula1>0</formula1>
    </dataValidation>
    <dataValidation type="decimal" allowBlank="1" showInputMessage="1" showErrorMessage="1" errorTitle="Positive value" error="between the mean value entered and 100" sqref="J16:J18" xr:uid="{00000000-0002-0000-0B00-000003000000}">
      <formula1>F16</formula1>
      <formula2>100</formula2>
    </dataValidation>
    <dataValidation type="decimal" allowBlank="1" showInputMessage="1" showErrorMessage="1" errorTitle="Positive value" error="Between 0 and the mean value entered" sqref="I16:I18" xr:uid="{00000000-0002-0000-0B00-000004000000}">
      <formula1>0</formula1>
      <formula2>F16</formula2>
    </dataValidation>
    <dataValidation type="decimal" allowBlank="1" showInputMessage="1" showErrorMessage="1" sqref="F16:F18" xr:uid="{00000000-0002-0000-0B00-000005000000}">
      <formula1>0.01</formula1>
      <formula2>20</formula2>
    </dataValidation>
    <dataValidation type="decimal" operator="greaterThan" allowBlank="1" showInputMessage="1" showErrorMessage="1" errorTitle="Integer number of days" error="Greater than 0 (zero)" sqref="F24" xr:uid="{00000000-0002-0000-0B00-000006000000}">
      <formula1>0</formula1>
    </dataValidation>
  </dataValidations>
  <hyperlinks>
    <hyperlink ref="A6" location="Home!A1" display="Home" xr:uid="{00000000-0004-0000-0B00-000000000000}"/>
    <hyperlink ref="A8" location="Setup!A1" display="Model set up" xr:uid="{00000000-0004-0000-0B00-000001000000}"/>
    <hyperlink ref="A10" location="Population!A1" display="Population" xr:uid="{00000000-0004-0000-0B00-000002000000}"/>
    <hyperlink ref="A12" location="Interventions!A1" display="Interventions" xr:uid="{00000000-0004-0000-0B00-000003000000}"/>
    <hyperlink ref="A14" location="Events!A1" display="Event rates" xr:uid="{00000000-0004-0000-0B00-000004000000}"/>
    <hyperlink ref="A16" location="Costs!A1" display="Costs" xr:uid="{00000000-0004-0000-0B00-000005000000}"/>
    <hyperlink ref="A20" location="Sensitivity!A1" display="Sensitivity analysis" xr:uid="{00000000-0004-0000-0B00-000006000000}"/>
    <hyperlink ref="A18" location="Results!A1" display="Results" xr:uid="{00000000-0004-0000-0B00-000007000000}"/>
  </hyperlinks>
  <pageMargins left="0.7" right="0.7" top="0.75" bottom="0.75" header="0.3" footer="0.3"/>
  <pageSetup paperSize="9" orientation="portrait" horizontalDpi="4294967293"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_reset">
                <anchor moveWithCells="1" sizeWithCells="1">
                  <from>
                    <xdr:col>17</xdr:col>
                    <xdr:colOff>333375</xdr:colOff>
                    <xdr:row>3</xdr:row>
                    <xdr:rowOff>28575</xdr:rowOff>
                  </from>
                  <to>
                    <xdr:col>19</xdr:col>
                    <xdr:colOff>209550</xdr:colOff>
                    <xdr:row>3</xdr:row>
                    <xdr:rowOff>219075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9" operator="containsText" id="{AA67C540-6DBD-4BE8-85C6-B782A1B3B1E4}">
            <xm:f>NOT(ISERROR(SEARCH($C$4,A21)))</xm:f>
            <xm:f>$C$4</xm:f>
            <x14:dxf>
              <font>
                <b val="0"/>
                <i val="0"/>
                <strike val="0"/>
                <color theme="0"/>
              </font>
              <fill>
                <patternFill>
                  <bgColor theme="5"/>
                </patternFill>
              </fill>
            </x14:dxf>
          </x14:cfRule>
          <xm:sqref>A21:A41</xm:sqref>
        </x14:conditionalFormatting>
        <x14:conditionalFormatting xmlns:xm="http://schemas.microsoft.com/office/excel/2006/main">
          <x14:cfRule type="containsText" priority="2" operator="containsText" id="{930C57C3-653E-4E02-B1A5-CF162730DEC3}">
            <xm:f>NOT(ISERROR(SEARCH($C$4,A12)))</xm:f>
            <xm:f>$C$4</xm:f>
            <x14:dxf>
              <font>
                <b val="0"/>
                <i val="0"/>
                <strike val="0"/>
                <color theme="0"/>
              </font>
              <fill>
                <patternFill>
                  <bgColor theme="5"/>
                </patternFill>
              </fill>
            </x14:dxf>
          </x14:cfRule>
          <xm:sqref>A12:A16</xm:sqref>
        </x14:conditionalFormatting>
        <x14:conditionalFormatting xmlns:xm="http://schemas.microsoft.com/office/excel/2006/main">
          <x14:cfRule type="containsText" priority="3" operator="containsText" id="{7B27A71A-9008-466B-9BF2-A7F4188C8721}">
            <xm:f>NOT(ISERROR(SEARCH($C$4,A6)))</xm:f>
            <xm:f>$C$4</xm:f>
            <x14:dxf>
              <font>
                <b val="0"/>
                <i val="0"/>
                <strike val="0"/>
                <color theme="0"/>
              </font>
              <fill>
                <patternFill>
                  <bgColor theme="5"/>
                </patternFill>
              </fill>
            </x14:dxf>
          </x14:cfRule>
          <xm:sqref>A6:A11 A17</xm:sqref>
        </x14:conditionalFormatting>
        <x14:conditionalFormatting xmlns:xm="http://schemas.microsoft.com/office/excel/2006/main">
          <x14:cfRule type="containsText" priority="1" operator="containsText" id="{65A7EF9B-073C-42BB-B3B3-D443BA86F1F2}">
            <xm:f>NOT(ISERROR(SEARCH($C$4,A18)))</xm:f>
            <xm:f>$C$4</xm:f>
            <x14:dxf>
              <font>
                <b val="0"/>
                <i val="0"/>
                <strike val="0"/>
                <color theme="0"/>
              </font>
              <fill>
                <patternFill>
                  <bgColor theme="5"/>
                </patternFill>
              </fill>
            </x14:dxf>
          </x14:cfRule>
          <xm:sqref>A18:A20</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1"/>
  </sheetPr>
  <dimension ref="A1:Z40"/>
  <sheetViews>
    <sheetView workbookViewId="0">
      <selection activeCell="J8" sqref="J8"/>
    </sheetView>
  </sheetViews>
  <sheetFormatPr defaultColWidth="8.625" defaultRowHeight="15" x14ac:dyDescent="0.3"/>
  <cols>
    <col min="1" max="1" width="21" style="1" customWidth="1"/>
    <col min="2"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30</v>
      </c>
      <c r="D4" s="10"/>
      <c r="E4" s="10"/>
      <c r="F4" s="145" t="s">
        <v>31</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8" thickTop="1" thickBot="1" x14ac:dyDescent="0.35">
      <c r="A6" s="9" t="s">
        <v>1</v>
      </c>
      <c r="C6" s="12" t="s">
        <v>26</v>
      </c>
      <c r="D6"/>
      <c r="E6" s="12" t="s">
        <v>28</v>
      </c>
      <c r="F6"/>
      <c r="G6"/>
      <c r="H6" t="s">
        <v>347</v>
      </c>
      <c r="I6"/>
      <c r="J6" t="s">
        <v>49</v>
      </c>
      <c r="K6"/>
      <c r="L6"/>
      <c r="M6"/>
      <c r="N6"/>
    </row>
    <row r="7" spans="1:26" ht="18" thickTop="1" thickBot="1" x14ac:dyDescent="0.35">
      <c r="A7" s="2"/>
      <c r="C7" t="s">
        <v>25</v>
      </c>
      <c r="D7"/>
      <c r="E7">
        <v>0.5</v>
      </c>
      <c r="F7"/>
      <c r="G7"/>
      <c r="H7" t="s">
        <v>346</v>
      </c>
      <c r="I7"/>
      <c r="J7">
        <v>2014</v>
      </c>
      <c r="K7"/>
      <c r="L7"/>
      <c r="M7"/>
      <c r="N7"/>
    </row>
    <row r="8" spans="1:26" ht="18" thickTop="1" thickBot="1" x14ac:dyDescent="0.35">
      <c r="A8" s="9" t="s">
        <v>12</v>
      </c>
      <c r="C8" t="s">
        <v>27</v>
      </c>
      <c r="D8"/>
      <c r="E8">
        <v>1</v>
      </c>
      <c r="F8"/>
      <c r="G8"/>
      <c r="H8" t="s">
        <v>310</v>
      </c>
      <c r="I8"/>
      <c r="J8" s="128">
        <v>2015</v>
      </c>
      <c r="K8"/>
      <c r="L8"/>
      <c r="M8"/>
      <c r="N8"/>
    </row>
    <row r="9" spans="1:26" ht="18" thickTop="1" thickBot="1" x14ac:dyDescent="0.35">
      <c r="A9" s="2"/>
      <c r="C9"/>
      <c r="D9"/>
      <c r="E9">
        <v>2</v>
      </c>
      <c r="F9"/>
      <c r="G9"/>
      <c r="H9"/>
      <c r="I9"/>
      <c r="J9" s="128">
        <v>2016</v>
      </c>
      <c r="K9"/>
      <c r="L9"/>
      <c r="M9"/>
      <c r="N9"/>
    </row>
    <row r="10" spans="1:26" ht="18" thickTop="1" thickBot="1" x14ac:dyDescent="0.35">
      <c r="A10" s="9" t="s">
        <v>13</v>
      </c>
      <c r="C10"/>
      <c r="D10"/>
      <c r="E10">
        <v>3</v>
      </c>
      <c r="F10"/>
      <c r="G10"/>
      <c r="H10"/>
      <c r="I10"/>
      <c r="J10"/>
      <c r="K10"/>
      <c r="L10"/>
      <c r="M10"/>
      <c r="N10"/>
    </row>
    <row r="11" spans="1:26" ht="18" thickTop="1" thickBot="1" x14ac:dyDescent="0.35">
      <c r="A11" s="2"/>
      <c r="C11"/>
      <c r="D11"/>
      <c r="E11">
        <v>4</v>
      </c>
      <c r="F11"/>
      <c r="G11"/>
      <c r="H11"/>
      <c r="I11"/>
      <c r="J11"/>
      <c r="K11"/>
      <c r="L11"/>
      <c r="M11"/>
      <c r="N11"/>
    </row>
    <row r="12" spans="1:26" ht="18" thickTop="1" thickBot="1" x14ac:dyDescent="0.35">
      <c r="A12" s="9" t="s">
        <v>22</v>
      </c>
      <c r="C12"/>
      <c r="D12"/>
      <c r="E12">
        <v>5</v>
      </c>
      <c r="F12"/>
      <c r="G12"/>
      <c r="H12"/>
      <c r="I12"/>
      <c r="J12"/>
      <c r="K12"/>
      <c r="L12"/>
      <c r="M12"/>
      <c r="N12"/>
    </row>
    <row r="13" spans="1:26" ht="18" thickTop="1" thickBot="1" x14ac:dyDescent="0.35">
      <c r="A13" s="2"/>
      <c r="C13"/>
      <c r="D13"/>
      <c r="E13"/>
      <c r="F13"/>
      <c r="G13"/>
      <c r="H13"/>
      <c r="I13"/>
      <c r="J13"/>
      <c r="K13"/>
      <c r="L13"/>
      <c r="M13"/>
      <c r="N13"/>
    </row>
    <row r="14" spans="1:26" ht="18" thickTop="1" thickBot="1" x14ac:dyDescent="0.35">
      <c r="A14" s="9" t="s">
        <v>23</v>
      </c>
      <c r="C14"/>
      <c r="D14"/>
      <c r="E14"/>
      <c r="F14"/>
      <c r="G14"/>
      <c r="H14"/>
      <c r="I14"/>
      <c r="J14"/>
      <c r="K14"/>
      <c r="L14"/>
      <c r="M14"/>
      <c r="N14"/>
    </row>
    <row r="15" spans="1:26" ht="18" thickTop="1" thickBot="1" x14ac:dyDescent="0.35">
      <c r="A15" s="2"/>
      <c r="C15"/>
      <c r="D15"/>
      <c r="E15"/>
      <c r="F15"/>
      <c r="G15"/>
      <c r="H15"/>
      <c r="I15"/>
      <c r="J15"/>
      <c r="K15"/>
      <c r="L15"/>
      <c r="M15"/>
      <c r="N15"/>
    </row>
    <row r="16" spans="1:26" ht="18" thickTop="1" thickBot="1" x14ac:dyDescent="0.35">
      <c r="A16" s="9" t="s">
        <v>24</v>
      </c>
      <c r="C16"/>
      <c r="D16"/>
      <c r="E16"/>
      <c r="F16"/>
      <c r="G16"/>
      <c r="H16"/>
      <c r="I16"/>
      <c r="J16"/>
      <c r="K16"/>
      <c r="L16"/>
      <c r="M16"/>
      <c r="N16"/>
    </row>
    <row r="17" spans="1:14" ht="18" thickTop="1" thickBot="1" x14ac:dyDescent="0.35">
      <c r="A17" s="2"/>
      <c r="C17"/>
      <c r="D17"/>
      <c r="E17"/>
      <c r="F17"/>
      <c r="G17"/>
      <c r="H17"/>
      <c r="I17"/>
      <c r="J17"/>
      <c r="K17"/>
      <c r="L17"/>
      <c r="M17"/>
      <c r="N17"/>
    </row>
    <row r="18" spans="1:14" ht="18" thickTop="1" thickBot="1" x14ac:dyDescent="0.35">
      <c r="A18" s="9" t="s">
        <v>2</v>
      </c>
      <c r="C18"/>
      <c r="D18"/>
      <c r="E18"/>
      <c r="F18"/>
      <c r="G18"/>
      <c r="H18"/>
      <c r="I18"/>
      <c r="J18"/>
      <c r="K18"/>
      <c r="L18"/>
      <c r="M18"/>
      <c r="N18"/>
    </row>
    <row r="19" spans="1:14" ht="18" thickTop="1" thickBot="1" x14ac:dyDescent="0.35">
      <c r="A19" s="2"/>
      <c r="C19"/>
      <c r="D19"/>
      <c r="E19"/>
      <c r="F19"/>
      <c r="G19"/>
      <c r="H19"/>
      <c r="I19"/>
      <c r="J19"/>
      <c r="K19"/>
      <c r="L19"/>
      <c r="M19"/>
      <c r="N19"/>
    </row>
    <row r="20" spans="1:14" ht="18" thickTop="1" thickBot="1" x14ac:dyDescent="0.35">
      <c r="A20" s="9" t="s">
        <v>3</v>
      </c>
      <c r="C20"/>
      <c r="D20"/>
      <c r="E20"/>
      <c r="F20"/>
      <c r="G20"/>
      <c r="H20"/>
      <c r="I20"/>
      <c r="J20"/>
      <c r="K20"/>
      <c r="L20"/>
      <c r="M20"/>
      <c r="N20"/>
    </row>
    <row r="21" spans="1:14" ht="17.25" thickTop="1" x14ac:dyDescent="0.3">
      <c r="A21" s="2"/>
      <c r="C21"/>
      <c r="D21"/>
      <c r="E21"/>
      <c r="F21"/>
      <c r="G21"/>
      <c r="H21"/>
      <c r="I21"/>
      <c r="J21"/>
      <c r="K21"/>
      <c r="L21"/>
      <c r="M21"/>
      <c r="N21"/>
    </row>
    <row r="22" spans="1:14" ht="16.5" x14ac:dyDescent="0.3">
      <c r="A22" s="2"/>
      <c r="C22"/>
      <c r="D22"/>
      <c r="E22"/>
      <c r="F22"/>
      <c r="G22"/>
      <c r="H22"/>
      <c r="I22"/>
      <c r="J22"/>
      <c r="K22"/>
      <c r="L22"/>
      <c r="M22"/>
      <c r="N22"/>
    </row>
    <row r="23" spans="1:14" ht="16.5" x14ac:dyDescent="0.3">
      <c r="A23" s="2"/>
      <c r="C23"/>
      <c r="D23"/>
      <c r="E23"/>
      <c r="F23"/>
      <c r="G23"/>
      <c r="H23"/>
      <c r="I23"/>
      <c r="J23"/>
      <c r="K23"/>
      <c r="L23"/>
      <c r="M23"/>
      <c r="N23"/>
    </row>
    <row r="24" spans="1:14" x14ac:dyDescent="0.3">
      <c r="A24" s="2"/>
    </row>
    <row r="25" spans="1:14" x14ac:dyDescent="0.3">
      <c r="A25" s="2"/>
    </row>
    <row r="26" spans="1:14" x14ac:dyDescent="0.3">
      <c r="A26" s="2"/>
    </row>
    <row r="27" spans="1:14" x14ac:dyDescent="0.3">
      <c r="A27" s="2"/>
    </row>
    <row r="28" spans="1:14" x14ac:dyDescent="0.3">
      <c r="A28" s="2"/>
    </row>
    <row r="29" spans="1:14" x14ac:dyDescent="0.3">
      <c r="A29" s="2"/>
    </row>
    <row r="30" spans="1:14" x14ac:dyDescent="0.3">
      <c r="A30" s="2"/>
    </row>
    <row r="31" spans="1:14" x14ac:dyDescent="0.3">
      <c r="A31" s="2"/>
    </row>
    <row r="32" spans="1:14" x14ac:dyDescent="0.3">
      <c r="A32" s="2"/>
    </row>
    <row r="33" spans="1:1" x14ac:dyDescent="0.3">
      <c r="A33" s="2"/>
    </row>
    <row r="34" spans="1:1" x14ac:dyDescent="0.3">
      <c r="A34" s="2"/>
    </row>
    <row r="35" spans="1:1" x14ac:dyDescent="0.3">
      <c r="A35" s="2"/>
    </row>
    <row r="36" spans="1:1" x14ac:dyDescent="0.3">
      <c r="A36" s="2"/>
    </row>
    <row r="37" spans="1:1" x14ac:dyDescent="0.3">
      <c r="A37" s="2"/>
    </row>
    <row r="38" spans="1:1" x14ac:dyDescent="0.3">
      <c r="A38" s="2"/>
    </row>
    <row r="39" spans="1:1" x14ac:dyDescent="0.3">
      <c r="A39" s="2"/>
    </row>
    <row r="40" spans="1:1" x14ac:dyDescent="0.3">
      <c r="A40" s="2"/>
    </row>
  </sheetData>
  <mergeCells count="3">
    <mergeCell ref="C1:U1"/>
    <mergeCell ref="C2:U2"/>
    <mergeCell ref="F4:V4"/>
  </mergeCells>
  <hyperlinks>
    <hyperlink ref="A6" location="Home!A1" display="Home" xr:uid="{00000000-0004-0000-0C00-000000000000}"/>
    <hyperlink ref="A8" location="Setup!A1" display="Model set up" xr:uid="{00000000-0004-0000-0C00-000001000000}"/>
    <hyperlink ref="A10" location="Population!A1" display="Population" xr:uid="{00000000-0004-0000-0C00-000002000000}"/>
  </hyperlinks>
  <pageMargins left="0.7" right="0.7" top="0.75" bottom="0.75" header="0.3" footer="0.3"/>
  <pageSetup paperSize="9" orientation="portrait" horizontalDpi="4294967293" verticalDpi="300"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C0489463-5FC7-4911-8944-9E35A2BC7456}">
            <xm:f>NOT(ISERROR(SEARCH($C$4,A6)))</xm:f>
            <xm:f>$C$4</xm:f>
            <x14:dxf>
              <font>
                <b val="0"/>
                <i val="0"/>
                <strike val="0"/>
                <color theme="0"/>
              </font>
              <fill>
                <patternFill>
                  <bgColor theme="5"/>
                </patternFill>
              </fill>
            </x14:dxf>
          </x14:cfRule>
          <xm:sqref>A6:A11 A17:A41</xm:sqref>
        </x14:conditionalFormatting>
        <x14:conditionalFormatting xmlns:xm="http://schemas.microsoft.com/office/excel/2006/main">
          <x14:cfRule type="containsText" priority="2" operator="containsText" id="{437535FD-4DAF-45A4-8822-7E38C228D839}">
            <xm:f>NOT(ISERROR(SEARCH($C$4,A12)))</xm:f>
            <xm:f>$C$4</xm:f>
            <x14:dxf>
              <font>
                <b val="0"/>
                <i val="0"/>
                <strike val="0"/>
                <color theme="0"/>
              </font>
              <fill>
                <patternFill>
                  <bgColor theme="5"/>
                </patternFill>
              </fill>
            </x14:dxf>
          </x14:cfRule>
          <xm:sqref>A12:A16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1"/>
  </sheetPr>
  <dimension ref="A1:Z82"/>
  <sheetViews>
    <sheetView topLeftCell="G1" workbookViewId="0">
      <selection activeCell="O82" sqref="O82"/>
    </sheetView>
  </sheetViews>
  <sheetFormatPr defaultColWidth="8.625" defaultRowHeight="15" x14ac:dyDescent="0.3"/>
  <cols>
    <col min="1" max="1" width="21" style="1" customWidth="1"/>
    <col min="2" max="3" width="8.625" style="1"/>
    <col min="4" max="4" width="24" style="1" bestFit="1" customWidth="1"/>
    <col min="5" max="7" width="11.125" style="1" customWidth="1"/>
    <col min="8" max="8" width="18.5" style="1" customWidth="1"/>
    <col min="9" max="9" width="11.875" style="1" customWidth="1"/>
    <col min="10" max="10" width="11.25" style="1" customWidth="1"/>
    <col min="11" max="11" width="17.5" style="1" customWidth="1"/>
    <col min="12" max="12" width="13.875" style="1" customWidth="1"/>
    <col min="13" max="14" width="8.625" style="1"/>
    <col min="15" max="15" width="16.25" style="1" customWidth="1"/>
    <col min="16" max="16" width="15.75" style="1" customWidth="1"/>
    <col min="17" max="17" width="13.5" style="1" customWidth="1"/>
    <col min="18" max="18" width="10" style="1" customWidth="1"/>
    <col min="19" max="21" width="8.625" style="1"/>
    <col min="22" max="22" width="13.875" style="1" bestFit="1" customWidth="1"/>
    <col min="23"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32</v>
      </c>
      <c r="D4" s="10"/>
      <c r="E4" s="10"/>
      <c r="F4" s="145" t="s">
        <v>33</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8" thickTop="1" thickBot="1" x14ac:dyDescent="0.35">
      <c r="A6" s="9" t="s">
        <v>1</v>
      </c>
      <c r="C6" s="12" t="s">
        <v>38</v>
      </c>
      <c r="D6" s="12" t="s">
        <v>14</v>
      </c>
      <c r="E6" s="18" t="s">
        <v>190</v>
      </c>
      <c r="F6" s="12" t="s">
        <v>192</v>
      </c>
      <c r="G6" s="18" t="s">
        <v>193</v>
      </c>
      <c r="H6" s="1" t="s">
        <v>206</v>
      </c>
      <c r="I6" s="1" t="s">
        <v>207</v>
      </c>
      <c r="J6" s="1" t="s">
        <v>208</v>
      </c>
      <c r="K6" s="1" t="s">
        <v>70</v>
      </c>
      <c r="L6" s="1" t="s">
        <v>34</v>
      </c>
      <c r="M6" s="1" t="s">
        <v>20</v>
      </c>
      <c r="N6" s="1" t="s">
        <v>200</v>
      </c>
      <c r="O6" s="1" t="s">
        <v>201</v>
      </c>
      <c r="P6" s="1" t="s">
        <v>71</v>
      </c>
      <c r="Q6" s="1" t="s">
        <v>35</v>
      </c>
      <c r="R6" s="1" t="s">
        <v>36</v>
      </c>
      <c r="S6" s="1" t="s">
        <v>37</v>
      </c>
      <c r="T6" s="1" t="s">
        <v>39</v>
      </c>
      <c r="U6" s="1" t="s">
        <v>339</v>
      </c>
      <c r="V6" s="1" t="s">
        <v>40</v>
      </c>
      <c r="W6" s="1" t="s">
        <v>72</v>
      </c>
      <c r="Y6" s="1" t="s">
        <v>41</v>
      </c>
      <c r="Z6" s="46" t="b">
        <v>0</v>
      </c>
    </row>
    <row r="7" spans="1:26" ht="18" thickTop="1" thickBot="1" x14ac:dyDescent="0.35">
      <c r="A7" s="2"/>
      <c r="C7">
        <v>1</v>
      </c>
      <c r="D7" s="11" t="s">
        <v>15</v>
      </c>
      <c r="E7" s="1" t="s">
        <v>191</v>
      </c>
      <c r="F7" t="s">
        <v>194</v>
      </c>
      <c r="G7">
        <v>10</v>
      </c>
      <c r="J7" s="47"/>
      <c r="K7" s="47" t="str">
        <f>MID(Table2[[#This Row],[Page]],1,3)&amp;"_"&amp;MID(Table2[[#This Row],[Parameter]],1,4)</f>
        <v>Set_Time</v>
      </c>
      <c r="L7" s="47">
        <f>Setup!F10</f>
        <v>1</v>
      </c>
      <c r="M7" s="47" t="str">
        <f>IF(Parameters!$H7&lt;1,"",Setup!M10)</f>
        <v/>
      </c>
      <c r="N7" s="47" t="str">
        <f>IF(Parameters!$I7&lt;1,"",Setup!N10)</f>
        <v/>
      </c>
      <c r="O7" s="47" t="str">
        <f>IF(Parameters!$J7&lt;1,"",Setup!O10)</f>
        <v/>
      </c>
      <c r="P7" s="1"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7" s="1" t="s">
        <v>210</v>
      </c>
      <c r="T7" s="47">
        <f>IF(Table2[[#This Row],[Distribution]]="Linked",100-T6,IF(Table2[[#This Row],[Distribution]]="None",Table2[[#This Row],[Base case]],MIN(Table2[[#This Row],[Max]],MAX(Table2[[#This Row],[Min]],IF(Table2[[#This Row],[Distribution]]="Normal",_xlfn.NORM.INV(W7,Table2[[#This Row],[Base case]],Table2[[#This Row],[Sample variance]]),_xlfn.LOGNORM.INV(W7,LN(Table2[[#This Row],[Base case]]),Table2[[#This Row],[Sample variance]]))))))</f>
        <v>1</v>
      </c>
      <c r="U7" s="1" t="str">
        <f>"i_"&amp;Table2[[#This Row],[Parameter name]]</f>
        <v>i_Set_Time</v>
      </c>
      <c r="V7" s="1">
        <f>IF($Z$6=FALSE,Table2[[#This Row],[Base case]],Table2[[#This Row],[Sampled value]])</f>
        <v>1</v>
      </c>
      <c r="W7" s="14">
        <v>0.32389765977859497</v>
      </c>
    </row>
    <row r="8" spans="1:26" ht="18" thickTop="1" thickBot="1" x14ac:dyDescent="0.35">
      <c r="A8" s="9" t="s">
        <v>12</v>
      </c>
      <c r="C8">
        <f>C7+1</f>
        <v>2</v>
      </c>
      <c r="D8" s="11" t="s">
        <v>196</v>
      </c>
      <c r="E8" s="1" t="s">
        <v>191</v>
      </c>
      <c r="F8" s="36" t="s">
        <v>194</v>
      </c>
      <c r="G8">
        <v>11</v>
      </c>
      <c r="J8" s="47"/>
      <c r="K8" s="47" t="str">
        <f>MID(Table2[[#This Row],[Page]],1,3)&amp;"_"&amp;MID(Table2[[#This Row],[Parameter]],1,4)</f>
        <v>Set_Curr</v>
      </c>
      <c r="L8" s="47" t="str">
        <f>Setup!F11</f>
        <v>USD</v>
      </c>
      <c r="M8" s="47" t="str">
        <f>IF(Parameters!$H8&lt;1,"",Setup!M11)</f>
        <v/>
      </c>
      <c r="N8" s="1" t="str">
        <f>IF(Parameters!$I8&lt;1,"",Setup!N11)</f>
        <v/>
      </c>
      <c r="O8" s="1" t="str">
        <f>IF(Parameters!$J8&lt;1,"",Setup!O11)</f>
        <v/>
      </c>
      <c r="P8" s="1"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8" s="1" t="s">
        <v>210</v>
      </c>
      <c r="T8" s="47" t="str">
        <f>IF(Table2[[#This Row],[Distribution]]="Linked",100-T7,IF(Table2[[#This Row],[Distribution]]="None",Table2[[#This Row],[Base case]],MIN(Table2[[#This Row],[Max]],MAX(Table2[[#This Row],[Min]],IF(Table2[[#This Row],[Distribution]]="Normal",_xlfn.NORM.INV(W8,Table2[[#This Row],[Base case]],Table2[[#This Row],[Sample variance]]),_xlfn.LOGNORM.INV(W8,LN(Table2[[#This Row],[Base case]]),Table2[[#This Row],[Sample variance]]))))))</f>
        <v>USD</v>
      </c>
      <c r="U8" s="1" t="str">
        <f>"i_"&amp;Table2[[#This Row],[Parameter name]]</f>
        <v>i_Set_Curr</v>
      </c>
      <c r="V8" s="1" t="str">
        <f>IF($Z$6=FALSE,Table2[[#This Row],[Base case]],Table2[[#This Row],[Sampled value]])</f>
        <v>USD</v>
      </c>
      <c r="W8" s="14">
        <v>0.33181595802307129</v>
      </c>
    </row>
    <row r="9" spans="1:26" ht="18" thickTop="1" thickBot="1" x14ac:dyDescent="0.35">
      <c r="A9" s="2"/>
      <c r="C9">
        <f>C8+1</f>
        <v>3</v>
      </c>
      <c r="D9" s="11" t="s">
        <v>202</v>
      </c>
      <c r="E9" s="1" t="s">
        <v>191</v>
      </c>
      <c r="F9" s="36" t="s">
        <v>197</v>
      </c>
      <c r="G9">
        <v>11</v>
      </c>
      <c r="J9" s="47"/>
      <c r="K9" s="47" t="str">
        <f>MID(Table2[[#This Row],[Page]],1,3)&amp;"_"&amp;MID(Table2[[#This Row],[Parameter]],1,4)</f>
        <v>Set_Year</v>
      </c>
      <c r="L9" s="47">
        <f>Setup!G11</f>
        <v>2016</v>
      </c>
      <c r="M9" s="47" t="str">
        <f>IF(Parameters!$H9&lt;1,"",Setup!M11)</f>
        <v/>
      </c>
      <c r="N9" s="1" t="str">
        <f>IF(Parameters!$I9&lt;1,"",Setup!N11)</f>
        <v/>
      </c>
      <c r="O9" s="1" t="str">
        <f>IF(Parameters!$J9&lt;1,"",Setup!O11)</f>
        <v/>
      </c>
      <c r="P9" s="1"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9" s="1" t="s">
        <v>210</v>
      </c>
      <c r="T9" s="47">
        <f>IF(Table2[[#This Row],[Distribution]]="Linked",100-T8,IF(Table2[[#This Row],[Distribution]]="None",Table2[[#This Row],[Base case]],MIN(Table2[[#This Row],[Max]],MAX(Table2[[#This Row],[Min]],IF(Table2[[#This Row],[Distribution]]="Normal",_xlfn.NORM.INV(W9,Table2[[#This Row],[Base case]],Table2[[#This Row],[Sample variance]]),_xlfn.LOGNORM.INV(W9,LN(Table2[[#This Row],[Base case]]),Table2[[#This Row],[Sample variance]]))))))</f>
        <v>2016</v>
      </c>
      <c r="U9" s="1" t="str">
        <f>"i_"&amp;Table2[[#This Row],[Parameter name]]</f>
        <v>i_Set_Year</v>
      </c>
      <c r="V9" s="1">
        <f>IF($Z$6=FALSE,Table2[[#This Row],[Base case]],Table2[[#This Row],[Sampled value]])</f>
        <v>2016</v>
      </c>
      <c r="W9" s="14">
        <v>0.34901565313339233</v>
      </c>
    </row>
    <row r="10" spans="1:26" ht="18" thickTop="1" thickBot="1" x14ac:dyDescent="0.35">
      <c r="A10" s="9" t="s">
        <v>13</v>
      </c>
      <c r="C10" s="44">
        <f t="shared" ref="C10:C15" si="0">C9+1</f>
        <v>4</v>
      </c>
      <c r="D10" s="11" t="s">
        <v>325</v>
      </c>
      <c r="E10" s="1" t="s">
        <v>191</v>
      </c>
      <c r="F10" s="44" t="s">
        <v>194</v>
      </c>
      <c r="G10" s="44">
        <v>14</v>
      </c>
      <c r="H10" s="47"/>
      <c r="I10" s="47"/>
      <c r="J10" s="47"/>
      <c r="K10" s="47" t="str">
        <f>MID(Table2[[#This Row],[Page]],1,3)&amp;"_"&amp;MID(Table2[[#This Row],[Parameter]],1,4)</f>
        <v>Set_CABG</v>
      </c>
      <c r="L10" s="47">
        <f>Setup!F14</f>
        <v>200</v>
      </c>
      <c r="M10" s="47" t="s">
        <v>470</v>
      </c>
      <c r="N10" s="47" t="str">
        <f>IF(Parameters!$I10&lt;1,"",Setup!N14)</f>
        <v/>
      </c>
      <c r="O10" s="47" t="str">
        <f>IF(Parameters!$J10&lt;1,"",Setup!O14)</f>
        <v/>
      </c>
      <c r="P10" s="47"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10" s="1" t="s">
        <v>210</v>
      </c>
      <c r="T10" s="47">
        <f>IF(Table2[[#This Row],[Distribution]]="Linked",100-T9,IF(Table2[[#This Row],[Distribution]]="None",Table2[[#This Row],[Base case]],MIN(Table2[[#This Row],[Max]],MAX(Table2[[#This Row],[Min]],IF(Table2[[#This Row],[Distribution]]="Normal",_xlfn.NORM.INV(W10,Table2[[#This Row],[Base case]],Table2[[#This Row],[Sample variance]]),_xlfn.LOGNORM.INV(W10,LN(Table2[[#This Row],[Base case]]),Table2[[#This Row],[Sample variance]]))))))</f>
        <v>200</v>
      </c>
      <c r="U10" s="47" t="str">
        <f>"i_"&amp;Table2[[#This Row],[Parameter name]]</f>
        <v>i_Set_CABG</v>
      </c>
      <c r="V10" s="47">
        <f>IF($Z$6=FALSE,Table2[[#This Row],[Base case]],Table2[[#This Row],[Sampled value]])</f>
        <v>200</v>
      </c>
      <c r="W10" s="14">
        <v>0.1120527982711792</v>
      </c>
    </row>
    <row r="11" spans="1:26" ht="18" thickTop="1" thickBot="1" x14ac:dyDescent="0.35">
      <c r="A11" s="2"/>
      <c r="C11" s="44">
        <f t="shared" si="0"/>
        <v>5</v>
      </c>
      <c r="D11" s="11" t="s">
        <v>195</v>
      </c>
      <c r="E11" s="1" t="s">
        <v>191</v>
      </c>
      <c r="F11" s="36" t="s">
        <v>194</v>
      </c>
      <c r="G11" s="36">
        <v>12</v>
      </c>
      <c r="J11" s="47"/>
      <c r="K11" s="47" t="str">
        <f>MID(Table2[[#This Row],[Page]],1,3)&amp;"_"&amp;MID(Table2[[#This Row],[Parameter]],1,4)</f>
        <v>Set_Cost</v>
      </c>
      <c r="L11" s="47">
        <f>CostDiscount</f>
        <v>3.5</v>
      </c>
      <c r="M11" s="47" t="str">
        <f>IF(Parameters!$H11&lt;1,"",Setup!M12)</f>
        <v/>
      </c>
      <c r="N11" s="1" t="str">
        <f>IF(Parameters!$I11&lt;1,"",Setup!N12)</f>
        <v/>
      </c>
      <c r="O11" s="1" t="str">
        <f>IF(Parameters!$J11&lt;1,"",Setup!O12)</f>
        <v/>
      </c>
      <c r="P11" s="1"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11" s="1" t="s">
        <v>210</v>
      </c>
      <c r="T11" s="47">
        <f>IF(Table2[[#This Row],[Distribution]]="Linked",100-T10,IF(Table2[[#This Row],[Distribution]]="None",Table2[[#This Row],[Base case]],MIN(Table2[[#This Row],[Max]],MAX(Table2[[#This Row],[Min]],IF(Table2[[#This Row],[Distribution]]="Normal",_xlfn.NORM.INV(W11,Table2[[#This Row],[Base case]],Table2[[#This Row],[Sample variance]]),_xlfn.LOGNORM.INV(W11,LN(Table2[[#This Row],[Base case]]),Table2[[#This Row],[Sample variance]]))))))</f>
        <v>3.5</v>
      </c>
      <c r="U11" s="1" t="str">
        <f>"i_"&amp;Table2[[#This Row],[Parameter name]]</f>
        <v>i_Set_Cost</v>
      </c>
      <c r="V11" s="1">
        <f>IF($Z$6=FALSE,Table2[[#This Row],[Base case]],Table2[[#This Row],[Sampled value]])</f>
        <v>3.5</v>
      </c>
      <c r="W11" s="14">
        <v>0.5665326714515686</v>
      </c>
    </row>
    <row r="12" spans="1:26" ht="18" thickTop="1" thickBot="1" x14ac:dyDescent="0.35">
      <c r="A12" s="9" t="s">
        <v>22</v>
      </c>
      <c r="C12" s="44">
        <f t="shared" si="0"/>
        <v>6</v>
      </c>
      <c r="D12" s="11" t="s">
        <v>21</v>
      </c>
      <c r="E12" s="1" t="s">
        <v>13</v>
      </c>
      <c r="F12" s="38" t="s">
        <v>194</v>
      </c>
      <c r="G12" s="38">
        <v>10</v>
      </c>
      <c r="I12" s="1" t="s">
        <v>204</v>
      </c>
      <c r="J12" s="47" t="s">
        <v>205</v>
      </c>
      <c r="K12" s="47" t="str">
        <f>MID(Table2[[#This Row],[Page]],1,3)&amp;"_"&amp;MID(Table2[[#This Row],[Parameter]],1,4)</f>
        <v>Pop_Age</v>
      </c>
      <c r="L12" s="47">
        <f>Population!F10</f>
        <v>73</v>
      </c>
      <c r="M12" s="47" t="str">
        <f>IF(Parameters!$H12&lt;1,"",Population!M10)</f>
        <v/>
      </c>
      <c r="N12" s="1">
        <f>IF(Parameters!$I12&lt;1,"",Population!I10)</f>
        <v>69</v>
      </c>
      <c r="O12" s="1">
        <f>IF(Parameters!$J12&lt;1,"",Population!J10)</f>
        <v>78</v>
      </c>
      <c r="P12" s="1">
        <f>IF(Table2[[#This Row],[Distribution]]="None","",IF(AND(LEN(Table2[[#This Row],[95 min]])&gt;0,LEN(Table2[[#This Row],[95 max]])&gt;0),IF(Table2[[#This Row],[Distribution]]="Normal",
((Table2[[#This Row],[95 max]]-Table2[[#This Row],[95 min]])/3.92),((LN(Table2[[#This Row],[95 max]])-LN(Table2[[#This Row],[95 min]]))/3.92)),IF(LEN(Table2[[#This Row],[Variance]])&gt;0,Table2[[#This Row],[Variance]],0.0001)))</f>
        <v>2.295918367346939</v>
      </c>
      <c r="Q12" s="1" t="s">
        <v>209</v>
      </c>
      <c r="R12" s="1">
        <f>MAX(0,Table2[[#This Row],[95 min]]-ABS(Table2[[#This Row],[Base case]]/10))</f>
        <v>61.7</v>
      </c>
      <c r="S12" s="1">
        <f>MIN(100000,Table2[[#This Row],[95 max]]+ABS(Table2[[#This Row],[Base case]]/10))</f>
        <v>85.3</v>
      </c>
      <c r="T12" s="47">
        <f>IF(Table2[[#This Row],[Distribution]]="Linked",100-T11,IF(Table2[[#This Row],[Distribution]]="None",Table2[[#This Row],[Base case]],MIN(Table2[[#This Row],[Max]],MAX(Table2[[#This Row],[Min]],IF(Table2[[#This Row],[Distribution]]="Normal",_xlfn.NORM.INV(W12,Table2[[#This Row],[Base case]],Table2[[#This Row],[Sample variance]]),_xlfn.LOGNORM.INV(W12,LN(Table2[[#This Row],[Base case]]),Table2[[#This Row],[Sample variance]]))))))</f>
        <v>72.476507020641364</v>
      </c>
      <c r="U12" s="1" t="str">
        <f>"i_"&amp;Table2[[#This Row],[Parameter name]]</f>
        <v>i_Pop_Age</v>
      </c>
      <c r="V12" s="1">
        <f>IF($Z$6=FALSE,Table2[[#This Row],[Base case]],Table2[[#This Row],[Sampled value]])</f>
        <v>73</v>
      </c>
      <c r="W12" s="14">
        <v>0.40981912612915039</v>
      </c>
    </row>
    <row r="13" spans="1:26" ht="18" thickTop="1" thickBot="1" x14ac:dyDescent="0.35">
      <c r="A13" s="2"/>
      <c r="C13" s="44">
        <f t="shared" si="0"/>
        <v>7</v>
      </c>
      <c r="D13" s="11" t="s">
        <v>85</v>
      </c>
      <c r="E13" s="1" t="s">
        <v>13</v>
      </c>
      <c r="F13" s="38" t="s">
        <v>194</v>
      </c>
      <c r="G13" s="38">
        <v>11</v>
      </c>
      <c r="H13" s="1" t="s">
        <v>203</v>
      </c>
      <c r="J13" s="47"/>
      <c r="K13" s="47" t="str">
        <f>MID(Table2[[#This Row],[Page]],1,3)&amp;"_"&amp;MID(Table2[[#This Row],[Parameter]],1,4)</f>
        <v>Pop_Gend</v>
      </c>
      <c r="L13" s="47">
        <f>Population!F11</f>
        <v>29.8</v>
      </c>
      <c r="M13" s="47">
        <f>IF(Parameters!$H13&lt;1,"",Population!H11)</f>
        <v>0.17740017683209866</v>
      </c>
      <c r="N13" s="1" t="str">
        <f>IF(Parameters!$I13&lt;1,"",Population!N11)</f>
        <v/>
      </c>
      <c r="O13" s="1" t="str">
        <f>IF(Parameters!$J13&lt;1,"",Population!O11)</f>
        <v/>
      </c>
      <c r="P13" s="1">
        <f>IF(Table2[[#This Row],[Distribution]]="None","",IF(AND(LEN(Table2[[#This Row],[95 min]])&gt;0,LEN(Table2[[#This Row],[95 max]])&gt;0),IF(Table2[[#This Row],[Distribution]]="Normal",
((Table2[[#This Row],[95 max]]-Table2[[#This Row],[95 min]])/3.92),((LN(Table2[[#This Row],[95 max]])-LN(Table2[[#This Row],[95 min]]))/3.92)),IF(LEN(Table2[[#This Row],[Variance]])&gt;0,Table2[[#This Row],[Variance]],0.0001)))</f>
        <v>0.17740017683209866</v>
      </c>
      <c r="Q13" s="1" t="s">
        <v>209</v>
      </c>
      <c r="R13" s="1">
        <v>0</v>
      </c>
      <c r="S13" s="1">
        <v>100</v>
      </c>
      <c r="T13" s="47">
        <f>IF(Table2[[#This Row],[Distribution]]="Linked",100-T12,IF(Table2[[#This Row],[Distribution]]="None",Table2[[#This Row],[Base case]],MIN(Table2[[#This Row],[Max]],MAX(Table2[[#This Row],[Min]],IF(Table2[[#This Row],[Distribution]]="Normal",_xlfn.NORM.INV(W13,Table2[[#This Row],[Base case]],Table2[[#This Row],[Sample variance]]),_xlfn.LOGNORM.INV(W13,LN(Table2[[#This Row],[Base case]]),Table2[[#This Row],[Sample variance]]))))))</f>
        <v>30.087219413621561</v>
      </c>
      <c r="U13" s="1" t="str">
        <f>"i_"&amp;Table2[[#This Row],[Parameter name]]</f>
        <v>i_Pop_Gend</v>
      </c>
      <c r="V13" s="1">
        <f>IF($Z$6=FALSE,Table2[[#This Row],[Base case]],Table2[[#This Row],[Sampled value]])</f>
        <v>29.8</v>
      </c>
      <c r="W13" s="14">
        <v>0.94728153944015503</v>
      </c>
    </row>
    <row r="14" spans="1:26" ht="18" thickTop="1" thickBot="1" x14ac:dyDescent="0.35">
      <c r="A14" s="9" t="s">
        <v>23</v>
      </c>
      <c r="C14" s="44">
        <f t="shared" si="0"/>
        <v>8</v>
      </c>
      <c r="D14" s="11" t="s">
        <v>198</v>
      </c>
      <c r="E14" s="1" t="s">
        <v>13</v>
      </c>
      <c r="F14" s="38" t="s">
        <v>194</v>
      </c>
      <c r="G14" s="38">
        <v>12</v>
      </c>
      <c r="H14" s="1" t="s">
        <v>203</v>
      </c>
      <c r="J14" s="47"/>
      <c r="K14" s="47" t="str">
        <f>MID(Table2[[#This Row],[Page]],1,3)&amp;"_"&amp;MID(Table2[[#This Row],[Parameter]],1,4)</f>
        <v>Pop_Obes</v>
      </c>
      <c r="L14" s="47">
        <f>Population!F12</f>
        <v>35</v>
      </c>
      <c r="M14" s="47">
        <f>IF(Parameters!$H14&lt;1,"",Population!H12)</f>
        <v>0.48423933595664698</v>
      </c>
      <c r="N14" s="1" t="str">
        <f>IF(Parameters!$I14&lt;1,"",Population!N12)</f>
        <v/>
      </c>
      <c r="O14" s="1" t="str">
        <f>IF(Parameters!$J14&lt;1,"",Population!O12)</f>
        <v/>
      </c>
      <c r="P14" s="1">
        <f>IF(Table2[[#This Row],[Distribution]]="None","",IF(AND(LEN(Table2[[#This Row],[95 min]])&gt;0,LEN(Table2[[#This Row],[95 max]])&gt;0),IF(Table2[[#This Row],[Distribution]]="Normal",
((Table2[[#This Row],[95 max]]-Table2[[#This Row],[95 min]])/3.92),((LN(Table2[[#This Row],[95 max]])-LN(Table2[[#This Row],[95 min]]))/3.92)),IF(LEN(Table2[[#This Row],[Variance]])&gt;0,Table2[[#This Row],[Variance]],0.0001)))</f>
        <v>0.48423933595664698</v>
      </c>
      <c r="Q14" s="1" t="s">
        <v>209</v>
      </c>
      <c r="R14" s="1">
        <v>0</v>
      </c>
      <c r="S14" s="1">
        <v>100</v>
      </c>
      <c r="T14" s="47">
        <f>IF(Table2[[#This Row],[Distribution]]="Linked",100-T13,IF(Table2[[#This Row],[Distribution]]="None",Table2[[#This Row],[Base case]],MIN(Table2[[#This Row],[Max]],MAX(Table2[[#This Row],[Min]],IF(Table2[[#This Row],[Distribution]]="Normal",_xlfn.NORM.INV(W14,Table2[[#This Row],[Base case]],Table2[[#This Row],[Sample variance]]),_xlfn.LOGNORM.INV(W14,LN(Table2[[#This Row],[Base case]]),Table2[[#This Row],[Sample variance]]))))))</f>
        <v>34.286907377258835</v>
      </c>
      <c r="U14" s="1" t="str">
        <f>"i_"&amp;Table2[[#This Row],[Parameter name]]</f>
        <v>i_Pop_Obes</v>
      </c>
      <c r="V14" s="1">
        <f>IF($Z$6=FALSE,Table2[[#This Row],[Base case]],Table2[[#This Row],[Sampled value]])</f>
        <v>35</v>
      </c>
      <c r="W14" s="14">
        <v>7.0428967475891113E-2</v>
      </c>
    </row>
    <row r="15" spans="1:26" ht="18" thickTop="1" thickBot="1" x14ac:dyDescent="0.35">
      <c r="A15" s="2"/>
      <c r="C15" s="44">
        <f t="shared" si="0"/>
        <v>9</v>
      </c>
      <c r="D15" s="11" t="s">
        <v>199</v>
      </c>
      <c r="E15" s="1" t="s">
        <v>13</v>
      </c>
      <c r="F15" s="38" t="s">
        <v>194</v>
      </c>
      <c r="G15" s="38">
        <v>13</v>
      </c>
      <c r="H15" s="1" t="s">
        <v>203</v>
      </c>
      <c r="J15" s="47"/>
      <c r="K15" s="47" t="str">
        <f>MID(Table2[[#This Row],[Page]],1,3)&amp;"_"&amp;MID(Table2[[#This Row],[Parameter]],1,4)</f>
        <v>Pop_Morb</v>
      </c>
      <c r="L15" s="47">
        <f>Population!F13</f>
        <v>6</v>
      </c>
      <c r="M15" s="47">
        <f>IF(Parameters!$H15&lt;1,"",Population!H13)</f>
        <v>0.24110649897219599</v>
      </c>
      <c r="N15" s="1" t="str">
        <f>IF(Parameters!$I15&lt;1,"",Population!N13)</f>
        <v/>
      </c>
      <c r="O15" s="1" t="str">
        <f>IF(Parameters!$J15&lt;1,"",Population!O13)</f>
        <v/>
      </c>
      <c r="P15" s="1">
        <f>IF(Table2[[#This Row],[Distribution]]="None","",IF(AND(LEN(Table2[[#This Row],[95 min]])&gt;0,LEN(Table2[[#This Row],[95 max]])&gt;0),IF(Table2[[#This Row],[Distribution]]="Normal",
((Table2[[#This Row],[95 max]]-Table2[[#This Row],[95 min]])/3.92),((LN(Table2[[#This Row],[95 max]])-LN(Table2[[#This Row],[95 min]]))/3.92)),IF(LEN(Table2[[#This Row],[Variance]])&gt;0,Table2[[#This Row],[Variance]],0.0001)))</f>
        <v>0.24110649897219599</v>
      </c>
      <c r="Q15" s="1" t="s">
        <v>209</v>
      </c>
      <c r="R15" s="1">
        <v>0</v>
      </c>
      <c r="S15" s="1">
        <v>100</v>
      </c>
      <c r="T15" s="47">
        <f>IF(Table2[[#This Row],[Distribution]]="Linked",100-T14,IF(Table2[[#This Row],[Distribution]]="None",Table2[[#This Row],[Base case]],MIN(Table2[[#This Row],[Max]],MAX(Table2[[#This Row],[Min]],IF(Table2[[#This Row],[Distribution]]="Normal",_xlfn.NORM.INV(W15,Table2[[#This Row],[Base case]],Table2[[#This Row],[Sample variance]]),_xlfn.LOGNORM.INV(W15,LN(Table2[[#This Row],[Base case]]),Table2[[#This Row],[Sample variance]]))))))</f>
        <v>6.1140361210418899</v>
      </c>
      <c r="U15" s="1" t="str">
        <f>"i_"&amp;Table2[[#This Row],[Parameter name]]</f>
        <v>i_Pop_Morb</v>
      </c>
      <c r="V15" s="1">
        <f>IF($Z$6=FALSE,Table2[[#This Row],[Base case]],Table2[[#This Row],[Sampled value]])</f>
        <v>6</v>
      </c>
      <c r="W15" s="14">
        <v>0.68188267946243286</v>
      </c>
    </row>
    <row r="16" spans="1:26" ht="18" thickTop="1" thickBot="1" x14ac:dyDescent="0.35">
      <c r="A16" s="9" t="s">
        <v>24</v>
      </c>
      <c r="C16">
        <f t="shared" ref="C16" si="1">C15+1</f>
        <v>10</v>
      </c>
      <c r="D16" s="11" t="s">
        <v>86</v>
      </c>
      <c r="E16" s="1" t="s">
        <v>13</v>
      </c>
      <c r="F16" s="38" t="s">
        <v>194</v>
      </c>
      <c r="G16" s="38">
        <v>14</v>
      </c>
      <c r="H16" s="1" t="s">
        <v>203</v>
      </c>
      <c r="J16" s="47"/>
      <c r="K16" s="47" t="str">
        <f>MID(Table2[[#This Row],[Page]],1,3)&amp;"_"&amp;MID(Table2[[#This Row],[Parameter]],1,4)</f>
        <v>Pop_Diab</v>
      </c>
      <c r="L16" s="47">
        <f>Population!F14</f>
        <v>45.2</v>
      </c>
      <c r="M16" s="47">
        <f>IF(Parameters!$H16&lt;1,"",Population!H14)</f>
        <v>0.19303535425516741</v>
      </c>
      <c r="N16" s="1" t="str">
        <f>IF(Parameters!$I16&lt;1,"",Population!N14)</f>
        <v/>
      </c>
      <c r="O16" s="1" t="str">
        <f>IF(Parameters!$J16&lt;1,"",Population!O14)</f>
        <v/>
      </c>
      <c r="P16" s="1">
        <f>IF(Table2[[#This Row],[Distribution]]="None","",IF(AND(LEN(Table2[[#This Row],[95 min]])&gt;0,LEN(Table2[[#This Row],[95 max]])&gt;0),IF(Table2[[#This Row],[Distribution]]="Normal",
((Table2[[#This Row],[95 max]]-Table2[[#This Row],[95 min]])/3.92),((LN(Table2[[#This Row],[95 max]])-LN(Table2[[#This Row],[95 min]]))/3.92)),IF(LEN(Table2[[#This Row],[Variance]])&gt;0,Table2[[#This Row],[Variance]],0.0001)))</f>
        <v>0.19303535425516741</v>
      </c>
      <c r="Q16" s="1" t="s">
        <v>209</v>
      </c>
      <c r="R16" s="1">
        <v>0</v>
      </c>
      <c r="S16" s="1">
        <v>100</v>
      </c>
      <c r="T16" s="47">
        <f>IF(Table2[[#This Row],[Distribution]]="Linked",100-T15,IF(Table2[[#This Row],[Distribution]]="None",Table2[[#This Row],[Base case]],MIN(Table2[[#This Row],[Max]],MAX(Table2[[#This Row],[Min]],IF(Table2[[#This Row],[Distribution]]="Normal",_xlfn.NORM.INV(W16,Table2[[#This Row],[Base case]],Table2[[#This Row],[Sample variance]]),_xlfn.LOGNORM.INV(W16,LN(Table2[[#This Row],[Base case]]),Table2[[#This Row],[Sample variance]]))))))</f>
        <v>45.121607813155073</v>
      </c>
      <c r="U16" s="1" t="str">
        <f>"i_"&amp;Table2[[#This Row],[Parameter name]]</f>
        <v>i_Pop_Diab</v>
      </c>
      <c r="V16" s="1">
        <f>IF($Z$6=FALSE,Table2[[#This Row],[Base case]],Table2[[#This Row],[Sampled value]])</f>
        <v>45.2</v>
      </c>
      <c r="W16" s="14">
        <v>0.34233355522155762</v>
      </c>
    </row>
    <row r="17" spans="1:23" ht="18" thickTop="1" thickBot="1" x14ac:dyDescent="0.35">
      <c r="A17" s="2"/>
      <c r="C17">
        <f t="shared" ref="C17:C25" si="2">C16+1</f>
        <v>11</v>
      </c>
      <c r="D17" s="11" t="s">
        <v>161</v>
      </c>
      <c r="E17" s="1" t="s">
        <v>22</v>
      </c>
      <c r="F17" s="38" t="s">
        <v>194</v>
      </c>
      <c r="G17">
        <v>10</v>
      </c>
      <c r="H17" s="47" t="s">
        <v>203</v>
      </c>
      <c r="I17" s="47"/>
      <c r="J17" s="47"/>
      <c r="K17" s="47" t="s">
        <v>266</v>
      </c>
      <c r="L17" s="47">
        <f>Interventions!F10</f>
        <v>75</v>
      </c>
      <c r="M17" s="47">
        <f>IF(Parameters!$H17&lt;1,"",Interventions!H10)</f>
        <v>2</v>
      </c>
      <c r="N17" s="47" t="str">
        <f>IF(Parameters!$I17&lt;1,"",Interventions!N10)</f>
        <v/>
      </c>
      <c r="O17" s="47" t="str">
        <f>IF(Parameters!$J17&lt;1,"",Interventions!O10)</f>
        <v/>
      </c>
      <c r="P17"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2</v>
      </c>
      <c r="Q17" s="1" t="s">
        <v>209</v>
      </c>
      <c r="R17" s="1">
        <v>0</v>
      </c>
      <c r="S17" s="1">
        <v>1000</v>
      </c>
      <c r="T17" s="47">
        <f>IF(Table2[[#This Row],[Distribution]]="Linked",100-T16,IF(Table2[[#This Row],[Distribution]]="None",Table2[[#This Row],[Base case]],MIN(Table2[[#This Row],[Max]],MAX(Table2[[#This Row],[Min]],IF(Table2[[#This Row],[Distribution]]="Normal",_xlfn.NORM.INV(W17,Table2[[#This Row],[Base case]],Table2[[#This Row],[Sample variance]]),_xlfn.LOGNORM.INV(W17,LN(Table2[[#This Row],[Base case]]),Table2[[#This Row],[Sample variance]]))))))</f>
        <v>75.322465178395717</v>
      </c>
      <c r="U17" s="47" t="str">
        <f>"i_"&amp;Table2[[#This Row],[Parameter name]]</f>
        <v>i_Int_Purc_lead</v>
      </c>
      <c r="V17" s="47">
        <f>IF($Z$6=FALSE,Table2[[#This Row],[Base case]],Table2[[#This Row],[Sampled value]])</f>
        <v>75</v>
      </c>
      <c r="W17" s="14">
        <v>0.56404489278793335</v>
      </c>
    </row>
    <row r="18" spans="1:23" ht="18" thickTop="1" thickBot="1" x14ac:dyDescent="0.35">
      <c r="A18" s="9" t="s">
        <v>2</v>
      </c>
      <c r="C18">
        <f t="shared" si="2"/>
        <v>12</v>
      </c>
      <c r="D18" s="11" t="s">
        <v>116</v>
      </c>
      <c r="E18" s="1" t="s">
        <v>22</v>
      </c>
      <c r="F18" s="38" t="s">
        <v>194</v>
      </c>
      <c r="G18">
        <v>11</v>
      </c>
      <c r="H18" s="47"/>
      <c r="I18" s="47" t="s">
        <v>204</v>
      </c>
      <c r="J18" s="47" t="s">
        <v>205</v>
      </c>
      <c r="K18" s="47" t="str">
        <f>MID(Table2[[#This Row],[Page]],1,3)&amp;"_"&amp;MID(Table2[[#This Row],[Parameter]],1,4)</f>
        <v>Int_Numb</v>
      </c>
      <c r="L18" s="47">
        <f>Interventions!F11</f>
        <v>20</v>
      </c>
      <c r="M18" s="47" t="str">
        <f>IF(Parameters!$H18&lt;1,"",Interventions!M11)</f>
        <v/>
      </c>
      <c r="N18" s="47">
        <f>IF(Parameters!$I18&lt;1,"",Interventions!I11)</f>
        <v>15</v>
      </c>
      <c r="O18" s="47">
        <f>IF(Parameters!$J18&lt;1,"",Interventions!J11)</f>
        <v>30</v>
      </c>
      <c r="P18"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3.8265306122448979</v>
      </c>
      <c r="Q18" s="1" t="s">
        <v>209</v>
      </c>
      <c r="R18" s="1">
        <f>MAX(0,Table2[[#This Row],[95 min]]-ABS(Table2[[#This Row],[Base case]]/10))</f>
        <v>13</v>
      </c>
      <c r="S18" s="1">
        <f>MIN(100000,Table2[[#This Row],[95 max]]+ABS(Table2[[#This Row],[Base case]]/10))</f>
        <v>32</v>
      </c>
      <c r="T18" s="47">
        <f>IF(Table2[[#This Row],[Distribution]]="Linked",100-T17,IF(Table2[[#This Row],[Distribution]]="None",Table2[[#This Row],[Base case]],MIN(Table2[[#This Row],[Max]],MAX(Table2[[#This Row],[Min]],IF(Table2[[#This Row],[Distribution]]="Normal",_xlfn.NORM.INV(W18,Table2[[#This Row],[Base case]],Table2[[#This Row],[Sample variance]]),_xlfn.LOGNORM.INV(W18,LN(Table2[[#This Row],[Base case]]),Table2[[#This Row],[Sample variance]]))))))</f>
        <v>17.137614350476081</v>
      </c>
      <c r="U18" s="47" t="str">
        <f>"i_"&amp;Table2[[#This Row],[Parameter name]]</f>
        <v>i_Int_Numb</v>
      </c>
      <c r="V18" s="47">
        <f>IF($Z$6=FALSE,Table2[[#This Row],[Base case]],Table2[[#This Row],[Sampled value]])</f>
        <v>20</v>
      </c>
      <c r="W18" s="14">
        <v>0.22721898555755615</v>
      </c>
    </row>
    <row r="19" spans="1:23" ht="18" thickTop="1" thickBot="1" x14ac:dyDescent="0.35">
      <c r="A19" s="2"/>
      <c r="C19">
        <f t="shared" si="2"/>
        <v>13</v>
      </c>
      <c r="D19" s="11" t="s">
        <v>117</v>
      </c>
      <c r="E19" s="1" t="s">
        <v>22</v>
      </c>
      <c r="F19" s="38" t="s">
        <v>194</v>
      </c>
      <c r="G19">
        <v>13</v>
      </c>
      <c r="H19" s="47" t="s">
        <v>203</v>
      </c>
      <c r="I19" s="47"/>
      <c r="J19" s="47"/>
      <c r="K19" s="47" t="s">
        <v>265</v>
      </c>
      <c r="L19" s="47">
        <f>Interventions!F13</f>
        <v>160</v>
      </c>
      <c r="M19" s="47">
        <f>IF(Parameters!$H19&lt;1,"",Interventions!H13)</f>
        <v>10</v>
      </c>
      <c r="N19" s="47" t="str">
        <f>IF(Parameters!$I19&lt;1,"",Interventions!N13)</f>
        <v/>
      </c>
      <c r="O19" s="47" t="str">
        <f>IF(Parameters!$J19&lt;1,"",Interventions!O13)</f>
        <v/>
      </c>
      <c r="P19"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10</v>
      </c>
      <c r="Q19" s="1" t="s">
        <v>209</v>
      </c>
      <c r="R19" s="1">
        <v>0</v>
      </c>
      <c r="S19" s="1">
        <v>1000</v>
      </c>
      <c r="T19" s="47">
        <f>IF(Table2[[#This Row],[Distribution]]="Linked",100-T18,IF(Table2[[#This Row],[Distribution]]="None",Table2[[#This Row],[Base case]],MIN(Table2[[#This Row],[Max]],MAX(Table2[[#This Row],[Min]],IF(Table2[[#This Row],[Distribution]]="Normal",_xlfn.NORM.INV(W19,Table2[[#This Row],[Base case]],Table2[[#This Row],[Sample variance]]),_xlfn.LOGNORM.INV(W19,LN(Table2[[#This Row],[Base case]]),Table2[[#This Row],[Sample variance]]))))))</f>
        <v>158.49721356539581</v>
      </c>
      <c r="U19" s="47" t="str">
        <f>"i_"&amp;Table2[[#This Row],[Parameter name]]</f>
        <v>i_Int_Purc_cable</v>
      </c>
      <c r="V19" s="47">
        <f>IF($Z$6=FALSE,Table2[[#This Row],[Base case]],Table2[[#This Row],[Sampled value]])</f>
        <v>160</v>
      </c>
      <c r="W19" s="14">
        <v>0.44027239084243774</v>
      </c>
    </row>
    <row r="20" spans="1:23" ht="18" thickTop="1" thickBot="1" x14ac:dyDescent="0.35">
      <c r="A20" s="9" t="s">
        <v>3</v>
      </c>
      <c r="C20">
        <f t="shared" si="2"/>
        <v>14</v>
      </c>
      <c r="D20" s="11" t="s">
        <v>116</v>
      </c>
      <c r="E20" s="1" t="s">
        <v>22</v>
      </c>
      <c r="F20" s="38" t="s">
        <v>194</v>
      </c>
      <c r="G20">
        <v>14</v>
      </c>
      <c r="H20" s="47"/>
      <c r="I20" s="47" t="s">
        <v>204</v>
      </c>
      <c r="J20" s="47" t="s">
        <v>205</v>
      </c>
      <c r="K20" s="47" t="s">
        <v>267</v>
      </c>
      <c r="L20" s="47">
        <f>Interventions!F14</f>
        <v>30</v>
      </c>
      <c r="M20" s="47" t="str">
        <f>IF(Parameters!$H20&lt;1,"",Interventions!M14)</f>
        <v/>
      </c>
      <c r="N20" s="47">
        <f>IF(Parameters!$I20&lt;1,"",Interventions!I14)</f>
        <v>20</v>
      </c>
      <c r="O20" s="47">
        <f>IF(Parameters!$J20&lt;1,"",Interventions!J14)</f>
        <v>40</v>
      </c>
      <c r="P20"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5.1020408163265305</v>
      </c>
      <c r="Q20" s="1" t="s">
        <v>209</v>
      </c>
      <c r="R20" s="1">
        <f>MAX(0,Table2[[#This Row],[95 min]]-ABS(Table2[[#This Row],[Base case]]/10))</f>
        <v>17</v>
      </c>
      <c r="S20" s="1">
        <f>MIN(100000,Table2[[#This Row],[95 max]]+ABS(Table2[[#This Row],[Base case]]/10))</f>
        <v>43</v>
      </c>
      <c r="T20" s="47">
        <f>IF(Table2[[#This Row],[Distribution]]="Linked",100-T19,IF(Table2[[#This Row],[Distribution]]="None",Table2[[#This Row],[Base case]],MIN(Table2[[#This Row],[Max]],MAX(Table2[[#This Row],[Min]],IF(Table2[[#This Row],[Distribution]]="Normal",_xlfn.NORM.INV(W20,Table2[[#This Row],[Base case]],Table2[[#This Row],[Sample variance]]),_xlfn.LOGNORM.INV(W20,LN(Table2[[#This Row],[Base case]]),Table2[[#This Row],[Sample variance]]))))))</f>
        <v>31.705094551587937</v>
      </c>
      <c r="U20" s="47" t="str">
        <f>"i_"&amp;Table2[[#This Row],[Parameter name]]</f>
        <v>i_Int_Numb_cable</v>
      </c>
      <c r="V20" s="47">
        <f>IF($Z$6=FALSE,Table2[[#This Row],[Base case]],Table2[[#This Row],[Sampled value]])</f>
        <v>30</v>
      </c>
      <c r="W20" s="14">
        <v>0.63088512420654297</v>
      </c>
    </row>
    <row r="21" spans="1:23" ht="17.25" thickTop="1" x14ac:dyDescent="0.3">
      <c r="A21" s="2"/>
      <c r="C21">
        <f t="shared" si="2"/>
        <v>15</v>
      </c>
      <c r="D21" s="11" t="s">
        <v>118</v>
      </c>
      <c r="E21" s="1" t="s">
        <v>22</v>
      </c>
      <c r="F21" s="38" t="s">
        <v>194</v>
      </c>
      <c r="G21">
        <v>16</v>
      </c>
      <c r="H21" s="47"/>
      <c r="I21" s="47" t="s">
        <v>204</v>
      </c>
      <c r="J21" s="47" t="s">
        <v>205</v>
      </c>
      <c r="K21" s="47" t="str">
        <f>MID(Table2[[#This Row],[Page]],1,3)&amp;"_"&amp;MID(Table2[[#This Row],[Parameter]],1,4)</f>
        <v>Int_Cost</v>
      </c>
      <c r="L21" s="75">
        <f>Interventions!F16</f>
        <v>9.0833333333333321</v>
      </c>
      <c r="M21" s="47" t="str">
        <f>IF(Parameters!$H21&lt;1,"",Interventions!M16)</f>
        <v/>
      </c>
      <c r="N21" s="47">
        <f>IF(Parameters!$I21&lt;1,"",Interventions!I16)</f>
        <v>6.5</v>
      </c>
      <c r="O21" s="47">
        <f>IF(Parameters!$J21&lt;1,"",Interventions!J16)</f>
        <v>13</v>
      </c>
      <c r="P21"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1.6581632653061225</v>
      </c>
      <c r="Q21" s="1" t="s">
        <v>209</v>
      </c>
      <c r="R21" s="1">
        <f>MAX(0,Table2[[#This Row],[95 min]]-ABS(Table2[[#This Row],[Base case]]/10))</f>
        <v>5.5916666666666668</v>
      </c>
      <c r="S21" s="1">
        <f>MIN(100000,Table2[[#This Row],[95 max]]+ABS(Table2[[#This Row],[Base case]]/10))</f>
        <v>13.908333333333333</v>
      </c>
      <c r="T21" s="47">
        <f>IF(Table2[[#This Row],[Distribution]]="Linked",100-T20,IF(Table2[[#This Row],[Distribution]]="None",Table2[[#This Row],[Base case]],MIN(Table2[[#This Row],[Max]],MAX(Table2[[#This Row],[Min]],IF(Table2[[#This Row],[Distribution]]="Normal",_xlfn.NORM.INV(W21,Table2[[#This Row],[Base case]],Table2[[#This Row],[Sample variance]]),_xlfn.LOGNORM.INV(W21,LN(Table2[[#This Row],[Base case]]),Table2[[#This Row],[Sample variance]]))))))</f>
        <v>8.0023522012697779</v>
      </c>
      <c r="U21" s="47" t="str">
        <f>"i_"&amp;Table2[[#This Row],[Parameter name]]</f>
        <v>i_Int_Cost</v>
      </c>
      <c r="V21" s="47">
        <f>IF($Z$6=FALSE,Table2[[#This Row],[Base case]],Table2[[#This Row],[Sampled value]])</f>
        <v>9.0833333333333321</v>
      </c>
      <c r="W21" s="14">
        <v>0.25722807645797729</v>
      </c>
    </row>
    <row r="22" spans="1:23" ht="16.5" x14ac:dyDescent="0.3">
      <c r="A22" s="2"/>
      <c r="C22">
        <f t="shared" si="2"/>
        <v>16</v>
      </c>
      <c r="D22" s="11" t="s">
        <v>156</v>
      </c>
      <c r="E22" s="1" t="s">
        <v>22</v>
      </c>
      <c r="F22" s="38" t="s">
        <v>194</v>
      </c>
      <c r="G22">
        <v>17</v>
      </c>
      <c r="H22" s="47" t="s">
        <v>203</v>
      </c>
      <c r="I22" s="47"/>
      <c r="J22" s="47"/>
      <c r="K22" s="47" t="str">
        <f>MID(Table2[[#This Row],[Page]],1,3)&amp;"_"&amp;MID(Table2[[#This Row],[Parameter]],1,4)</f>
        <v>Int_Mark</v>
      </c>
      <c r="L22" s="47">
        <f>Interventions!F17</f>
        <v>100</v>
      </c>
      <c r="M22" s="47">
        <f>IF(Parameters!$H22&lt;1,"",Interventions!H17)</f>
        <v>0.1</v>
      </c>
      <c r="N22" s="47" t="str">
        <f>IF(Parameters!$I22&lt;1,"",Interventions!N17)</f>
        <v/>
      </c>
      <c r="O22" s="47" t="str">
        <f>IF(Parameters!$J22&lt;1,"",Interventions!O17)</f>
        <v/>
      </c>
      <c r="P22" s="47"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22" s="1" t="s">
        <v>210</v>
      </c>
      <c r="R22" s="1">
        <v>0</v>
      </c>
      <c r="S22" s="1">
        <v>100</v>
      </c>
      <c r="T22" s="47">
        <f>IF(Table2[[#This Row],[Distribution]]="Linked",100-T21,IF(Table2[[#This Row],[Distribution]]="None",Table2[[#This Row],[Base case]],MIN(Table2[[#This Row],[Max]],MAX(Table2[[#This Row],[Min]],IF(Table2[[#This Row],[Distribution]]="Normal",_xlfn.NORM.INV(W22,Table2[[#This Row],[Base case]],Table2[[#This Row],[Sample variance]]),_xlfn.LOGNORM.INV(W22,LN(Table2[[#This Row],[Base case]]),Table2[[#This Row],[Sample variance]]))))))</f>
        <v>100</v>
      </c>
      <c r="U22" s="47" t="str">
        <f>"i_"&amp;Table2[[#This Row],[Parameter name]]</f>
        <v>i_Int_Mark</v>
      </c>
      <c r="V22" s="47">
        <f>IF($Z$6=FALSE,Table2[[#This Row],[Base case]],Table2[[#This Row],[Sampled value]])</f>
        <v>100</v>
      </c>
      <c r="W22" s="14">
        <v>0.72115576267242432</v>
      </c>
    </row>
    <row r="23" spans="1:23" ht="16.5" x14ac:dyDescent="0.3">
      <c r="A23" s="2"/>
      <c r="C23">
        <f t="shared" si="2"/>
        <v>17</v>
      </c>
      <c r="D23" s="11" t="s">
        <v>119</v>
      </c>
      <c r="E23" s="1" t="s">
        <v>22</v>
      </c>
      <c r="F23" s="38" t="s">
        <v>194</v>
      </c>
      <c r="G23">
        <v>18</v>
      </c>
      <c r="H23" s="47"/>
      <c r="I23" s="47"/>
      <c r="J23" s="47"/>
      <c r="K23" s="47" t="str">
        <f>MID(Table2[[#This Row],[Page]],1,3)&amp;"_"&amp;MID(Table2[[#This Row],[Parameter]],1,4)</f>
        <v>Int_Effi</v>
      </c>
      <c r="L23" s="47" t="str">
        <f>Interventions!F18</f>
        <v>Reference</v>
      </c>
      <c r="M23" s="47" t="str">
        <f>IF(Parameters!$H23&lt;1,"",Interventions!M18)</f>
        <v/>
      </c>
      <c r="N23" s="47" t="str">
        <f>IF(Parameters!$I23&lt;1,"",Interventions!N18)</f>
        <v/>
      </c>
      <c r="O23" s="47" t="str">
        <f>IF(Parameters!$J23&lt;1,"",Interventions!O18)</f>
        <v/>
      </c>
      <c r="P23" s="47"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23" s="1" t="s">
        <v>210</v>
      </c>
      <c r="T23" s="47" t="str">
        <f>IF(Table2[[#This Row],[Distribution]]="Linked",100-T22,IF(Table2[[#This Row],[Distribution]]="None",Table2[[#This Row],[Base case]],MIN(Table2[[#This Row],[Max]],MAX(Table2[[#This Row],[Min]],IF(Table2[[#This Row],[Distribution]]="Normal",_xlfn.NORM.INV(W23,Table2[[#This Row],[Base case]],Table2[[#This Row],[Sample variance]]),_xlfn.LOGNORM.INV(W23,LN(Table2[[#This Row],[Base case]]),Table2[[#This Row],[Sample variance]]))))))</f>
        <v>Reference</v>
      </c>
      <c r="U23" s="47" t="str">
        <f>"i_"&amp;Table2[[#This Row],[Parameter name]]</f>
        <v>i_Int_Effi</v>
      </c>
      <c r="V23" s="47" t="str">
        <f>IF($Z$6=FALSE,Table2[[#This Row],[Base case]],Table2[[#This Row],[Sampled value]])</f>
        <v>Reference</v>
      </c>
      <c r="W23" s="14">
        <v>0.48800307512283325</v>
      </c>
    </row>
    <row r="24" spans="1:23" ht="16.5" x14ac:dyDescent="0.3">
      <c r="A24" s="2"/>
      <c r="C24">
        <f t="shared" si="2"/>
        <v>18</v>
      </c>
      <c r="D24" s="38" t="s">
        <v>211</v>
      </c>
      <c r="E24" s="1" t="s">
        <v>22</v>
      </c>
      <c r="F24" s="38" t="s">
        <v>194</v>
      </c>
      <c r="G24">
        <v>22</v>
      </c>
      <c r="H24" s="47" t="s">
        <v>203</v>
      </c>
      <c r="I24" s="47"/>
      <c r="J24" s="47"/>
      <c r="K24" s="47" t="s">
        <v>217</v>
      </c>
      <c r="L24" s="47">
        <f>Interventions!F22</f>
        <v>15</v>
      </c>
      <c r="M24" s="47">
        <f>IF(Parameters!$H24&lt;1,"",Interventions!H22)</f>
        <v>2</v>
      </c>
      <c r="N24" s="47" t="str">
        <f>IF(Parameters!$I24&lt;1,"",Interventions!N22)</f>
        <v/>
      </c>
      <c r="O24" s="47" t="str">
        <f>IF(Parameters!$J24&lt;1,"",Interventions!O22)</f>
        <v/>
      </c>
      <c r="P24"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2</v>
      </c>
      <c r="Q24" s="1" t="s">
        <v>209</v>
      </c>
      <c r="R24" s="1">
        <v>0</v>
      </c>
      <c r="S24" s="1">
        <v>1000</v>
      </c>
      <c r="T24" s="47">
        <f>IF(Table2[[#This Row],[Distribution]]="Linked",100-T23,IF(Table2[[#This Row],[Distribution]]="None",Table2[[#This Row],[Base case]],MIN(Table2[[#This Row],[Max]],MAX(Table2[[#This Row],[Min]],IF(Table2[[#This Row],[Distribution]]="Normal",_xlfn.NORM.INV(W24,Table2[[#This Row],[Base case]],Table2[[#This Row],[Sample variance]]),_xlfn.LOGNORM.INV(W24,LN(Table2[[#This Row],[Base case]]),Table2[[#This Row],[Sample variance]]))))))</f>
        <v>12.919139479198753</v>
      </c>
      <c r="U24" s="47" t="str">
        <f>"i_"&amp;Table2[[#This Row],[Parameter name]]</f>
        <v>i_Int_Kend_cost</v>
      </c>
      <c r="V24" s="47">
        <f>IF($Z$6=FALSE,Table2[[#This Row],[Base case]],Table2[[#This Row],[Sampled value]])</f>
        <v>15</v>
      </c>
      <c r="W24" s="14">
        <v>0.14907002449035645</v>
      </c>
    </row>
    <row r="25" spans="1:23" ht="16.5" x14ac:dyDescent="0.3">
      <c r="A25" s="2"/>
      <c r="C25" s="1">
        <f t="shared" si="2"/>
        <v>19</v>
      </c>
      <c r="D25" s="38" t="s">
        <v>212</v>
      </c>
      <c r="E25" s="1" t="s">
        <v>22</v>
      </c>
      <c r="F25" s="38" t="s">
        <v>194</v>
      </c>
      <c r="G25" s="1">
        <v>23</v>
      </c>
      <c r="H25" s="47"/>
      <c r="I25" s="47" t="s">
        <v>204</v>
      </c>
      <c r="J25" s="47" t="s">
        <v>205</v>
      </c>
      <c r="K25" s="47" t="s">
        <v>218</v>
      </c>
      <c r="L25" s="47">
        <f>Interventions!F23</f>
        <v>0</v>
      </c>
      <c r="M25" s="47" t="str">
        <f>IF(Parameters!$H25&lt;1,"",Interventions!M23)</f>
        <v/>
      </c>
      <c r="N25" s="47"/>
      <c r="O25" s="47"/>
      <c r="P25" s="47"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25" s="1" t="s">
        <v>210</v>
      </c>
      <c r="T25" s="47">
        <f>IF(Table2[[#This Row],[Distribution]]="Linked",100-T24,IF(Table2[[#This Row],[Distribution]]="None",Table2[[#This Row],[Base case]],MIN(Table2[[#This Row],[Max]],MAX(Table2[[#This Row],[Min]],IF(Table2[[#This Row],[Distribution]]="Normal",_xlfn.NORM.INV(W25,Table2[[#This Row],[Base case]],Table2[[#This Row],[Sample variance]]),_xlfn.LOGNORM.INV(W25,LN(Table2[[#This Row],[Base case]]),Table2[[#This Row],[Sample variance]]))))))</f>
        <v>0</v>
      </c>
      <c r="U25" s="47" t="str">
        <f>"i_"&amp;Table2[[#This Row],[Parameter name]]</f>
        <v>i_Int_Kend_MS</v>
      </c>
      <c r="V25" s="47">
        <f>IF($Z$6=FALSE,Table2[[#This Row],[Base case]],Table2[[#This Row],[Sampled value]])</f>
        <v>0</v>
      </c>
      <c r="W25" s="14">
        <v>0.96854251623153687</v>
      </c>
    </row>
    <row r="26" spans="1:23" ht="16.5" x14ac:dyDescent="0.3">
      <c r="A26" s="2"/>
      <c r="C26" s="1">
        <f t="shared" ref="C26:C30" si="3">C25+1</f>
        <v>20</v>
      </c>
      <c r="D26" s="1" t="s">
        <v>213</v>
      </c>
      <c r="E26" s="1" t="s">
        <v>22</v>
      </c>
      <c r="F26" s="38" t="s">
        <v>194</v>
      </c>
      <c r="G26" s="1">
        <v>24</v>
      </c>
      <c r="H26" s="47"/>
      <c r="I26" s="47" t="s">
        <v>204</v>
      </c>
      <c r="J26" s="47" t="s">
        <v>205</v>
      </c>
      <c r="K26" s="47" t="s">
        <v>219</v>
      </c>
      <c r="L26" s="47">
        <f>Interventions!F24</f>
        <v>100</v>
      </c>
      <c r="M26" s="47" t="str">
        <f>IF(Parameters!$H26&lt;1,"",Interventions!M24)</f>
        <v/>
      </c>
      <c r="N26" s="47">
        <f>IF(Parameters!$I26&lt;1,"",Interventions!I24)</f>
        <v>99</v>
      </c>
      <c r="O26" s="47">
        <f>IF(Parameters!$J26&lt;1,"",Interventions!J24)</f>
        <v>100</v>
      </c>
      <c r="P26"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0.25510204081632654</v>
      </c>
      <c r="Q26" s="1" t="s">
        <v>209</v>
      </c>
      <c r="R26" s="1">
        <v>1</v>
      </c>
      <c r="S26" s="1">
        <v>100</v>
      </c>
      <c r="T26" s="47">
        <f>IF(Table2[[#This Row],[Distribution]]="Linked",100-T25,IF(Table2[[#This Row],[Distribution]]="None",Table2[[#This Row],[Base case]],MIN(Table2[[#This Row],[Max]],MAX(Table2[[#This Row],[Min]],IF(Table2[[#This Row],[Distribution]]="Normal",_xlfn.NORM.INV(W26,Table2[[#This Row],[Base case]],Table2[[#This Row],[Sample variance]]),_xlfn.LOGNORM.INV(W26,LN(Table2[[#This Row],[Base case]]),Table2[[#This Row],[Sample variance]]))))))</f>
        <v>99.552222426487376</v>
      </c>
      <c r="U26" s="47" t="str">
        <f>"i_"&amp;Table2[[#This Row],[Parameter name]]</f>
        <v>i_Int_Kend_MS_inc</v>
      </c>
      <c r="V26" s="47">
        <f>IF($Z$6=FALSE,Table2[[#This Row],[Base case]],Table2[[#This Row],[Sampled value]])</f>
        <v>100</v>
      </c>
      <c r="W26" s="14">
        <v>3.9605021476745605E-2</v>
      </c>
    </row>
    <row r="27" spans="1:23" ht="16.5" x14ac:dyDescent="0.3">
      <c r="A27" s="2"/>
      <c r="C27" s="1">
        <f t="shared" si="3"/>
        <v>21</v>
      </c>
      <c r="D27" s="1" t="s">
        <v>214</v>
      </c>
      <c r="E27" s="1" t="s">
        <v>22</v>
      </c>
      <c r="F27" s="38" t="s">
        <v>194</v>
      </c>
      <c r="G27" s="1">
        <v>26</v>
      </c>
      <c r="H27" s="47"/>
      <c r="I27" s="47" t="s">
        <v>204</v>
      </c>
      <c r="J27" s="47" t="s">
        <v>205</v>
      </c>
      <c r="K27" s="47" t="s">
        <v>220</v>
      </c>
      <c r="L27" s="47">
        <f>Interventions!F26</f>
        <v>0.74</v>
      </c>
      <c r="M27" s="47" t="str">
        <f>IF(Parameters!$H27&lt;1,"",Interventions!M26)</f>
        <v/>
      </c>
      <c r="N27" s="47">
        <f>IF(Parameters!$I27&lt;1,"",Interventions!I26)</f>
        <v>0.63</v>
      </c>
      <c r="O27" s="47">
        <f>IF(Parameters!$J27&lt;1,"",Interventions!J26)</f>
        <v>0.88</v>
      </c>
      <c r="P27"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8.525563471598821E-2</v>
      </c>
      <c r="Q27" s="1" t="s">
        <v>230</v>
      </c>
      <c r="R27" s="1">
        <f>MAX(0,Table2[[#This Row],[95 min]]-ABS(Table2[[#This Row],[Base case]]/10))</f>
        <v>0.55600000000000005</v>
      </c>
      <c r="S27" s="1">
        <f>MIN(100000,Table2[[#This Row],[95 max]]+ABS(Table2[[#This Row],[Base case]]/10))</f>
        <v>0.95399999999999996</v>
      </c>
      <c r="T27" s="47">
        <f>IF(Table2[[#This Row],[Distribution]]="Linked",100-T26,IF(Table2[[#This Row],[Distribution]]="None",Table2[[#This Row],[Base case]],MIN(Table2[[#This Row],[Max]],MAX(Table2[[#This Row],[Min]],IF(Table2[[#This Row],[Distribution]]="Normal",_xlfn.NORM.INV(W27,Table2[[#This Row],[Base case]],Table2[[#This Row],[Sample variance]]),_xlfn.LOGNORM.INV(W27,LN(Table2[[#This Row],[Base case]]),Table2[[#This Row],[Sample variance]]))))))</f>
        <v>0.72823999824030272</v>
      </c>
      <c r="U27" s="47" t="str">
        <f>"i_"&amp;Table2[[#This Row],[Parameter name]]</f>
        <v>i_Int_Kend_ssi</v>
      </c>
      <c r="V27" s="47">
        <f>IF($Z$6=FALSE,Table2[[#This Row],[Base case]],Table2[[#This Row],[Sampled value]])</f>
        <v>0.74</v>
      </c>
      <c r="W27" s="14">
        <v>0.42547756433486938</v>
      </c>
    </row>
    <row r="28" spans="1:23" ht="16.5" x14ac:dyDescent="0.3">
      <c r="A28" s="2"/>
      <c r="C28" s="1">
        <f t="shared" si="3"/>
        <v>22</v>
      </c>
      <c r="D28" s="1" t="s">
        <v>215</v>
      </c>
      <c r="E28" s="1" t="s">
        <v>22</v>
      </c>
      <c r="F28" s="38" t="s">
        <v>194</v>
      </c>
      <c r="G28" s="1">
        <v>27</v>
      </c>
      <c r="H28" s="47"/>
      <c r="I28" s="47" t="s">
        <v>204</v>
      </c>
      <c r="J28" s="47" t="s">
        <v>205</v>
      </c>
      <c r="K28" s="47" t="s">
        <v>221</v>
      </c>
      <c r="L28" s="47">
        <f>Interventions!F27</f>
        <v>0.81</v>
      </c>
      <c r="M28" s="47" t="str">
        <f>IF(Parameters!$H28&lt;1,"",Interventions!M27)</f>
        <v/>
      </c>
      <c r="N28" s="47">
        <f>IF(Parameters!$I28&lt;1,"",Interventions!I27)</f>
        <v>0.63</v>
      </c>
      <c r="O28" s="47">
        <f>IF(Parameters!$J28&lt;1,"",Interventions!J27)</f>
        <v>1.06</v>
      </c>
      <c r="P28"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0.13273070605115675</v>
      </c>
      <c r="Q28" s="1" t="s">
        <v>230</v>
      </c>
      <c r="R28" s="1">
        <f>MAX(0,Table2[[#This Row],[95 min]]-ABS(Table2[[#This Row],[Base case]]/10))</f>
        <v>0.54900000000000004</v>
      </c>
      <c r="S28" s="1">
        <f>MIN(100000,Table2[[#This Row],[95 max]]+ABS(Table2[[#This Row],[Base case]]/10))</f>
        <v>1.141</v>
      </c>
      <c r="T28" s="47">
        <f>IF(Table2[[#This Row],[Distribution]]="Linked",100-T27,IF(Table2[[#This Row],[Distribution]]="None",Table2[[#This Row],[Base case]],MIN(Table2[[#This Row],[Max]],MAX(Table2[[#This Row],[Min]],IF(Table2[[#This Row],[Distribution]]="Normal",_xlfn.NORM.INV(W28,Table2[[#This Row],[Base case]],Table2[[#This Row],[Sample variance]]),_xlfn.LOGNORM.INV(W28,LN(Table2[[#This Row],[Base case]]),Table2[[#This Row],[Sample variance]]))))))</f>
        <v>0.96634108996619728</v>
      </c>
      <c r="U28" s="47" t="str">
        <f>"i_"&amp;Table2[[#This Row],[Parameter name]]</f>
        <v>i_Int_Kend_false</v>
      </c>
      <c r="V28" s="47">
        <f>IF($Z$6=FALSE,Table2[[#This Row],[Base case]],Table2[[#This Row],[Sampled value]])</f>
        <v>0.81</v>
      </c>
      <c r="W28" s="14">
        <v>0.90817975997924805</v>
      </c>
    </row>
    <row r="29" spans="1:23" ht="16.5" x14ac:dyDescent="0.3">
      <c r="A29" s="2"/>
      <c r="C29" s="1">
        <f t="shared" si="3"/>
        <v>23</v>
      </c>
      <c r="D29" s="1" t="s">
        <v>216</v>
      </c>
      <c r="E29" s="1" t="s">
        <v>22</v>
      </c>
      <c r="F29" s="38" t="s">
        <v>194</v>
      </c>
      <c r="G29" s="1">
        <v>28</v>
      </c>
      <c r="H29" s="47"/>
      <c r="I29" s="47" t="s">
        <v>204</v>
      </c>
      <c r="J29" s="47" t="s">
        <v>205</v>
      </c>
      <c r="K29" s="47" t="s">
        <v>222</v>
      </c>
      <c r="L29" s="47">
        <f>Interventions!F28</f>
        <v>0.71</v>
      </c>
      <c r="M29" s="47" t="str">
        <f>IF(Parameters!$H29&lt;1,"",Interventions!M28)</f>
        <v/>
      </c>
      <c r="N29" s="47">
        <f>IF(Parameters!$I29&lt;1,"",Interventions!I28)</f>
        <v>0.53</v>
      </c>
      <c r="O29" s="47">
        <f>IF(Parameters!$J29&lt;1,"",Interventions!J28)</f>
        <v>0.96</v>
      </c>
      <c r="P29"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0.15154496885604959</v>
      </c>
      <c r="Q29" s="1" t="s">
        <v>230</v>
      </c>
      <c r="R29" s="1">
        <f>MAX(0,Table2[[#This Row],[95 min]]-ABS(Table2[[#This Row],[Base case]]/10))</f>
        <v>0.45900000000000002</v>
      </c>
      <c r="S29" s="1">
        <f>MIN(100000,Table2[[#This Row],[95 max]]+ABS(Table2[[#This Row],[Base case]]/10))</f>
        <v>1.0309999999999999</v>
      </c>
      <c r="T29" s="47">
        <f>IF(Table2[[#This Row],[Distribution]]="Linked",100-T28,IF(Table2[[#This Row],[Distribution]]="None",Table2[[#This Row],[Base case]],MIN(Table2[[#This Row],[Max]],MAX(Table2[[#This Row],[Min]],IF(Table2[[#This Row],[Distribution]]="Normal",_xlfn.NORM.INV(W29,Table2[[#This Row],[Base case]],Table2[[#This Row],[Sample variance]]),_xlfn.LOGNORM.INV(W29,LN(Table2[[#This Row],[Base case]]),Table2[[#This Row],[Sample variance]]))))))</f>
        <v>0.63371502944808678</v>
      </c>
      <c r="U29" s="47" t="str">
        <f>"i_"&amp;Table2[[#This Row],[Parameter name]]</f>
        <v>i_Int_Kend_leadsoff</v>
      </c>
      <c r="V29" s="47">
        <f>IF($Z$6=FALSE,Table2[[#This Row],[Base case]],Table2[[#This Row],[Sampled value]])</f>
        <v>0.71</v>
      </c>
      <c r="W29" s="14">
        <v>0.22661370038986206</v>
      </c>
    </row>
    <row r="30" spans="1:23" ht="16.5" x14ac:dyDescent="0.3">
      <c r="A30" s="2"/>
      <c r="C30" s="1">
        <f t="shared" si="3"/>
        <v>24</v>
      </c>
      <c r="D30" s="38" t="s">
        <v>91</v>
      </c>
      <c r="E30" s="1" t="s">
        <v>223</v>
      </c>
      <c r="F30" s="38" t="s">
        <v>194</v>
      </c>
      <c r="G30" s="1">
        <v>10</v>
      </c>
      <c r="H30" s="47"/>
      <c r="I30" s="47"/>
      <c r="J30" s="47"/>
      <c r="K30" s="47" t="str">
        <f>MID(Table2[[#This Row],[Page]],1,3)&amp;"_"&amp;MID(Table2[[#This Row],[Parameter]],1,4)</f>
        <v>Eve_Time</v>
      </c>
      <c r="L30" s="47">
        <f>Events!F10</f>
        <v>0.5</v>
      </c>
      <c r="M30" s="47" t="str">
        <f>IF(Parameters!$H30&lt;1,"",Events!M10)</f>
        <v/>
      </c>
      <c r="N30" s="47" t="str">
        <f>IF(Parameters!$I30&lt;1,"",Events!N10)</f>
        <v/>
      </c>
      <c r="O30" s="47" t="str">
        <f>IF(Parameters!$J30&lt;1,"",Events!O10)</f>
        <v/>
      </c>
      <c r="P30"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1E-4</v>
      </c>
      <c r="Q30" s="1" t="s">
        <v>209</v>
      </c>
      <c r="R30" s="1">
        <v>0.5</v>
      </c>
      <c r="S30" s="1">
        <v>30</v>
      </c>
      <c r="T30" s="47">
        <f>IF(Table2[[#This Row],[Distribution]]="Linked",100-T29,IF(Table2[[#This Row],[Distribution]]="None",Table2[[#This Row],[Base case]],MIN(Table2[[#This Row],[Max]],MAX(Table2[[#This Row],[Min]],IF(Table2[[#This Row],[Distribution]]="Normal",_xlfn.NORM.INV(W30,Table2[[#This Row],[Base case]],Table2[[#This Row],[Sample variance]]),_xlfn.LOGNORM.INV(W30,LN(Table2[[#This Row],[Base case]]),Table2[[#This Row],[Sample variance]]))))))</f>
        <v>0.50013357854631479</v>
      </c>
      <c r="U30" s="47" t="str">
        <f>"i_"&amp;Table2[[#This Row],[Parameter name]]</f>
        <v>i_Eve_Time</v>
      </c>
      <c r="V30" s="47">
        <f>IF($Z$6=FALSE,Table2[[#This Row],[Base case]],Table2[[#This Row],[Sampled value]])</f>
        <v>0.5</v>
      </c>
      <c r="W30" s="14">
        <v>0.90919029712677002</v>
      </c>
    </row>
    <row r="31" spans="1:23" ht="16.5" x14ac:dyDescent="0.3">
      <c r="A31" s="2"/>
      <c r="C31" s="1">
        <f t="shared" ref="C31:C39" si="4">C30+1</f>
        <v>25</v>
      </c>
      <c r="D31" s="38" t="s">
        <v>224</v>
      </c>
      <c r="E31" s="1" t="s">
        <v>223</v>
      </c>
      <c r="F31" s="38" t="s">
        <v>194</v>
      </c>
      <c r="G31" s="1">
        <v>11</v>
      </c>
      <c r="H31" s="47"/>
      <c r="I31" s="47"/>
      <c r="J31" s="47"/>
      <c r="K31" s="47" t="str">
        <f>MID(Table2[[#This Row],[Page]],1,3)&amp;"_"&amp;MID(Table2[[#This Row],[Parameter]],1,4)</f>
        <v xml:space="preserve">Eve_ICU </v>
      </c>
      <c r="L31" s="47">
        <f>Events!F11</f>
        <v>1</v>
      </c>
      <c r="M31" s="47" t="str">
        <f>IF(Parameters!$H31&lt;1,"",Events!M11)</f>
        <v/>
      </c>
      <c r="N31" s="47" t="str">
        <f>IF(Parameters!$I31&lt;1,"",Events!N11)</f>
        <v/>
      </c>
      <c r="O31" s="47" t="str">
        <f>IF(Parameters!$J31&lt;1,"",Events!O11)</f>
        <v/>
      </c>
      <c r="P31"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1E-4</v>
      </c>
      <c r="Q31" s="1" t="s">
        <v>209</v>
      </c>
      <c r="R31" s="1">
        <v>0.5</v>
      </c>
      <c r="S31" s="1">
        <v>30</v>
      </c>
      <c r="T31" s="47">
        <f>IF(Table2[[#This Row],[Distribution]]="Linked",100-T30,IF(Table2[[#This Row],[Distribution]]="None",Table2[[#This Row],[Base case]],MIN(Table2[[#This Row],[Max]],MAX(Table2[[#This Row],[Min]],IF(Table2[[#This Row],[Distribution]]="Normal",_xlfn.NORM.INV(W31,Table2[[#This Row],[Base case]],Table2[[#This Row],[Sample variance]]),_xlfn.LOGNORM.INV(W31,LN(Table2[[#This Row],[Base case]]),Table2[[#This Row],[Sample variance]]))))))</f>
        <v>0.9998898434251815</v>
      </c>
      <c r="U31" s="47" t="str">
        <f>"i_"&amp;Table2[[#This Row],[Parameter name]]</f>
        <v xml:space="preserve">i_Eve_ICU </v>
      </c>
      <c r="V31" s="47">
        <f>IF($Z$6=FALSE,Table2[[#This Row],[Base case]],Table2[[#This Row],[Sampled value]])</f>
        <v>1</v>
      </c>
      <c r="W31" s="14">
        <v>0.13532525300979614</v>
      </c>
    </row>
    <row r="32" spans="1:23" ht="16.5" x14ac:dyDescent="0.3">
      <c r="A32" s="2"/>
      <c r="C32" s="1">
        <f t="shared" si="4"/>
        <v>26</v>
      </c>
      <c r="D32" s="1" t="s">
        <v>225</v>
      </c>
      <c r="E32" s="1" t="s">
        <v>223</v>
      </c>
      <c r="F32" s="38" t="s">
        <v>194</v>
      </c>
      <c r="G32" s="1">
        <v>12</v>
      </c>
      <c r="H32" s="47"/>
      <c r="I32" s="47" t="s">
        <v>204</v>
      </c>
      <c r="J32" s="47" t="s">
        <v>205</v>
      </c>
      <c r="K32" s="47" t="str">
        <f>MID(Table2[[#This Row],[Page]],1,3)&amp;"_"&amp;MID(Table2[[#This Row],[Parameter]],1,4)</f>
        <v>Eve_Hosp</v>
      </c>
      <c r="L32" s="47">
        <f>Events!F12</f>
        <v>8</v>
      </c>
      <c r="M32" s="47" t="str">
        <f>IF(Parameters!$H32&lt;1,"",Events!M12)</f>
        <v/>
      </c>
      <c r="N32" s="47">
        <f>IF(Parameters!$I32&lt;1,"",Events!I12)</f>
        <v>6</v>
      </c>
      <c r="O32" s="47">
        <f>IF(Parameters!$J32&lt;1,"",Events!J12)</f>
        <v>13</v>
      </c>
      <c r="P32"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1.7857142857142858</v>
      </c>
      <c r="Q32" s="1" t="s">
        <v>209</v>
      </c>
      <c r="R32" s="1">
        <f>MAX(0,Table2[[#This Row],[95 min]]-ABS(Table2[[#This Row],[Base case]]/10))</f>
        <v>5.2</v>
      </c>
      <c r="S32" s="1">
        <f>MIN(100000,Table2[[#This Row],[95 max]]+ABS(Table2[[#This Row],[Base case]]/10))</f>
        <v>13.8</v>
      </c>
      <c r="T32" s="47">
        <f>IF(Table2[[#This Row],[Distribution]]="Linked",100-T31,IF(Table2[[#This Row],[Distribution]]="None",Table2[[#This Row],[Base case]],MIN(Table2[[#This Row],[Max]],MAX(Table2[[#This Row],[Min]],IF(Table2[[#This Row],[Distribution]]="Normal",_xlfn.NORM.INV(W32,Table2[[#This Row],[Base case]],Table2[[#This Row],[Sample variance]]),_xlfn.LOGNORM.INV(W32,LN(Table2[[#This Row],[Base case]]),Table2[[#This Row],[Sample variance]]))))))</f>
        <v>5.4016762654458539</v>
      </c>
      <c r="U32" s="47" t="str">
        <f>"i_"&amp;Table2[[#This Row],[Parameter name]]</f>
        <v>i_Eve_Hosp</v>
      </c>
      <c r="V32" s="47">
        <f>IF($Z$6=FALSE,Table2[[#This Row],[Base case]],Table2[[#This Row],[Sampled value]])</f>
        <v>8</v>
      </c>
      <c r="W32" s="14">
        <v>7.2826147079467773E-2</v>
      </c>
    </row>
    <row r="33" spans="1:23" ht="16.5" x14ac:dyDescent="0.3">
      <c r="A33" s="2"/>
      <c r="C33" s="1">
        <f t="shared" si="4"/>
        <v>27</v>
      </c>
      <c r="D33" s="38" t="s">
        <v>226</v>
      </c>
      <c r="E33" s="1" t="s">
        <v>223</v>
      </c>
      <c r="F33" s="38" t="s">
        <v>194</v>
      </c>
      <c r="G33" s="1">
        <v>13</v>
      </c>
      <c r="H33" s="47"/>
      <c r="I33" s="47"/>
      <c r="J33" s="47"/>
      <c r="K33" s="47" t="str">
        <f>MID(Table2[[#This Row],[Page]],1,3)&amp;"_"&amp;MID(Table2[[#This Row],[Parameter]],1,4)</f>
        <v>Eve_Prol</v>
      </c>
      <c r="L33" s="47">
        <f>Events!F13</f>
        <v>10.6</v>
      </c>
      <c r="M33" s="47" t="str">
        <f>IF(Parameters!$H33&lt;1,"",Events!M13)</f>
        <v/>
      </c>
      <c r="N33" s="47" t="str">
        <f>IF(Parameters!$I33&lt;1,"",Events!N13)</f>
        <v/>
      </c>
      <c r="O33" s="47" t="str">
        <f>IF(Parameters!$J33&lt;1,"",Events!O13)</f>
        <v/>
      </c>
      <c r="P33"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1E-4</v>
      </c>
      <c r="Q33" s="1" t="s">
        <v>209</v>
      </c>
      <c r="R33" s="1">
        <v>0.5</v>
      </c>
      <c r="S33" s="1">
        <v>90</v>
      </c>
      <c r="T33" s="47">
        <f>IF(Table2[[#This Row],[Distribution]]="Linked",100-T32,IF(Table2[[#This Row],[Distribution]]="None",Table2[[#This Row],[Base case]],MIN(Table2[[#This Row],[Max]],MAX(Table2[[#This Row],[Min]],IF(Table2[[#This Row],[Distribution]]="Normal",_xlfn.NORM.INV(W33,Table2[[#This Row],[Base case]],Table2[[#This Row],[Sample variance]]),_xlfn.LOGNORM.INV(W33,LN(Table2[[#This Row],[Base case]]),Table2[[#This Row],[Sample variance]]))))))</f>
        <v>10.599871905321843</v>
      </c>
      <c r="U33" s="47" t="str">
        <f>"i_"&amp;Table2[[#This Row],[Parameter name]]</f>
        <v>i_Eve_Prol</v>
      </c>
      <c r="V33" s="47">
        <f>IF($Z$6=FALSE,Table2[[#This Row],[Base case]],Table2[[#This Row],[Sampled value]])</f>
        <v>10.6</v>
      </c>
      <c r="W33" s="14">
        <v>0.10010617971420288</v>
      </c>
    </row>
    <row r="34" spans="1:23" ht="16.5" x14ac:dyDescent="0.3">
      <c r="A34" s="2"/>
      <c r="C34" s="1">
        <f t="shared" si="4"/>
        <v>28</v>
      </c>
      <c r="D34" s="1" t="s">
        <v>227</v>
      </c>
      <c r="E34" s="1" t="s">
        <v>223</v>
      </c>
      <c r="F34" s="38" t="s">
        <v>194</v>
      </c>
      <c r="G34" s="1">
        <v>14</v>
      </c>
      <c r="H34" s="47"/>
      <c r="I34" s="47" t="s">
        <v>204</v>
      </c>
      <c r="J34" s="47" t="s">
        <v>205</v>
      </c>
      <c r="K34" s="47" t="str">
        <f>MID(Table2[[#This Row],[Page]],1,3)&amp;"_"&amp;MID(Table2[[#This Row],[Parameter]],1,4)</f>
        <v xml:space="preserve">Eve_ECG </v>
      </c>
      <c r="L34" s="47">
        <f>Events!F14</f>
        <v>8</v>
      </c>
      <c r="M34" s="47" t="str">
        <f>IF(Parameters!$H34&lt;1,"",Events!M14)</f>
        <v/>
      </c>
      <c r="N34" s="47">
        <f>IF(Parameters!$I34&lt;1,"",Events!I14)</f>
        <v>6</v>
      </c>
      <c r="O34" s="47">
        <f>IF(Parameters!$J34&lt;1,"",Events!J14)</f>
        <v>13</v>
      </c>
      <c r="P34"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1.7857142857142858</v>
      </c>
      <c r="Q34" s="1" t="s">
        <v>209</v>
      </c>
      <c r="R34" s="1">
        <f>MAX(0,Table2[[#This Row],[95 min]]-ABS(Table2[[#This Row],[Base case]]/10))</f>
        <v>5.2</v>
      </c>
      <c r="S34" s="1">
        <f>MIN(100000,Table2[[#This Row],[95 max]]+ABS(Table2[[#This Row],[Base case]]/10))</f>
        <v>13.8</v>
      </c>
      <c r="T34" s="47">
        <f>IF(Table2[[#This Row],[Distribution]]="Linked",100-T33,IF(Table2[[#This Row],[Distribution]]="None",Table2[[#This Row],[Base case]],MIN(Table2[[#This Row],[Max]],MAX(Table2[[#This Row],[Min]],IF(Table2[[#This Row],[Distribution]]="Normal",_xlfn.NORM.INV(W34,Table2[[#This Row],[Base case]],Table2[[#This Row],[Sample variance]]),_xlfn.LOGNORM.INV(W34,LN(Table2[[#This Row],[Base case]]),Table2[[#This Row],[Sample variance]]))))))</f>
        <v>7.7141832510564328</v>
      </c>
      <c r="U34" s="47" t="str">
        <f>"i_"&amp;Table2[[#This Row],[Parameter name]]</f>
        <v xml:space="preserve">i_Eve_ECG </v>
      </c>
      <c r="V34" s="47">
        <f>IF($Z$6=FALSE,Table2[[#This Row],[Base case]],Table2[[#This Row],[Sampled value]])</f>
        <v>8</v>
      </c>
      <c r="W34" s="14">
        <v>0.43641793727874756</v>
      </c>
    </row>
    <row r="35" spans="1:23" ht="16.5" x14ac:dyDescent="0.3">
      <c r="A35" s="2"/>
      <c r="C35" s="1">
        <f t="shared" si="4"/>
        <v>29</v>
      </c>
      <c r="D35" s="38" t="s">
        <v>228</v>
      </c>
      <c r="E35" s="1" t="s">
        <v>223</v>
      </c>
      <c r="F35" s="38" t="s">
        <v>194</v>
      </c>
      <c r="G35" s="1">
        <v>16</v>
      </c>
      <c r="H35" s="47" t="s">
        <v>203</v>
      </c>
      <c r="I35" s="47"/>
      <c r="J35" s="47"/>
      <c r="K35" s="47" t="str">
        <f>MID(Table2[[#This Row],[Page]],1,3)&amp;"_"&amp;MID(Table2[[#This Row],[Parameter]],1,4)</f>
        <v>Eve_Home</v>
      </c>
      <c r="L35" s="47">
        <f>Events!F16</f>
        <v>74.5</v>
      </c>
      <c r="M35" s="47">
        <f>IF(Parameters!$H35&lt;1,"",Events!H16)</f>
        <v>0.16905405285720759</v>
      </c>
      <c r="N35" s="47" t="str">
        <f>IF(Parameters!$I35&lt;1,"",Events!N16)</f>
        <v/>
      </c>
      <c r="O35" s="47" t="str">
        <f>IF(Parameters!$J35&lt;1,"",Events!O16)</f>
        <v/>
      </c>
      <c r="P35"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0.16905405285720759</v>
      </c>
      <c r="Q35" s="1" t="s">
        <v>209</v>
      </c>
      <c r="R35" s="1">
        <v>0</v>
      </c>
      <c r="S35" s="1">
        <v>100</v>
      </c>
      <c r="T35" s="47">
        <f>IF(Table2[[#This Row],[Distribution]]="Linked",100-T34,IF(Table2[[#This Row],[Distribution]]="None",Table2[[#This Row],[Base case]],MIN(Table2[[#This Row],[Max]],MAX(Table2[[#This Row],[Min]],IF(Table2[[#This Row],[Distribution]]="Normal",_xlfn.NORM.INV(W35,Table2[[#This Row],[Base case]],Table2[[#This Row],[Sample variance]]),_xlfn.LOGNORM.INV(W35,LN(Table2[[#This Row],[Base case]]),Table2[[#This Row],[Sample variance]]))))))</f>
        <v>74.439639210137088</v>
      </c>
      <c r="U35" s="47" t="str">
        <f>"i_"&amp;Table2[[#This Row],[Parameter name]]</f>
        <v>i_Eve_Home</v>
      </c>
      <c r="V35" s="47">
        <f>IF($Z$6=FALSE,Table2[[#This Row],[Base case]],Table2[[#This Row],[Sampled value]])</f>
        <v>74.5</v>
      </c>
      <c r="W35" s="14">
        <v>0.36052709817886353</v>
      </c>
    </row>
    <row r="36" spans="1:23" ht="16.5" x14ac:dyDescent="0.3">
      <c r="A36" s="2"/>
      <c r="C36" s="1">
        <f t="shared" si="4"/>
        <v>30</v>
      </c>
      <c r="D36" s="1" t="s">
        <v>229</v>
      </c>
      <c r="E36" s="1" t="s">
        <v>223</v>
      </c>
      <c r="F36" s="38" t="s">
        <v>194</v>
      </c>
      <c r="G36" s="1">
        <v>17</v>
      </c>
      <c r="H36" s="47"/>
      <c r="I36" s="47"/>
      <c r="J36" s="47"/>
      <c r="K36" s="47" t="str">
        <f>MID(Table2[[#This Row],[Page]],1,3)&amp;"_"&amp;MID(Table2[[#This Row],[Parameter]],1,4)</f>
        <v>Eve_Care</v>
      </c>
      <c r="L36" s="47">
        <f>Events!F17</f>
        <v>25.5</v>
      </c>
      <c r="M36" s="47" t="str">
        <f>IF(Parameters!$H36&lt;1,"",Events!M17)</f>
        <v/>
      </c>
      <c r="N36" s="47" t="str">
        <f>IF(Parameters!$I36&lt;1,"",Events!N17)</f>
        <v/>
      </c>
      <c r="O36" s="47" t="str">
        <f>IF(Parameters!$J36&lt;1,"",Events!O17)</f>
        <v/>
      </c>
      <c r="P36"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1E-4</v>
      </c>
      <c r="Q36" s="1" t="s">
        <v>348</v>
      </c>
      <c r="T36" s="47">
        <f>IF(Table2[[#This Row],[Distribution]]="Linked",100-T35,IF(Table2[[#This Row],[Distribution]]="None",Table2[[#This Row],[Base case]],MIN(Table2[[#This Row],[Max]],MAX(Table2[[#This Row],[Min]],IF(Table2[[#This Row],[Distribution]]="Normal",_xlfn.NORM.INV(W36,Table2[[#This Row],[Base case]],Table2[[#This Row],[Sample variance]]),_xlfn.LOGNORM.INV(W36,LN(Table2[[#This Row],[Base case]]),Table2[[#This Row],[Sample variance]]))))))</f>
        <v>25.560360789862912</v>
      </c>
      <c r="U36" s="47" t="str">
        <f>"i_"&amp;Table2[[#This Row],[Parameter name]]</f>
        <v>i_Eve_Care</v>
      </c>
      <c r="V36" s="47">
        <f>IF($Z$6=FALSE,Table2[[#This Row],[Base case]],Table2[[#This Row],[Sampled value]])</f>
        <v>25.5</v>
      </c>
      <c r="W36" s="14">
        <v>0.22656631469726563</v>
      </c>
    </row>
    <row r="37" spans="1:23" ht="16.5" x14ac:dyDescent="0.3">
      <c r="A37" s="2"/>
      <c r="C37" s="1">
        <f>C36+1</f>
        <v>31</v>
      </c>
      <c r="D37" s="11" t="s">
        <v>291</v>
      </c>
      <c r="E37" s="1" t="s">
        <v>223</v>
      </c>
      <c r="F37" s="44" t="s">
        <v>194</v>
      </c>
      <c r="G37" s="1">
        <v>18</v>
      </c>
      <c r="H37" s="47"/>
      <c r="I37" s="47" t="s">
        <v>204</v>
      </c>
      <c r="J37" s="47" t="s">
        <v>205</v>
      </c>
      <c r="K37" s="47" t="str">
        <f>MID(Table2[[#This Row],[Page]],1,3)&amp;"_"&amp;MID(Table2[[#This Row],[Parameter]],1,4)</f>
        <v>Eve_Faci</v>
      </c>
      <c r="L37" s="47">
        <f>Events!F18</f>
        <v>27</v>
      </c>
      <c r="M37" s="47" t="str">
        <f>IF(Parameters!$H37&lt;1,"",Events!M18)</f>
        <v/>
      </c>
      <c r="N37" s="47">
        <f>IF(Parameters!$I37&lt;1,"",Events!I18)</f>
        <v>13.3</v>
      </c>
      <c r="O37" s="47">
        <f>IF(Parameters!$J37&lt;1,"",Events!J18)</f>
        <v>60</v>
      </c>
      <c r="P37"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11.913265306122449</v>
      </c>
      <c r="Q37" s="1" t="s">
        <v>209</v>
      </c>
      <c r="R37" s="1">
        <f>MAX(0,Table2[[#This Row],[95 min]]-ABS(Table2[[#This Row],[Base case]]/10))</f>
        <v>10.600000000000001</v>
      </c>
      <c r="S37" s="1">
        <f>MIN(100000,Table2[[#This Row],[95 max]]+ABS(Table2[[#This Row],[Base case]]/10))</f>
        <v>62.7</v>
      </c>
      <c r="T37" s="47">
        <f>IF(Table2[[#This Row],[Distribution]]="Linked",100-T36,IF(Table2[[#This Row],[Distribution]]="None",Table2[[#This Row],[Base case]],MIN(Table2[[#This Row],[Max]],MAX(Table2[[#This Row],[Min]],IF(Table2[[#This Row],[Distribution]]="Normal",_xlfn.NORM.INV(W37,Table2[[#This Row],[Base case]],Table2[[#This Row],[Sample variance]]),_xlfn.LOGNORM.INV(W37,LN(Table2[[#This Row],[Base case]]),Table2[[#This Row],[Sample variance]]))))))</f>
        <v>24.007967931546471</v>
      </c>
      <c r="U37" s="47" t="str">
        <f>"i_"&amp;Table2[[#This Row],[Parameter name]]</f>
        <v>i_Eve_Faci</v>
      </c>
      <c r="V37" s="47">
        <f>IF($Z$6=FALSE,Table2[[#This Row],[Base case]],Table2[[#This Row],[Sampled value]])</f>
        <v>27</v>
      </c>
      <c r="W37" s="14">
        <v>0.40084856748580933</v>
      </c>
    </row>
    <row r="38" spans="1:23" ht="16.5" x14ac:dyDescent="0.3">
      <c r="A38" s="2"/>
      <c r="C38" s="1">
        <f>C37+1</f>
        <v>32</v>
      </c>
      <c r="D38" s="38" t="s">
        <v>88</v>
      </c>
      <c r="E38" s="1" t="s">
        <v>223</v>
      </c>
      <c r="F38" s="38" t="s">
        <v>194</v>
      </c>
      <c r="G38" s="1">
        <v>19</v>
      </c>
      <c r="H38" s="47" t="s">
        <v>203</v>
      </c>
      <c r="I38" s="47"/>
      <c r="J38" s="47"/>
      <c r="K38" s="47" t="str">
        <f>MID(Table2[[#This Row],[Page]],1,3)&amp;"_"&amp;MID(Table2[[#This Row],[Parameter]],1,4)</f>
        <v>Eve_Reop</v>
      </c>
      <c r="L38" s="47">
        <f>Events!F19</f>
        <v>5</v>
      </c>
      <c r="M38" s="47">
        <f>IF(Parameters!$H38&lt;1,"",Events!H19)</f>
        <v>1.97</v>
      </c>
      <c r="N38" s="47" t="str">
        <f>IF(Parameters!$I38&lt;1,"",Events!N19)</f>
        <v/>
      </c>
      <c r="O38" s="47" t="str">
        <f>IF(Parameters!$J38&lt;1,"",Events!O19)</f>
        <v/>
      </c>
      <c r="P38"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1.97</v>
      </c>
      <c r="Q38" s="1" t="s">
        <v>209</v>
      </c>
      <c r="R38" s="1">
        <f>MAX(0.1,Table2[[#This Row],[Base case]]-Table2[[#This Row],[Variance]]*2)</f>
        <v>1.06</v>
      </c>
      <c r="S38" s="1">
        <f>MIN(50,Table2[[#This Row],[Base case]]+Table2[[#This Row],[Variance]]*2)</f>
        <v>8.94</v>
      </c>
      <c r="T38" s="47">
        <f>IF(Table2[[#This Row],[Distribution]]="Linked",100-T37,IF(Table2[[#This Row],[Distribution]]="None",Table2[[#This Row],[Base case]],MIN(Table2[[#This Row],[Max]],MAX(Table2[[#This Row],[Min]],IF(Table2[[#This Row],[Distribution]]="Normal",_xlfn.NORM.INV(W38,Table2[[#This Row],[Base case]],Table2[[#This Row],[Sample variance]]),_xlfn.LOGNORM.INV(W38,LN(Table2[[#This Row],[Base case]]),Table2[[#This Row],[Sample variance]]))))))</f>
        <v>4.9916156568329262</v>
      </c>
      <c r="U38" s="47" t="str">
        <f>"i_"&amp;Table2[[#This Row],[Parameter name]]</f>
        <v>i_Eve_Reop</v>
      </c>
      <c r="V38" s="47">
        <f>IF($Z$6=FALSE,Table2[[#This Row],[Base case]],Table2[[#This Row],[Sampled value]])</f>
        <v>5</v>
      </c>
      <c r="W38" s="14">
        <v>0.49830210208892822</v>
      </c>
    </row>
    <row r="39" spans="1:23" ht="16.5" x14ac:dyDescent="0.3">
      <c r="A39" s="2"/>
      <c r="C39" s="1">
        <f t="shared" si="4"/>
        <v>33</v>
      </c>
      <c r="D39" s="38" t="s">
        <v>235</v>
      </c>
      <c r="E39" s="1" t="s">
        <v>23</v>
      </c>
      <c r="F39" s="38" t="s">
        <v>194</v>
      </c>
      <c r="G39" s="1">
        <v>10</v>
      </c>
      <c r="H39" s="47" t="s">
        <v>203</v>
      </c>
      <c r="I39" s="47"/>
      <c r="J39" s="47"/>
      <c r="K39" s="47" t="str">
        <f>MID(Table2[[#This Row],[Page]],1,3)&amp;"_"&amp;MID(Table2[[#This Row],[Parameter]],1,4)</f>
        <v>Adv_In-h</v>
      </c>
      <c r="L39" s="47">
        <f>'Adverse events'!F10</f>
        <v>2.7</v>
      </c>
      <c r="M39" s="47">
        <f>IF(Parameters!$H39&lt;1,"",'Adverse events'!H10)</f>
        <v>6.2865976015503089E-2</v>
      </c>
      <c r="N39" s="47" t="str">
        <f>IF(Parameters!$I39&lt;1,"",'Adverse events'!N10)</f>
        <v/>
      </c>
      <c r="O39" s="47" t="str">
        <f>IF(Parameters!$J39&lt;1,"",'Adverse events'!O10)</f>
        <v/>
      </c>
      <c r="P39"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6.2865976015503089E-2</v>
      </c>
      <c r="Q39" s="1" t="s">
        <v>209</v>
      </c>
      <c r="R39" s="1">
        <v>1E-3</v>
      </c>
      <c r="S39" s="1">
        <v>100</v>
      </c>
      <c r="T39" s="47">
        <f>IF(Table2[[#This Row],[Distribution]]="Linked",100-T38,IF(Table2[[#This Row],[Distribution]]="None",Table2[[#This Row],[Base case]],MIN(Table2[[#This Row],[Max]],MAX(Table2[[#This Row],[Min]],IF(Table2[[#This Row],[Distribution]]="Normal",_xlfn.NORM.INV(W39,Table2[[#This Row],[Base case]],Table2[[#This Row],[Sample variance]]),_xlfn.LOGNORM.INV(W39,LN(Table2[[#This Row],[Base case]]),Table2[[#This Row],[Sample variance]]))))))</f>
        <v>2.705133503281226</v>
      </c>
      <c r="U39" s="47" t="str">
        <f>"i_"&amp;Table2[[#This Row],[Parameter name]]</f>
        <v>i_Adv_In-h</v>
      </c>
      <c r="V39" s="47">
        <f>IF($Z$6=FALSE,Table2[[#This Row],[Base case]],Table2[[#This Row],[Sampled value]])</f>
        <v>2.7</v>
      </c>
      <c r="W39" s="14">
        <v>0.53254061937332153</v>
      </c>
    </row>
    <row r="40" spans="1:23" ht="16.5" x14ac:dyDescent="0.3">
      <c r="A40" s="2"/>
      <c r="C40" s="1">
        <f t="shared" ref="C40:C49" si="5">C39+1</f>
        <v>34</v>
      </c>
      <c r="D40" s="1" t="s">
        <v>234</v>
      </c>
      <c r="E40" s="1" t="s">
        <v>23</v>
      </c>
      <c r="F40" s="38" t="s">
        <v>194</v>
      </c>
      <c r="G40" s="1">
        <v>11</v>
      </c>
      <c r="H40" s="47"/>
      <c r="I40" s="47"/>
      <c r="J40" s="47"/>
      <c r="K40" s="47" t="str">
        <f>MID(Table2[[#This Row],[Page]],1,3)&amp;"_"&amp;MID(Table2[[#This Row],[Parameter]],1,4)</f>
        <v>Adv_Mort</v>
      </c>
      <c r="L40" s="47">
        <f>'Adverse events'!F11</f>
        <v>13</v>
      </c>
      <c r="M40" s="47" t="str">
        <f>IF(Parameters!$H40&lt;1,"",'Adverse events'!M11)</f>
        <v/>
      </c>
      <c r="N40" s="47" t="str">
        <f>IF(Parameters!$I40&lt;1,"",'Adverse events'!N11)</f>
        <v/>
      </c>
      <c r="O40" s="47" t="str">
        <f>IF(Parameters!$J40&lt;1,"",'Adverse events'!O11)</f>
        <v/>
      </c>
      <c r="P40"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1E-4</v>
      </c>
      <c r="Q40" s="1" t="s">
        <v>209</v>
      </c>
      <c r="R40" s="1">
        <v>0</v>
      </c>
      <c r="S40" s="1">
        <v>1000</v>
      </c>
      <c r="T40" s="47">
        <f>IF(Table2[[#This Row],[Distribution]]="Linked",100-T39,IF(Table2[[#This Row],[Distribution]]="None",Table2[[#This Row],[Base case]],MIN(Table2[[#This Row],[Max]],MAX(Table2[[#This Row],[Min]],IF(Table2[[#This Row],[Distribution]]="Normal",_xlfn.NORM.INV(W40,Table2[[#This Row],[Base case]],Table2[[#This Row],[Sample variance]]),_xlfn.LOGNORM.INV(W40,LN(Table2[[#This Row],[Base case]]),Table2[[#This Row],[Sample variance]]))))))</f>
        <v>13.000121348461882</v>
      </c>
      <c r="U40" s="47" t="str">
        <f>"i_"&amp;Table2[[#This Row],[Parameter name]]</f>
        <v>i_Adv_Mort</v>
      </c>
      <c r="V40" s="47">
        <f>IF($Z$6=FALSE,Table2[[#This Row],[Base case]],Table2[[#This Row],[Sampled value]])</f>
        <v>13</v>
      </c>
      <c r="W40" s="14">
        <v>0.8875277042388916</v>
      </c>
    </row>
    <row r="41" spans="1:23" ht="16.5" x14ac:dyDescent="0.3">
      <c r="C41" s="1">
        <f t="shared" si="5"/>
        <v>35</v>
      </c>
      <c r="D41" s="38" t="s">
        <v>236</v>
      </c>
      <c r="E41" s="1" t="s">
        <v>23</v>
      </c>
      <c r="F41" s="38" t="s">
        <v>194</v>
      </c>
      <c r="G41" s="1">
        <v>13</v>
      </c>
      <c r="H41" s="47" t="s">
        <v>203</v>
      </c>
      <c r="I41" s="47"/>
      <c r="J41" s="47"/>
      <c r="K41" s="47" t="str">
        <f>MID(Table2[[#This Row],[Page]],1,3)&amp;"_"&amp;MID(Table2[[#This Row],[Parameter]],1,4)</f>
        <v>Adv_Surg</v>
      </c>
      <c r="L41" s="47">
        <f>'Adverse events'!F13</f>
        <v>5.49</v>
      </c>
      <c r="M41" s="47">
        <f>IF(Parameters!$H41&lt;1,"",'Adverse events'!H13)</f>
        <v>0.5</v>
      </c>
      <c r="N41" s="47" t="str">
        <f>IF(Parameters!$I41&lt;1,"",'Adverse events'!N13)</f>
        <v/>
      </c>
      <c r="O41" s="47" t="str">
        <f>IF(Parameters!$J41&lt;1,"",'Adverse events'!O13)</f>
        <v/>
      </c>
      <c r="P41"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0.5</v>
      </c>
      <c r="Q41" s="1" t="s">
        <v>209</v>
      </c>
      <c r="R41" s="1">
        <v>0.1</v>
      </c>
      <c r="S41" s="1">
        <v>100</v>
      </c>
      <c r="T41" s="47">
        <f>IF(Table2[[#This Row],[Distribution]]="Linked",100-T40,IF(Table2[[#This Row],[Distribution]]="None",Table2[[#This Row],[Base case]],MIN(Table2[[#This Row],[Max]],MAX(Table2[[#This Row],[Min]],IF(Table2[[#This Row],[Distribution]]="Normal",_xlfn.NORM.INV(W41,Table2[[#This Row],[Base case]],Table2[[#This Row],[Sample variance]]),_xlfn.LOGNORM.INV(W41,LN(Table2[[#This Row],[Base case]]),Table2[[#This Row],[Sample variance]]))))))</f>
        <v>4.9429567913599444</v>
      </c>
      <c r="U41" s="47" t="str">
        <f>"i_"&amp;Table2[[#This Row],[Parameter name]]</f>
        <v>i_Adv_Surg</v>
      </c>
      <c r="V41" s="47">
        <f>IF($Z$6=FALSE,Table2[[#This Row],[Base case]],Table2[[#This Row],[Sampled value]])</f>
        <v>5.49</v>
      </c>
      <c r="W41" s="14">
        <v>0.1369585394859314</v>
      </c>
    </row>
    <row r="42" spans="1:23" ht="16.5" x14ac:dyDescent="0.3">
      <c r="C42" s="1">
        <f t="shared" si="5"/>
        <v>36</v>
      </c>
      <c r="D42" s="38" t="s">
        <v>237</v>
      </c>
      <c r="E42" s="1" t="s">
        <v>23</v>
      </c>
      <c r="F42" s="38" t="s">
        <v>194</v>
      </c>
      <c r="G42" s="1">
        <v>14</v>
      </c>
      <c r="H42" s="47"/>
      <c r="I42" s="47"/>
      <c r="J42" s="47"/>
      <c r="K42" s="47" t="str">
        <f>MID(Table2[[#This Row],[Page]],1,3)&amp;"_"&amp;MID(Table2[[#This Row],[Parameter]],1,4)</f>
        <v xml:space="preserve">Adv_SSI </v>
      </c>
      <c r="L42" s="47">
        <f>'Adverse events'!F14</f>
        <v>90</v>
      </c>
      <c r="M42" s="47" t="str">
        <f>IF(Parameters!$H42&lt;1,"",'Adverse events'!M14)</f>
        <v/>
      </c>
      <c r="N42" s="47" t="str">
        <f>IF(Parameters!$I42&lt;1,"",'Adverse events'!N14)</f>
        <v/>
      </c>
      <c r="O42" s="47" t="str">
        <f>IF(Parameters!$J42&lt;1,"",'Adverse events'!O14)</f>
        <v/>
      </c>
      <c r="P42"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1E-4</v>
      </c>
      <c r="Q42" s="1" t="s">
        <v>209</v>
      </c>
      <c r="R42" s="1">
        <v>1</v>
      </c>
      <c r="S42" s="1">
        <v>365</v>
      </c>
      <c r="T42" s="47">
        <f>IF(Table2[[#This Row],[Distribution]]="Linked",100-T41,IF(Table2[[#This Row],[Distribution]]="None",Table2[[#This Row],[Base case]],MIN(Table2[[#This Row],[Max]],MAX(Table2[[#This Row],[Min]],IF(Table2[[#This Row],[Distribution]]="Normal",_xlfn.NORM.INV(W42,Table2[[#This Row],[Base case]],Table2[[#This Row],[Sample variance]]),_xlfn.LOGNORM.INV(W42,LN(Table2[[#This Row],[Base case]]),Table2[[#This Row],[Sample variance]]))))))</f>
        <v>89.999970236207858</v>
      </c>
      <c r="U42" s="47" t="str">
        <f>"i_"&amp;Table2[[#This Row],[Parameter name]]</f>
        <v xml:space="preserve">i_Adv_SSI </v>
      </c>
      <c r="V42" s="47">
        <f>IF($Z$6=FALSE,Table2[[#This Row],[Base case]],Table2[[#This Row],[Sampled value]])</f>
        <v>90</v>
      </c>
      <c r="W42" s="14">
        <v>0.38298976421356201</v>
      </c>
    </row>
    <row r="43" spans="1:23" ht="16.5" x14ac:dyDescent="0.3">
      <c r="C43" s="1">
        <f t="shared" si="5"/>
        <v>37</v>
      </c>
      <c r="D43" s="1" t="s">
        <v>238</v>
      </c>
      <c r="E43" s="1" t="s">
        <v>23</v>
      </c>
      <c r="F43" s="38" t="s">
        <v>194</v>
      </c>
      <c r="G43" s="1">
        <v>15</v>
      </c>
      <c r="H43" s="47" t="s">
        <v>203</v>
      </c>
      <c r="I43" s="47"/>
      <c r="J43" s="47"/>
      <c r="K43" s="47" t="str">
        <f>MID(Table2[[#This Row],[Page]],1,3)&amp;"_"&amp;MID(Table2[[#This Row],[Parameter]],1,4)</f>
        <v>Adv_DSWI</v>
      </c>
      <c r="L43" s="47">
        <f>'Adverse events'!F15</f>
        <v>40.75</v>
      </c>
      <c r="M43" s="47">
        <f>IF(Parameters!$H43&lt;1,"",'Adverse events'!H15)</f>
        <v>2.6416175089486011</v>
      </c>
      <c r="N43" s="47" t="str">
        <f>IF(Parameters!$I43&lt;1,"",'Adverse events'!N15)</f>
        <v/>
      </c>
      <c r="O43" s="47" t="str">
        <f>IF(Parameters!$J43&lt;1,"",'Adverse events'!O15)</f>
        <v/>
      </c>
      <c r="P43"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2.6416175089486011</v>
      </c>
      <c r="Q43" s="1" t="s">
        <v>209</v>
      </c>
      <c r="R43" s="1">
        <v>0</v>
      </c>
      <c r="S43" s="1">
        <v>100</v>
      </c>
      <c r="T43" s="47">
        <f>IF(Table2[[#This Row],[Distribution]]="Linked",100-T42,IF(Table2[[#This Row],[Distribution]]="None",Table2[[#This Row],[Base case]],MIN(Table2[[#This Row],[Max]],MAX(Table2[[#This Row],[Min]],IF(Table2[[#This Row],[Distribution]]="Normal",_xlfn.NORM.INV(W43,Table2[[#This Row],[Base case]],Table2[[#This Row],[Sample variance]]),_xlfn.LOGNORM.INV(W43,LN(Table2[[#This Row],[Base case]]),Table2[[#This Row],[Sample variance]]))))))</f>
        <v>43.481353173861628</v>
      </c>
      <c r="U43" s="47" t="str">
        <f>"i_"&amp;Table2[[#This Row],[Parameter name]]</f>
        <v>i_Adv_DSWI</v>
      </c>
      <c r="V43" s="47">
        <f>IF($Z$6=FALSE,Table2[[#This Row],[Base case]],Table2[[#This Row],[Sampled value]])</f>
        <v>40.75</v>
      </c>
      <c r="W43" s="14">
        <v>0.84942489862442017</v>
      </c>
    </row>
    <row r="44" spans="1:23" ht="16.5" x14ac:dyDescent="0.3">
      <c r="C44" s="1">
        <f t="shared" si="5"/>
        <v>38</v>
      </c>
      <c r="D44" s="38" t="s">
        <v>239</v>
      </c>
      <c r="E44" s="1" t="s">
        <v>23</v>
      </c>
      <c r="F44" s="38" t="s">
        <v>194</v>
      </c>
      <c r="G44" s="1">
        <v>18</v>
      </c>
      <c r="H44" s="47"/>
      <c r="I44" s="47"/>
      <c r="J44" s="47"/>
      <c r="K44" s="47" t="str">
        <f>MID(Table2[[#This Row],[Page]],1,3)&amp;"_"&amp;MID(Table2[[#This Row],[Parameter]],1,4)</f>
        <v>Adv_Fals</v>
      </c>
      <c r="L44" s="47">
        <f>'Adverse events'!F18</f>
        <v>97.9</v>
      </c>
      <c r="M44" s="47" t="str">
        <f>IF(Parameters!$H44&lt;1,"",'Adverse events'!M18)</f>
        <v/>
      </c>
      <c r="N44" s="47" t="str">
        <f>IF(Parameters!$I44&lt;1,"",'Adverse events'!N18)</f>
        <v/>
      </c>
      <c r="O44" s="47" t="str">
        <f>IF(Parameters!$J44&lt;1,"",'Adverse events'!O18)</f>
        <v/>
      </c>
      <c r="P44" s="47">
        <f>SQRT((1/L46)*(Table2[[#This Row],[Base case]]/L46)*(1-(Table2[[#This Row],[Base case]]/L46)))*100</f>
        <v>1.4338409953687303</v>
      </c>
      <c r="Q44" s="1" t="s">
        <v>209</v>
      </c>
      <c r="R44" s="1">
        <v>0</v>
      </c>
      <c r="S44" s="1">
        <v>1000</v>
      </c>
      <c r="T44" s="47">
        <f>IF(Table2[[#This Row],[Distribution]]="Linked",100-T43,IF(Table2[[#This Row],[Distribution]]="None",Table2[[#This Row],[Base case]],MIN(Table2[[#This Row],[Max]],MAX(Table2[[#This Row],[Min]],IF(Table2[[#This Row],[Distribution]]="Normal",_xlfn.NORM.INV(W44,Table2[[#This Row],[Base case]],Table2[[#This Row],[Sample variance]]),_xlfn.LOGNORM.INV(W44,LN(Table2[[#This Row],[Base case]]),Table2[[#This Row],[Sample variance]]))))))</f>
        <v>97.038748364097046</v>
      </c>
      <c r="U44" s="47" t="str">
        <f>"i_"&amp;Table2[[#This Row],[Parameter name]]</f>
        <v>i_Adv_Fals</v>
      </c>
      <c r="V44" s="47">
        <f>IF($Z$6=FALSE,Table2[[#This Row],[Base case]],Table2[[#This Row],[Sampled value]])</f>
        <v>97.9</v>
      </c>
      <c r="W44" s="14">
        <v>0.2740330696105957</v>
      </c>
    </row>
    <row r="45" spans="1:23" ht="16.5" x14ac:dyDescent="0.3">
      <c r="C45" s="1">
        <f t="shared" si="5"/>
        <v>39</v>
      </c>
      <c r="D45" s="11" t="s">
        <v>240</v>
      </c>
      <c r="E45" s="1" t="s">
        <v>23</v>
      </c>
      <c r="F45" s="38" t="s">
        <v>194</v>
      </c>
      <c r="G45" s="1">
        <v>19</v>
      </c>
      <c r="H45" s="47"/>
      <c r="I45" s="47"/>
      <c r="J45" s="47"/>
      <c r="K45" s="47" t="str">
        <f>MID(Table2[[#This Row],[Page]],1,3)&amp;"_"&amp;MID(Table2[[#This Row],[Parameter]],1,4)</f>
        <v>Adv_Lead</v>
      </c>
      <c r="L45" s="47">
        <f>'Adverse events'!F19</f>
        <v>40.9</v>
      </c>
      <c r="M45" s="47" t="str">
        <f>IF(Parameters!$H45&lt;1,"",'Adverse events'!M19)</f>
        <v/>
      </c>
      <c r="N45" s="47" t="str">
        <f>IF(Parameters!$I45&lt;1,"",'Adverse events'!N19)</f>
        <v/>
      </c>
      <c r="O45" s="47" t="str">
        <f>IF(Parameters!$J45&lt;1,"",'Adverse events'!O19)</f>
        <v/>
      </c>
      <c r="P45" s="47">
        <f>SQRT((1/L46)*(Table2[[#This Row],[Base case]]/L46)*(1-(Table2[[#This Row],[Base case]]/L46)))*100</f>
        <v>4.9164926522878076</v>
      </c>
      <c r="Q45" s="1" t="s">
        <v>209</v>
      </c>
      <c r="R45" s="1">
        <v>0</v>
      </c>
      <c r="S45" s="1">
        <v>1000</v>
      </c>
      <c r="T45" s="47">
        <f>IF(Table2[[#This Row],[Distribution]]="Linked",100-T44,IF(Table2[[#This Row],[Distribution]]="None",Table2[[#This Row],[Base case]],MIN(Table2[[#This Row],[Max]],MAX(Table2[[#This Row],[Min]],IF(Table2[[#This Row],[Distribution]]="Normal",_xlfn.NORM.INV(W45,Table2[[#This Row],[Base case]],Table2[[#This Row],[Sample variance]]),_xlfn.LOGNORM.INV(W45,LN(Table2[[#This Row],[Base case]]),Table2[[#This Row],[Sample variance]]))))))</f>
        <v>37.036208926224859</v>
      </c>
      <c r="U45" s="47" t="str">
        <f>"i_"&amp;Table2[[#This Row],[Parameter name]]</f>
        <v>i_Adv_Lead</v>
      </c>
      <c r="V45" s="47">
        <f>IF($Z$6=FALSE,Table2[[#This Row],[Base case]],Table2[[#This Row],[Sampled value]])</f>
        <v>40.9</v>
      </c>
      <c r="W45" s="14">
        <v>0.21596783399581909</v>
      </c>
    </row>
    <row r="46" spans="1:23" ht="16.5" x14ac:dyDescent="0.3">
      <c r="C46" s="1">
        <f t="shared" si="5"/>
        <v>40</v>
      </c>
      <c r="D46" s="11" t="s">
        <v>241</v>
      </c>
      <c r="E46" s="1" t="s">
        <v>23</v>
      </c>
      <c r="F46" s="38" t="s">
        <v>194</v>
      </c>
      <c r="G46" s="1">
        <v>20</v>
      </c>
      <c r="H46" s="47"/>
      <c r="I46" s="48"/>
      <c r="J46" s="47"/>
      <c r="K46" s="47" t="str">
        <f>MID(Table2[[#This Row],[Page]],1,3)&amp;"_"&amp;MID(Table2[[#This Row],[Parameter]],1,4)</f>
        <v>Adv_Alar</v>
      </c>
      <c r="L46" s="47">
        <f>'Adverse events'!F20</f>
        <v>100</v>
      </c>
      <c r="M46" s="47" t="str">
        <f>IF(Parameters!$H46&lt;1,"",'Adverse events'!M20)</f>
        <v/>
      </c>
      <c r="N46" s="47" t="str">
        <f>IF(Parameters!$I46&lt;1,"",'Adverse events'!N20)</f>
        <v/>
      </c>
      <c r="O46" s="47" t="str">
        <f>IF(Parameters!$J46&lt;1,"",'Adverse events'!O20)</f>
        <v/>
      </c>
      <c r="P46"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1E-4</v>
      </c>
      <c r="Q46" s="1" t="s">
        <v>209</v>
      </c>
      <c r="R46" s="1">
        <v>0</v>
      </c>
      <c r="S46" s="1">
        <v>1000</v>
      </c>
      <c r="T46" s="47">
        <f>IF(Table2[[#This Row],[Distribution]]="Linked",100-T45,IF(Table2[[#This Row],[Distribution]]="None",Table2[[#This Row],[Base case]],MIN(Table2[[#This Row],[Max]],MAX(Table2[[#This Row],[Min]],IF(Table2[[#This Row],[Distribution]]="Normal",_xlfn.NORM.INV(W46,Table2[[#This Row],[Base case]],Table2[[#This Row],[Sample variance]]),_xlfn.LOGNORM.INV(W46,LN(Table2[[#This Row],[Base case]]),Table2[[#This Row],[Sample variance]]))))))</f>
        <v>100.00004687776425</v>
      </c>
      <c r="U46" s="47" t="str">
        <f>"i_"&amp;Table2[[#This Row],[Parameter name]]</f>
        <v>i_Adv_Alar</v>
      </c>
      <c r="V46" s="47">
        <f>IF($Z$6=FALSE,Table2[[#This Row],[Base case]],Table2[[#This Row],[Sampled value]])</f>
        <v>100</v>
      </c>
      <c r="W46" s="14">
        <v>0.68038570880889893</v>
      </c>
    </row>
    <row r="47" spans="1:23" ht="16.5" x14ac:dyDescent="0.3">
      <c r="C47" s="1">
        <f t="shared" si="5"/>
        <v>41</v>
      </c>
      <c r="D47" s="11" t="s">
        <v>231</v>
      </c>
      <c r="E47" s="1" t="s">
        <v>47</v>
      </c>
      <c r="F47" s="38" t="s">
        <v>194</v>
      </c>
      <c r="G47" s="1">
        <v>11</v>
      </c>
      <c r="H47" s="47"/>
      <c r="I47" s="47"/>
      <c r="J47" s="47"/>
      <c r="K47" s="47" t="str">
        <f>MID(Table2[[#This Row],[Page]],1,3)&amp;"_"&amp;MID(Table2[[#This Row],[Parameter]],1,4)</f>
        <v>Ris_Age,</v>
      </c>
      <c r="L47" s="47" t="str">
        <f>'Risk factors'!F11</f>
        <v>Life tables</v>
      </c>
      <c r="M47" s="47" t="str">
        <f>IF(Parameters!$H47&lt;1,"",'Risk factors'!M11)</f>
        <v/>
      </c>
      <c r="N47" s="47" t="str">
        <f>IF(Parameters!$I47&lt;1,"",'Risk factors'!N11)</f>
        <v/>
      </c>
      <c r="O47" s="47" t="str">
        <f>IF(Parameters!$J47&lt;1,"",'Risk factors'!O11)</f>
        <v/>
      </c>
      <c r="P47" s="47"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47" s="1" t="s">
        <v>210</v>
      </c>
      <c r="T47" s="47" t="str">
        <f>IF(Table2[[#This Row],[Distribution]]="Linked",100-T46,IF(Table2[[#This Row],[Distribution]]="None",Table2[[#This Row],[Base case]],MIN(Table2[[#This Row],[Max]],MAX(Table2[[#This Row],[Min]],IF(Table2[[#This Row],[Distribution]]="Normal",_xlfn.NORM.INV(W47,Table2[[#This Row],[Base case]],Table2[[#This Row],[Sample variance]]),_xlfn.LOGNORM.INV(W47,LN(Table2[[#This Row],[Base case]]),Table2[[#This Row],[Sample variance]]))))))</f>
        <v>Life tables</v>
      </c>
      <c r="U47" s="47" t="str">
        <f>"i_"&amp;Table2[[#This Row],[Parameter name]]</f>
        <v>i_Ris_Age,</v>
      </c>
      <c r="V47" s="47" t="str">
        <f>IF($Z$6=FALSE,Table2[[#This Row],[Base case]],Table2[[#This Row],[Sampled value]])</f>
        <v>Life tables</v>
      </c>
      <c r="W47" s="14">
        <v>0.60396558046340942</v>
      </c>
    </row>
    <row r="48" spans="1:23" ht="16.5" x14ac:dyDescent="0.3">
      <c r="C48" s="1">
        <f t="shared" si="5"/>
        <v>42</v>
      </c>
      <c r="D48" s="11" t="s">
        <v>232</v>
      </c>
      <c r="E48" s="1" t="s">
        <v>47</v>
      </c>
      <c r="F48" s="38" t="s">
        <v>194</v>
      </c>
      <c r="G48" s="1">
        <v>14</v>
      </c>
      <c r="H48" s="47"/>
      <c r="I48" s="47"/>
      <c r="J48" s="47"/>
      <c r="K48" s="47" t="str">
        <f>MID(Table2[[#This Row],[Page]],1,3)&amp;"_"&amp;MID(Table2[[#This Row],[Parameter]],1,4)</f>
        <v>Ris_Gend</v>
      </c>
      <c r="L48" s="47" t="str">
        <f>'Risk factors'!F14</f>
        <v>Life tables</v>
      </c>
      <c r="M48" s="47" t="str">
        <f>IF(Parameters!$H48&lt;1,"",'Risk factors'!M14)</f>
        <v/>
      </c>
      <c r="N48" s="47" t="str">
        <f>IF(Parameters!$I48&lt;1,"",'Risk factors'!N14)</f>
        <v/>
      </c>
      <c r="O48" s="47" t="str">
        <f>IF(Parameters!$J48&lt;1,"",'Risk factors'!O14)</f>
        <v/>
      </c>
      <c r="P48" s="47"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48" s="1" t="s">
        <v>210</v>
      </c>
      <c r="T48" s="47" t="str">
        <f>IF(Table2[[#This Row],[Distribution]]="Linked",100-T47,IF(Table2[[#This Row],[Distribution]]="None",Table2[[#This Row],[Base case]],MIN(Table2[[#This Row],[Max]],MAX(Table2[[#This Row],[Min]],IF(Table2[[#This Row],[Distribution]]="Normal",_xlfn.NORM.INV(W48,Table2[[#This Row],[Base case]],Table2[[#This Row],[Sample variance]]),_xlfn.LOGNORM.INV(W48,LN(Table2[[#This Row],[Base case]]),Table2[[#This Row],[Sample variance]]))))))</f>
        <v>Life tables</v>
      </c>
      <c r="U48" s="47" t="str">
        <f>"i_"&amp;Table2[[#This Row],[Parameter name]]</f>
        <v>i_Ris_Gend</v>
      </c>
      <c r="V48" s="47" t="str">
        <f>IF($Z$6=FALSE,Table2[[#This Row],[Base case]],Table2[[#This Row],[Sampled value]])</f>
        <v>Life tables</v>
      </c>
      <c r="W48" s="14">
        <v>0.32022547721862793</v>
      </c>
    </row>
    <row r="49" spans="3:23" ht="16.5" x14ac:dyDescent="0.3">
      <c r="C49" s="1">
        <f t="shared" si="5"/>
        <v>43</v>
      </c>
      <c r="D49" s="1" t="s">
        <v>233</v>
      </c>
      <c r="E49" s="1" t="s">
        <v>47</v>
      </c>
      <c r="F49" s="38" t="s">
        <v>194</v>
      </c>
      <c r="G49" s="1">
        <v>17</v>
      </c>
      <c r="H49" s="47"/>
      <c r="I49" s="47" t="s">
        <v>204</v>
      </c>
      <c r="J49" s="47" t="s">
        <v>205</v>
      </c>
      <c r="K49" s="47" t="str">
        <f>MID(Table2[[#This Row],[Page]],1,3)&amp;"_"&amp;MID(Table2[[#This Row],[Parameter]],1,4)</f>
        <v>Ris_Leng</v>
      </c>
      <c r="L49" s="47">
        <f>'Risk factors'!F17</f>
        <v>4</v>
      </c>
      <c r="M49" s="47" t="str">
        <f>IF(Parameters!$H49&lt;1,"",'Risk factors'!M17)</f>
        <v/>
      </c>
      <c r="N49" s="47">
        <f>IF(Parameters!$I49&lt;1,"",'Risk factors'!I17)</f>
        <v>2</v>
      </c>
      <c r="O49" s="47">
        <f>IF(Parameters!$J49&lt;1,"",'Risk factors'!J17)</f>
        <v>22</v>
      </c>
      <c r="P49"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5.1020408163265305</v>
      </c>
      <c r="Q49" s="1" t="s">
        <v>209</v>
      </c>
      <c r="R49" s="1">
        <f>MAX(0,Table2[[#This Row],[95 min]]-ABS(Table2[[#This Row],[Base case]]/10))</f>
        <v>1.6</v>
      </c>
      <c r="S49" s="1">
        <f>MIN(100000,Table2[[#This Row],[95 max]]+ABS(Table2[[#This Row],[Base case]]/10))</f>
        <v>22.4</v>
      </c>
      <c r="T49" s="47">
        <f>IF(Table2[[#This Row],[Distribution]]="Linked",100-T48,IF(Table2[[#This Row],[Distribution]]="None",Table2[[#This Row],[Base case]],MIN(Table2[[#This Row],[Max]],MAX(Table2[[#This Row],[Min]],IF(Table2[[#This Row],[Distribution]]="Normal",_xlfn.NORM.INV(W49,Table2[[#This Row],[Base case]],Table2[[#This Row],[Sample variance]]),_xlfn.LOGNORM.INV(W49,LN(Table2[[#This Row],[Base case]]),Table2[[#This Row],[Sample variance]]))))))</f>
        <v>2.6802857495619401</v>
      </c>
      <c r="U49" s="47" t="str">
        <f>"i_"&amp;Table2[[#This Row],[Parameter name]]</f>
        <v>i_Ris_Leng</v>
      </c>
      <c r="V49" s="47">
        <f>IF($Z$6=FALSE,Table2[[#This Row],[Base case]],Table2[[#This Row],[Sampled value]])</f>
        <v>4</v>
      </c>
      <c r="W49" s="14">
        <v>0.39794725179672241</v>
      </c>
    </row>
    <row r="50" spans="3:23" ht="16.5" x14ac:dyDescent="0.3">
      <c r="C50" s="1">
        <f t="shared" ref="C50:C61" si="6">C49+1</f>
        <v>44</v>
      </c>
      <c r="D50" s="11" t="s">
        <v>242</v>
      </c>
      <c r="E50" s="1" t="s">
        <v>47</v>
      </c>
      <c r="F50" s="38" t="s">
        <v>194</v>
      </c>
      <c r="G50" s="1">
        <v>18</v>
      </c>
      <c r="H50" s="47"/>
      <c r="I50" s="47" t="s">
        <v>204</v>
      </c>
      <c r="J50" s="47" t="s">
        <v>205</v>
      </c>
      <c r="K50" s="47" t="str">
        <f>MID(Table2[[#This Row],[Page]],1,3)&amp;"_"&amp;MID(Table2[[#This Row],[Parameter]],1,4)</f>
        <v>Ris_DSWI</v>
      </c>
      <c r="L50" s="47">
        <f>'Risk factors'!F18</f>
        <v>6.45</v>
      </c>
      <c r="M50" s="47" t="str">
        <f>IF(Parameters!$H50&lt;1,"",'Risk factors'!M18)</f>
        <v/>
      </c>
      <c r="N50" s="47">
        <f>IF(Parameters!$I50&lt;1,"",'Risk factors'!I18)</f>
        <v>2.92</v>
      </c>
      <c r="O50" s="47">
        <f>IF(Parameters!$J50&lt;1,"",'Risk factors'!J18)</f>
        <v>14.25</v>
      </c>
      <c r="P50"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0.40438094143736458</v>
      </c>
      <c r="Q50" s="1" t="s">
        <v>230</v>
      </c>
      <c r="R50" s="1">
        <f>MAX(0,Table2[[#This Row],[95 min]]-ABS(Table2[[#This Row],[Base case]]/10))</f>
        <v>2.2749999999999999</v>
      </c>
      <c r="S50" s="1">
        <f>MIN(100000,Table2[[#This Row],[95 max]]+ABS(Table2[[#This Row],[Base case]]/10))</f>
        <v>14.895</v>
      </c>
      <c r="T50" s="47">
        <f>IF(Table2[[#This Row],[Distribution]]="Linked",100-T49,IF(Table2[[#This Row],[Distribution]]="None",Table2[[#This Row],[Base case]],MIN(Table2[[#This Row],[Max]],MAX(Table2[[#This Row],[Min]],IF(Table2[[#This Row],[Distribution]]="Normal",_xlfn.NORM.INV(W50,Table2[[#This Row],[Base case]],Table2[[#This Row],[Sample variance]]),_xlfn.LOGNORM.INV(W50,LN(Table2[[#This Row],[Base case]]),Table2[[#This Row],[Sample variance]]))))))</f>
        <v>5.9614252442092432</v>
      </c>
      <c r="U50" s="47" t="str">
        <f>"i_"&amp;Table2[[#This Row],[Parameter name]]</f>
        <v>i_Ris_DSWI</v>
      </c>
      <c r="V50" s="47">
        <f>IF($Z$6=FALSE,Table2[[#This Row],[Base case]],Table2[[#This Row],[Sampled value]])</f>
        <v>6.45</v>
      </c>
      <c r="W50" s="14">
        <v>0.42277753353118896</v>
      </c>
    </row>
    <row r="51" spans="3:23" ht="16.5" x14ac:dyDescent="0.3">
      <c r="C51" s="1">
        <f t="shared" si="6"/>
        <v>45</v>
      </c>
      <c r="D51" s="11" t="s">
        <v>243</v>
      </c>
      <c r="E51" s="1" t="s">
        <v>47</v>
      </c>
      <c r="F51" s="38" t="s">
        <v>194</v>
      </c>
      <c r="G51" s="1">
        <v>19</v>
      </c>
      <c r="H51" s="47"/>
      <c r="I51" s="47" t="s">
        <v>204</v>
      </c>
      <c r="J51" s="47" t="s">
        <v>205</v>
      </c>
      <c r="K51" s="47" t="str">
        <f>MID(Table2[[#This Row],[Page]],1,3)&amp;"_"&amp;MID(Table2[[#This Row],[Parameter]],1,4)</f>
        <v>Ris_Prol</v>
      </c>
      <c r="L51" s="47">
        <f>'Risk factors'!F19</f>
        <v>1.73</v>
      </c>
      <c r="M51" s="47" t="str">
        <f>IF(Parameters!$H51&lt;1,"",'Risk factors'!M19)</f>
        <v/>
      </c>
      <c r="N51" s="47">
        <f>IF(Parameters!$I51&lt;1,"",'Risk factors'!I19)</f>
        <v>1.42</v>
      </c>
      <c r="O51" s="47">
        <f>IF(Parameters!$J51&lt;1,"",'Risk factors'!J19)</f>
        <v>2.12</v>
      </c>
      <c r="P51"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0.102234494150702</v>
      </c>
      <c r="Q51" s="1" t="s">
        <v>230</v>
      </c>
      <c r="R51" s="1">
        <f>MAX(0,Table2[[#This Row],[95 min]]-ABS(Table2[[#This Row],[Base case]]/10))</f>
        <v>1.2469999999999999</v>
      </c>
      <c r="S51" s="1">
        <f>MIN(100000,Table2[[#This Row],[95 max]]+ABS(Table2[[#This Row],[Base case]]/10))</f>
        <v>2.2930000000000001</v>
      </c>
      <c r="T51" s="47">
        <f>IF(Table2[[#This Row],[Distribution]]="Linked",100-T50,IF(Table2[[#This Row],[Distribution]]="None",Table2[[#This Row],[Base case]],MIN(Table2[[#This Row],[Max]],MAX(Table2[[#This Row],[Min]],IF(Table2[[#This Row],[Distribution]]="Normal",_xlfn.NORM.INV(W51,Table2[[#This Row],[Base case]],Table2[[#This Row],[Sample variance]]),_xlfn.LOGNORM.INV(W51,LN(Table2[[#This Row],[Base case]]),Table2[[#This Row],[Sample variance]]))))))</f>
        <v>1.860644663153364</v>
      </c>
      <c r="U51" s="47" t="str">
        <f>"i_"&amp;Table2[[#This Row],[Parameter name]]</f>
        <v>i_Ris_Prol</v>
      </c>
      <c r="V51" s="47">
        <f>IF($Z$6=FALSE,Table2[[#This Row],[Base case]],Table2[[#This Row],[Sampled value]])</f>
        <v>1.73</v>
      </c>
      <c r="W51" s="14">
        <v>0.76179987192153931</v>
      </c>
    </row>
    <row r="52" spans="3:23" ht="16.5" x14ac:dyDescent="0.3">
      <c r="C52" s="1">
        <f t="shared" si="6"/>
        <v>46</v>
      </c>
      <c r="D52" s="11" t="s">
        <v>244</v>
      </c>
      <c r="E52" s="1" t="s">
        <v>47</v>
      </c>
      <c r="F52" s="38" t="s">
        <v>194</v>
      </c>
      <c r="G52" s="1">
        <v>20</v>
      </c>
      <c r="H52" s="47"/>
      <c r="I52" s="47" t="s">
        <v>204</v>
      </c>
      <c r="J52" s="47" t="s">
        <v>205</v>
      </c>
      <c r="K52" s="47" t="str">
        <f>MID(Table2[[#This Row],[Page]],1,3)&amp;"_"&amp;MID(Table2[[#This Row],[Parameter]],1,4)</f>
        <v>Ris_Hosp</v>
      </c>
      <c r="L52" s="47">
        <f>'Risk factors'!F20</f>
        <v>1.64</v>
      </c>
      <c r="M52" s="47" t="str">
        <f>IF(Parameters!$H52&lt;1,"",'Risk factors'!M20)</f>
        <v/>
      </c>
      <c r="N52" s="47">
        <f>IF(Parameters!$I52&lt;1,"",'Risk factors'!I20)</f>
        <v>1.1499999999999999</v>
      </c>
      <c r="O52" s="47">
        <f>IF(Parameters!$J52&lt;1,"",'Risk factors'!J20)</f>
        <v>2.35</v>
      </c>
      <c r="P52"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0.18230953718900739</v>
      </c>
      <c r="Q52" s="1" t="s">
        <v>230</v>
      </c>
      <c r="R52" s="1">
        <f>MAX(0,Table2[[#This Row],[95 min]]-ABS(Table2[[#This Row],[Base case]]/10))</f>
        <v>0.98599999999999999</v>
      </c>
      <c r="S52" s="1">
        <f>MIN(100000,Table2[[#This Row],[95 max]]+ABS(Table2[[#This Row],[Base case]]/10))</f>
        <v>2.5140000000000002</v>
      </c>
      <c r="T52" s="47">
        <f>IF(Table2[[#This Row],[Distribution]]="Linked",100-T51,IF(Table2[[#This Row],[Distribution]]="None",Table2[[#This Row],[Base case]],MIN(Table2[[#This Row],[Max]],MAX(Table2[[#This Row],[Min]],IF(Table2[[#This Row],[Distribution]]="Normal",_xlfn.NORM.INV(W52,Table2[[#This Row],[Base case]],Table2[[#This Row],[Sample variance]]),_xlfn.LOGNORM.INV(W52,LN(Table2[[#This Row],[Base case]]),Table2[[#This Row],[Sample variance]]))))))</f>
        <v>2.1831459695312319</v>
      </c>
      <c r="U52" s="47" t="str">
        <f>"i_"&amp;Table2[[#This Row],[Parameter name]]</f>
        <v>i_Ris_Hosp</v>
      </c>
      <c r="V52" s="47">
        <f>IF($Z$6=FALSE,Table2[[#This Row],[Base case]],Table2[[#This Row],[Sampled value]])</f>
        <v>1.64</v>
      </c>
      <c r="W52" s="14">
        <v>0.94169330596923828</v>
      </c>
    </row>
    <row r="53" spans="3:23" ht="17.25" x14ac:dyDescent="0.3">
      <c r="C53" s="1">
        <f t="shared" si="6"/>
        <v>47</v>
      </c>
      <c r="D53" s="11" t="s">
        <v>245</v>
      </c>
      <c r="E53" s="1" t="s">
        <v>47</v>
      </c>
      <c r="F53" s="38" t="s">
        <v>194</v>
      </c>
      <c r="G53" s="1">
        <v>21</v>
      </c>
      <c r="H53" s="47"/>
      <c r="I53" s="47" t="s">
        <v>204</v>
      </c>
      <c r="J53" s="47" t="s">
        <v>205</v>
      </c>
      <c r="K53" s="47" t="str">
        <f>MID(Table2[[#This Row],[Page]],1,3)&amp;"_"&amp;MID(Table2[[#This Row],[Parameter]],1,4)</f>
        <v>Ris_Risk</v>
      </c>
      <c r="L53" s="47" t="str">
        <f>'Risk factors'!F21</f>
        <v>Morbidly obese</v>
      </c>
      <c r="M53" s="47" t="str">
        <f>IF(Parameters!$H53&lt;1,"",'Risk factors'!M21)</f>
        <v/>
      </c>
      <c r="N53" s="47">
        <f>IF(Parameters!$I53&lt;1,"",'Risk factors'!I21)</f>
        <v>0</v>
      </c>
      <c r="O53" s="47">
        <f>IF(Parameters!$J53&lt;1,"",'Risk factors'!J21)</f>
        <v>0</v>
      </c>
      <c r="P53" s="47" t="str">
        <f>IF(Table2[[#This Row],[Distribution]]="None","",IF(AND(LEN(Table2[[#This Row],[95 min]])&gt;0,LEN(Table2[[#This Row],[95 max]])&gt;0),IF(Table2[[#This Row],[Distribution]]="Normal",
((Table2[[#This Row],[95 max]]-Table2[[#This Row],[95 min]])/3.92),((LN(Table2[[#This Row],[95 max]])-LN(Table2[[#This Row],[95 min]]))/3.92)),IF(LEN(Table2[[#This Row],[Variance]])&gt;0,Table2[[#This Row],[Variance]],0.0001)))</f>
        <v/>
      </c>
      <c r="Q53" s="1" t="s">
        <v>210</v>
      </c>
      <c r="R53" s="1">
        <f>MAX(0,Table2[[#This Row],[95 min]]-0.2)</f>
        <v>0</v>
      </c>
      <c r="S53" s="1">
        <f>MIN(20,Table2[[#This Row],[95 max]]+0.2)</f>
        <v>0.2</v>
      </c>
      <c r="T53" s="47" t="str">
        <f>IF(Table2[[#This Row],[Distribution]]="Linked",100-T52,IF(Table2[[#This Row],[Distribution]]="None",Table2[[#This Row],[Base case]],MIN(Table2[[#This Row],[Max]],MAX(Table2[[#This Row],[Min]],IF(Table2[[#This Row],[Distribution]]="Normal",_xlfn.NORM.INV(W53,Table2[[#This Row],[Base case]],Table2[[#This Row],[Sample variance]]),_xlfn.LOGNORM.INV(W53,LN(Table2[[#This Row],[Base case]]),Table2[[#This Row],[Sample variance]]))))))</f>
        <v>Morbidly obese</v>
      </c>
      <c r="U53" s="47" t="str">
        <f>"i_"&amp;Table2[[#This Row],[Parameter name]]</f>
        <v>i_Ris_Risk</v>
      </c>
      <c r="V53" s="47" t="str">
        <f>IF($Z$6=FALSE,Table2[[#This Row],[Base case]],Table2[[#This Row],[Sampled value]])</f>
        <v>Morbidly obese</v>
      </c>
      <c r="W53" s="14">
        <v>0.49863165616989136</v>
      </c>
    </row>
    <row r="54" spans="3:23" ht="16.5" x14ac:dyDescent="0.3">
      <c r="C54" s="1">
        <f t="shared" si="6"/>
        <v>48</v>
      </c>
      <c r="D54" s="11" t="s">
        <v>246</v>
      </c>
      <c r="E54" s="1" t="s">
        <v>47</v>
      </c>
      <c r="F54" s="38" t="s">
        <v>194</v>
      </c>
      <c r="G54" s="1">
        <v>24</v>
      </c>
      <c r="H54" s="47"/>
      <c r="I54" s="47" t="s">
        <v>204</v>
      </c>
      <c r="J54" s="47" t="s">
        <v>205</v>
      </c>
      <c r="K54" s="47" t="str">
        <f>MID(Table2[[#This Row],[Page]],1,3)&amp;"_"&amp;MID(Table2[[#This Row],[Parameter]],1,4)</f>
        <v>Ris_Diab</v>
      </c>
      <c r="L54" s="47">
        <f>'Risk factors'!F24</f>
        <v>1.71</v>
      </c>
      <c r="M54" s="47" t="str">
        <f>IF(Parameters!$H54&lt;1,"",'Risk factors'!M24)</f>
        <v/>
      </c>
      <c r="N54" s="47">
        <f>IF(Parameters!$I54&lt;1,"",'Risk factors'!I24)</f>
        <v>1.36</v>
      </c>
      <c r="O54" s="47">
        <f>IF(Parameters!$J54&lt;1,"",'Risk factors'!J24)</f>
        <v>2.16</v>
      </c>
      <c r="P54"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0.20408163265306123</v>
      </c>
      <c r="Q54" s="1" t="s">
        <v>209</v>
      </c>
      <c r="R54" s="1">
        <f>MAX(0,Table2[[#This Row],[95 min]]-ABS(Table2[[#This Row],[Base case]]/10))</f>
        <v>1.1890000000000001</v>
      </c>
      <c r="S54" s="1">
        <f>MIN(100000,Table2[[#This Row],[95 max]]+ABS(Table2[[#This Row],[Base case]]/10))</f>
        <v>2.331</v>
      </c>
      <c r="T54" s="47">
        <f>IF(Table2[[#This Row],[Distribution]]="Linked",100-T53,IF(Table2[[#This Row],[Distribution]]="None",Table2[[#This Row],[Base case]],MIN(Table2[[#This Row],[Max]],MAX(Table2[[#This Row],[Min]],IF(Table2[[#This Row],[Distribution]]="Normal",_xlfn.NORM.INV(W54,Table2[[#This Row],[Base case]],Table2[[#This Row],[Sample variance]]),_xlfn.LOGNORM.INV(W54,LN(Table2[[#This Row],[Base case]]),Table2[[#This Row],[Sample variance]]))))))</f>
        <v>1.6974388015103186</v>
      </c>
      <c r="U54" s="47" t="str">
        <f>"i_"&amp;Table2[[#This Row],[Parameter name]]</f>
        <v>i_Ris_Diab</v>
      </c>
      <c r="V54" s="47">
        <f>IF($Z$6=FALSE,Table2[[#This Row],[Base case]],Table2[[#This Row],[Sampled value]])</f>
        <v>1.71</v>
      </c>
      <c r="W54" s="14">
        <v>0.47546064853668213</v>
      </c>
    </row>
    <row r="55" spans="3:23" ht="16.5" x14ac:dyDescent="0.3">
      <c r="C55" s="1">
        <f t="shared" si="6"/>
        <v>49</v>
      </c>
      <c r="D55" s="11" t="s">
        <v>166</v>
      </c>
      <c r="E55" s="1" t="s">
        <v>24</v>
      </c>
      <c r="F55" s="38" t="s">
        <v>194</v>
      </c>
      <c r="G55" s="1">
        <v>10</v>
      </c>
      <c r="H55" s="47" t="s">
        <v>203</v>
      </c>
      <c r="I55" s="47"/>
      <c r="J55" s="47"/>
      <c r="K55" s="47" t="str">
        <f>MID(Table2[[#This Row],[Page]],1,3)&amp;"_"&amp;MID(Table2[[#This Row],[Parameter]],1,4)</f>
        <v>Cos_CABG</v>
      </c>
      <c r="L55" s="76">
        <f>Costs!F10</f>
        <v>10244.049999999999</v>
      </c>
      <c r="M55" s="47">
        <f>IF(Parameters!$H55&lt;1,"",Costs!H10)</f>
        <v>2663.69</v>
      </c>
      <c r="N55" s="47" t="str">
        <f>IF(Parameters!$I55&lt;1,"",Costs!N10)</f>
        <v/>
      </c>
      <c r="O55" s="47" t="str">
        <f>IF(Parameters!$J55&lt;1,"",Costs!O10)</f>
        <v/>
      </c>
      <c r="P55"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2663.69</v>
      </c>
      <c r="Q55" s="1" t="s">
        <v>209</v>
      </c>
      <c r="R55" s="1">
        <v>0</v>
      </c>
      <c r="S55" s="1">
        <v>50000</v>
      </c>
      <c r="T55" s="47">
        <f>IF(Table2[[#This Row],[Distribution]]="Linked",100-T54,IF(Table2[[#This Row],[Distribution]]="None",Table2[[#This Row],[Base case]],MIN(Table2[[#This Row],[Max]],MAX(Table2[[#This Row],[Min]],IF(Table2[[#This Row],[Distribution]]="Normal",_xlfn.NORM.INV(W55,Table2[[#This Row],[Base case]],Table2[[#This Row],[Sample variance]]),_xlfn.LOGNORM.INV(W55,LN(Table2[[#This Row],[Base case]]),Table2[[#This Row],[Sample variance]]))))))</f>
        <v>12387.871648489701</v>
      </c>
      <c r="U55" s="47" t="str">
        <f>"i_"&amp;Table2[[#This Row],[Parameter name]]</f>
        <v>i_Cos_CABG</v>
      </c>
      <c r="V55" s="47">
        <f>IF($Z$6=FALSE,Table2[[#This Row],[Base case]],Table2[[#This Row],[Sampled value]])</f>
        <v>10244.049999999999</v>
      </c>
      <c r="W55" s="14">
        <v>0.78954154253005981</v>
      </c>
    </row>
    <row r="56" spans="3:23" ht="16.5" x14ac:dyDescent="0.3">
      <c r="C56" s="1">
        <f t="shared" si="6"/>
        <v>50</v>
      </c>
      <c r="D56" s="11" t="s">
        <v>165</v>
      </c>
      <c r="E56" s="1" t="s">
        <v>24</v>
      </c>
      <c r="F56" s="38" t="s">
        <v>194</v>
      </c>
      <c r="G56" s="1">
        <v>11</v>
      </c>
      <c r="H56" s="47"/>
      <c r="I56" s="47" t="s">
        <v>204</v>
      </c>
      <c r="J56" s="47" t="s">
        <v>205</v>
      </c>
      <c r="K56" s="47" t="str">
        <f>MID(Table2[[#This Row],[Page]],1,3)&amp;"_"&amp;MID(Table2[[#This Row],[Parameter]],1,4)</f>
        <v>Cos_Mech</v>
      </c>
      <c r="L56" s="76">
        <f>Costs!F11</f>
        <v>755.75</v>
      </c>
      <c r="M56" s="47" t="str">
        <f>IF(Parameters!$H56&lt;1,"",Costs!M11)</f>
        <v/>
      </c>
      <c r="N56" s="47">
        <f>IF(Parameters!$I56&lt;1,"",Costs!I11)</f>
        <v>210.48</v>
      </c>
      <c r="O56" s="47">
        <f>IF(Parameters!$J56&lt;1,"",Costs!J11)</f>
        <v>906.25</v>
      </c>
      <c r="P56"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177.49234693877551</v>
      </c>
      <c r="Q56" s="1" t="s">
        <v>209</v>
      </c>
      <c r="R56" s="1">
        <f>MAX(0,Table2[[#This Row],[95 min]]-ABS(Table2[[#This Row],[Base case]]/10))</f>
        <v>134.90499999999997</v>
      </c>
      <c r="S56" s="1">
        <f>MIN(100000,Table2[[#This Row],[95 max]]+ABS(Table2[[#This Row],[Base case]]/10))</f>
        <v>981.82500000000005</v>
      </c>
      <c r="T56" s="47">
        <f>IF(Table2[[#This Row],[Distribution]]="Linked",100-T55,IF(Table2[[#This Row],[Distribution]]="None",Table2[[#This Row],[Base case]],MIN(Table2[[#This Row],[Max]],MAX(Table2[[#This Row],[Min]],IF(Table2[[#This Row],[Distribution]]="Normal",_xlfn.NORM.INV(W56,Table2[[#This Row],[Base case]],Table2[[#This Row],[Sample variance]]),_xlfn.LOGNORM.INV(W56,LN(Table2[[#This Row],[Base case]]),Table2[[#This Row],[Sample variance]]))))))</f>
        <v>778.5451594750632</v>
      </c>
      <c r="U56" s="47" t="str">
        <f>"i_"&amp;Table2[[#This Row],[Parameter name]]</f>
        <v>i_Cos_Mech</v>
      </c>
      <c r="V56" s="47">
        <f>IF($Z$6=FALSE,Table2[[#This Row],[Base case]],Table2[[#This Row],[Sampled value]])</f>
        <v>755.75</v>
      </c>
      <c r="W56" s="14">
        <v>0.55109524726867676</v>
      </c>
    </row>
    <row r="57" spans="3:23" ht="16.5" x14ac:dyDescent="0.3">
      <c r="C57" s="1">
        <f t="shared" si="6"/>
        <v>51</v>
      </c>
      <c r="D57" s="11" t="s">
        <v>163</v>
      </c>
      <c r="E57" s="1" t="s">
        <v>24</v>
      </c>
      <c r="F57" s="38" t="s">
        <v>194</v>
      </c>
      <c r="G57" s="1">
        <v>12</v>
      </c>
      <c r="H57" s="47"/>
      <c r="I57" s="47" t="s">
        <v>204</v>
      </c>
      <c r="J57" s="47" t="s">
        <v>205</v>
      </c>
      <c r="K57" s="47" t="str">
        <f>MID(Table2[[#This Row],[Page]],1,3)&amp;"_"&amp;MID(Table2[[#This Row],[Parameter]],1,4)</f>
        <v xml:space="preserve">Cos_ICU </v>
      </c>
      <c r="L57" s="76">
        <f>Costs!F12</f>
        <v>2535.52</v>
      </c>
      <c r="M57" s="47" t="str">
        <f>IF(Parameters!$H57&lt;1,"",Costs!M12)</f>
        <v/>
      </c>
      <c r="N57" s="47">
        <f>IF(Parameters!$I57&lt;1,"",Costs!I12)</f>
        <v>2197.4499999999998</v>
      </c>
      <c r="O57" s="47">
        <f>IF(Parameters!$J57&lt;1,"",Costs!J12)</f>
        <v>3066.62</v>
      </c>
      <c r="P57"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221.72704081632656</v>
      </c>
      <c r="Q57" s="1" t="s">
        <v>209</v>
      </c>
      <c r="R57" s="1">
        <f>MAX(0,Table2[[#This Row],[95 min]]-ABS(Table2[[#This Row],[Base case]]/10))</f>
        <v>1943.8979999999999</v>
      </c>
      <c r="S57" s="1">
        <f>MIN(100000,Table2[[#This Row],[95 max]]+ABS(Table2[[#This Row],[Base case]]/10))</f>
        <v>3320.172</v>
      </c>
      <c r="T57" s="47">
        <f>IF(Table2[[#This Row],[Distribution]]="Linked",100-T56,IF(Table2[[#This Row],[Distribution]]="None",Table2[[#This Row],[Base case]],MIN(Table2[[#This Row],[Max]],MAX(Table2[[#This Row],[Min]],IF(Table2[[#This Row],[Distribution]]="Normal",_xlfn.NORM.INV(W57,Table2[[#This Row],[Base case]],Table2[[#This Row],[Sample variance]]),_xlfn.LOGNORM.INV(W57,LN(Table2[[#This Row],[Base case]]),Table2[[#This Row],[Sample variance]]))))))</f>
        <v>2758.3495958792882</v>
      </c>
      <c r="U57" s="47" t="str">
        <f>"i_"&amp;Table2[[#This Row],[Parameter name]]</f>
        <v xml:space="preserve">i_Cos_ICU </v>
      </c>
      <c r="V57" s="47">
        <f>IF($Z$6=FALSE,Table2[[#This Row],[Base case]],Table2[[#This Row],[Sampled value]])</f>
        <v>2535.52</v>
      </c>
      <c r="W57" s="14">
        <v>0.84254497289657593</v>
      </c>
    </row>
    <row r="58" spans="3:23" ht="16.5" x14ac:dyDescent="0.3">
      <c r="C58" s="1">
        <f t="shared" si="6"/>
        <v>52</v>
      </c>
      <c r="D58" s="38" t="s">
        <v>164</v>
      </c>
      <c r="E58" s="1" t="s">
        <v>24</v>
      </c>
      <c r="F58" s="38" t="s">
        <v>194</v>
      </c>
      <c r="G58" s="1">
        <v>13</v>
      </c>
      <c r="H58" s="47" t="s">
        <v>203</v>
      </c>
      <c r="I58" s="47"/>
      <c r="J58" s="47"/>
      <c r="K58" s="47" t="str">
        <f>MID(Table2[[#This Row],[Page]],1,3)&amp;"_"&amp;MID(Table2[[#This Row],[Parameter]],1,4)</f>
        <v>Cos_Gene</v>
      </c>
      <c r="L58" s="76">
        <f>Costs!F13</f>
        <v>2357.3000000000002</v>
      </c>
      <c r="M58" s="47">
        <f>IF(Parameters!$H58&lt;1,"",Costs!H13)</f>
        <v>235.73000000000002</v>
      </c>
      <c r="N58" s="47" t="str">
        <f>IF(Parameters!$I58&lt;1,"",Costs!N13)</f>
        <v/>
      </c>
      <c r="O58" s="47" t="str">
        <f>IF(Parameters!$J58&lt;1,"",Costs!O13)</f>
        <v/>
      </c>
      <c r="P58"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235.73000000000002</v>
      </c>
      <c r="Q58" s="1" t="s">
        <v>209</v>
      </c>
      <c r="R58" s="1">
        <v>0</v>
      </c>
      <c r="S58" s="1">
        <v>50000</v>
      </c>
      <c r="T58" s="47">
        <f>IF(Table2[[#This Row],[Distribution]]="Linked",100-T57,IF(Table2[[#This Row],[Distribution]]="None",Table2[[#This Row],[Base case]],MIN(Table2[[#This Row],[Max]],MAX(Table2[[#This Row],[Min]],IF(Table2[[#This Row],[Distribution]]="Normal",_xlfn.NORM.INV(W58,Table2[[#This Row],[Base case]],Table2[[#This Row],[Sample variance]]),_xlfn.LOGNORM.INV(W58,LN(Table2[[#This Row],[Base case]]),Table2[[#This Row],[Sample variance]]))))))</f>
        <v>2139.1412560735316</v>
      </c>
      <c r="U58" s="47" t="str">
        <f>"i_"&amp;Table2[[#This Row],[Parameter name]]</f>
        <v>i_Cos_Gene</v>
      </c>
      <c r="V58" s="47">
        <f>IF($Z$6=FALSE,Table2[[#This Row],[Base case]],Table2[[#This Row],[Sampled value]])</f>
        <v>2357.3000000000002</v>
      </c>
      <c r="W58" s="14">
        <v>0.17736327648162842</v>
      </c>
    </row>
    <row r="59" spans="3:23" ht="16.5" x14ac:dyDescent="0.3">
      <c r="C59" s="1">
        <f t="shared" si="6"/>
        <v>53</v>
      </c>
      <c r="D59" s="11" t="s">
        <v>167</v>
      </c>
      <c r="E59" s="1" t="s">
        <v>24</v>
      </c>
      <c r="F59" s="38" t="s">
        <v>194</v>
      </c>
      <c r="G59" s="1">
        <v>15</v>
      </c>
      <c r="H59" s="47"/>
      <c r="I59" s="47" t="s">
        <v>204</v>
      </c>
      <c r="J59" s="47" t="s">
        <v>205</v>
      </c>
      <c r="K59" s="47" t="str">
        <f>MID(Table2[[#This Row],[Page]],1,3)&amp;"_"&amp;MID(Table2[[#This Row],[Parameter]],1,4)</f>
        <v>Cos_Nurs</v>
      </c>
      <c r="L59" s="76">
        <f>Costs!F15</f>
        <v>57.93</v>
      </c>
      <c r="M59" s="47" t="str">
        <f>IF(Parameters!$H59&lt;1,"",Costs!M15)</f>
        <v/>
      </c>
      <c r="N59" s="47">
        <f>IF(Parameters!$I59&lt;1,"",Costs!I15)</f>
        <v>48.97</v>
      </c>
      <c r="O59" s="47">
        <f>IF(Parameters!$J59&lt;1,"",Costs!J15)</f>
        <v>66.900000000000006</v>
      </c>
      <c r="P59"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4.5739795918367365</v>
      </c>
      <c r="Q59" s="1" t="s">
        <v>209</v>
      </c>
      <c r="R59" s="1">
        <f>MAX(0,Table2[[#This Row],[95 min]]-ABS(Table2[[#This Row],[Base case]]/10))</f>
        <v>43.177</v>
      </c>
      <c r="S59" s="1">
        <f>MIN(100000,Table2[[#This Row],[95 max]]+ABS(Table2[[#This Row],[Base case]]/10))</f>
        <v>72.693000000000012</v>
      </c>
      <c r="T59" s="47">
        <f>IF(Table2[[#This Row],[Distribution]]="Linked",100-T58,IF(Table2[[#This Row],[Distribution]]="None",Table2[[#This Row],[Base case]],MIN(Table2[[#This Row],[Max]],MAX(Table2[[#This Row],[Min]],IF(Table2[[#This Row],[Distribution]]="Normal",_xlfn.NORM.INV(W59,Table2[[#This Row],[Base case]],Table2[[#This Row],[Sample variance]]),_xlfn.LOGNORM.INV(W59,LN(Table2[[#This Row],[Base case]]),Table2[[#This Row],[Sample variance]]))))))</f>
        <v>60.773302337408005</v>
      </c>
      <c r="U59" s="47" t="str">
        <f>"i_"&amp;Table2[[#This Row],[Parameter name]]</f>
        <v>i_Cos_Nurs</v>
      </c>
      <c r="V59" s="47">
        <f>IF($Z$6=FALSE,Table2[[#This Row],[Base case]],Table2[[#This Row],[Sampled value]])</f>
        <v>57.93</v>
      </c>
      <c r="W59" s="14">
        <v>0.73290592432022095</v>
      </c>
    </row>
    <row r="60" spans="3:23" ht="16.5" x14ac:dyDescent="0.3">
      <c r="C60" s="1">
        <f t="shared" si="6"/>
        <v>54</v>
      </c>
      <c r="D60" s="38" t="s">
        <v>170</v>
      </c>
      <c r="E60" s="1" t="s">
        <v>24</v>
      </c>
      <c r="F60" s="38" t="s">
        <v>194</v>
      </c>
      <c r="G60" s="1">
        <v>17</v>
      </c>
      <c r="H60" s="47"/>
      <c r="I60" s="47" t="s">
        <v>204</v>
      </c>
      <c r="J60" s="47" t="s">
        <v>205</v>
      </c>
      <c r="K60" s="47" t="str">
        <f>MID(Table2[[#This Row],[Page]],1,3)&amp;"_"&amp;MID(Table2[[#This Row],[Parameter]],1,4)</f>
        <v>Cos_Care</v>
      </c>
      <c r="L60" s="76">
        <f>Costs!F17</f>
        <v>420.43</v>
      </c>
      <c r="M60" s="47" t="str">
        <f>IF(Parameters!$H60&lt;1,"",Costs!M17)</f>
        <v/>
      </c>
      <c r="N60" s="47">
        <f>IF(Parameters!$I60&lt;1,"",Costs!I17)</f>
        <v>59.37</v>
      </c>
      <c r="O60" s="47">
        <f>IF(Parameters!$J60&lt;1,"",Costs!J17)</f>
        <v>1679.64</v>
      </c>
      <c r="P60"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413.33418367346945</v>
      </c>
      <c r="Q60" s="1" t="s">
        <v>209</v>
      </c>
      <c r="R60" s="1">
        <f>MAX(0,Table2[[#This Row],[95 min]]-ABS(Table2[[#This Row],[Base case]]/10))</f>
        <v>17.326999999999998</v>
      </c>
      <c r="S60" s="1">
        <f>MIN(100000,Table2[[#This Row],[95 max]]+ABS(Table2[[#This Row],[Base case]]/10))</f>
        <v>1721.683</v>
      </c>
      <c r="T60" s="47">
        <f>IF(Table2[[#This Row],[Distribution]]="Linked",100-T59,IF(Table2[[#This Row],[Distribution]]="None",Table2[[#This Row],[Base case]],MIN(Table2[[#This Row],[Max]],MAX(Table2[[#This Row],[Min]],IF(Table2[[#This Row],[Distribution]]="Normal",_xlfn.NORM.INV(W60,Table2[[#This Row],[Base case]],Table2[[#This Row],[Sample variance]]),_xlfn.LOGNORM.INV(W60,LN(Table2[[#This Row],[Base case]]),Table2[[#This Row],[Sample variance]]))))))</f>
        <v>804.78424738252522</v>
      </c>
      <c r="U60" s="47" t="str">
        <f>"i_"&amp;Table2[[#This Row],[Parameter name]]</f>
        <v>i_Cos_Care</v>
      </c>
      <c r="V60" s="47">
        <f>IF($Z$6=FALSE,Table2[[#This Row],[Base case]],Table2[[#This Row],[Sampled value]])</f>
        <v>420.43</v>
      </c>
      <c r="W60" s="14">
        <v>0.82378530502319336</v>
      </c>
    </row>
    <row r="61" spans="3:23" ht="16.5" x14ac:dyDescent="0.3">
      <c r="C61" s="1">
        <f t="shared" si="6"/>
        <v>55</v>
      </c>
      <c r="D61" s="38" t="s">
        <v>247</v>
      </c>
      <c r="E61" s="1" t="s">
        <v>24</v>
      </c>
      <c r="F61" s="38" t="s">
        <v>194</v>
      </c>
      <c r="G61" s="1">
        <v>18</v>
      </c>
      <c r="H61" s="47" t="s">
        <v>203</v>
      </c>
      <c r="I61" s="47"/>
      <c r="J61" s="47"/>
      <c r="K61" s="47" t="str">
        <f>MID(Table2[[#This Row],[Page]],1,3)&amp;"_"&amp;MID(Table2[[#This Row],[Parameter]],1,4)</f>
        <v>Cos_Pati</v>
      </c>
      <c r="L61" s="76">
        <f>Costs!F18</f>
        <v>0</v>
      </c>
      <c r="M61" s="47">
        <f>IF(Parameters!$H61&lt;1,"",Costs!H18)</f>
        <v>5</v>
      </c>
      <c r="N61" s="47" t="str">
        <f>IF(Parameters!$I61&lt;1,"",Costs!N18)</f>
        <v/>
      </c>
      <c r="O61" s="47" t="str">
        <f>IF(Parameters!$J61&lt;1,"",Costs!O18)</f>
        <v/>
      </c>
      <c r="P61"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5</v>
      </c>
      <c r="Q61" s="1" t="s">
        <v>209</v>
      </c>
      <c r="R61" s="1">
        <v>0</v>
      </c>
      <c r="S61" s="1">
        <v>50</v>
      </c>
      <c r="T61" s="47">
        <f>IF(Table2[[#This Row],[Distribution]]="Linked",100-T60,IF(Table2[[#This Row],[Distribution]]="None",Table2[[#This Row],[Base case]],MIN(Table2[[#This Row],[Max]],MAX(Table2[[#This Row],[Min]],IF(Table2[[#This Row],[Distribution]]="Normal",_xlfn.NORM.INV(W61,Table2[[#This Row],[Base case]],Table2[[#This Row],[Sample variance]]),_xlfn.LOGNORM.INV(W61,LN(Table2[[#This Row],[Base case]]),Table2[[#This Row],[Sample variance]]))))))</f>
        <v>9.1333427559798057</v>
      </c>
      <c r="U61" s="47" t="str">
        <f>"i_"&amp;Table2[[#This Row],[Parameter name]]</f>
        <v>i_Cos_Pati</v>
      </c>
      <c r="V61" s="47">
        <f>IF($Z$6=FALSE,Table2[[#This Row],[Base case]],Table2[[#This Row],[Sampled value]])</f>
        <v>0</v>
      </c>
      <c r="W61" s="14">
        <v>0.96612519025802612</v>
      </c>
    </row>
    <row r="62" spans="3:23" ht="16.5" x14ac:dyDescent="0.3">
      <c r="C62" s="1">
        <f t="shared" ref="C62:C64" si="7">C61+1</f>
        <v>56</v>
      </c>
      <c r="D62" s="38" t="s">
        <v>248</v>
      </c>
      <c r="E62" s="1" t="s">
        <v>24</v>
      </c>
      <c r="F62" s="38" t="s">
        <v>194</v>
      </c>
      <c r="G62" s="1">
        <v>19</v>
      </c>
      <c r="H62" s="47" t="s">
        <v>203</v>
      </c>
      <c r="I62" s="47"/>
      <c r="J62" s="47"/>
      <c r="K62" s="47" t="str">
        <f>MID(Table2[[#This Row],[Page]],1,3)&amp;"_"&amp;MID(Table2[[#This Row],[Parameter]],1,4)</f>
        <v>Cos_Days</v>
      </c>
      <c r="L62" s="76">
        <f>Costs!F19</f>
        <v>0</v>
      </c>
      <c r="M62" s="47">
        <f>IF(Parameters!$H62&lt;1,"",Costs!H19)</f>
        <v>5</v>
      </c>
      <c r="N62" s="47" t="str">
        <f>IF(Parameters!$I62&lt;1,"",Costs!N19)</f>
        <v/>
      </c>
      <c r="O62" s="47" t="str">
        <f>IF(Parameters!$J62&lt;1,"",Costs!J19)</f>
        <v/>
      </c>
      <c r="P62"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5</v>
      </c>
      <c r="Q62" s="1" t="s">
        <v>209</v>
      </c>
      <c r="R62" s="1">
        <v>0</v>
      </c>
      <c r="S62" s="1">
        <v>14</v>
      </c>
      <c r="T62" s="47">
        <f>IF(Table2[[#This Row],[Distribution]]="Linked",100-T61,IF(Table2[[#This Row],[Distribution]]="None",Table2[[#This Row],[Base case]],MIN(Table2[[#This Row],[Max]],MAX(Table2[[#This Row],[Min]],IF(Table2[[#This Row],[Distribution]]="Normal",_xlfn.NORM.INV(W62,Table2[[#This Row],[Base case]],Table2[[#This Row],[Sample variance]]),_xlfn.LOGNORM.INV(W62,LN(Table2[[#This Row],[Base case]]),Table2[[#This Row],[Sample variance]]))))))</f>
        <v>0</v>
      </c>
      <c r="U62" s="47" t="str">
        <f>"i_"&amp;Table2[[#This Row],[Parameter name]]</f>
        <v>i_Cos_Days</v>
      </c>
      <c r="V62" s="47">
        <f>IF($Z$6=FALSE,Table2[[#This Row],[Base case]],Table2[[#This Row],[Sampled value]])</f>
        <v>0</v>
      </c>
      <c r="W62" s="14">
        <v>0.23167145252227783</v>
      </c>
    </row>
    <row r="63" spans="3:23" ht="16.5" x14ac:dyDescent="0.3">
      <c r="C63" s="1">
        <f t="shared" si="7"/>
        <v>57</v>
      </c>
      <c r="D63" s="11" t="s">
        <v>177</v>
      </c>
      <c r="E63" s="1" t="s">
        <v>249</v>
      </c>
      <c r="F63" s="38" t="s">
        <v>194</v>
      </c>
      <c r="G63" s="1">
        <v>10</v>
      </c>
      <c r="H63" s="47"/>
      <c r="I63" s="47" t="s">
        <v>204</v>
      </c>
      <c r="J63" s="47" t="s">
        <v>205</v>
      </c>
      <c r="K63" s="47" t="s">
        <v>269</v>
      </c>
      <c r="L63" s="76">
        <f>'Costs AE'!F10</f>
        <v>-157.6</v>
      </c>
      <c r="M63" s="47" t="str">
        <f>IF(Parameters!$H63&lt;1,"",'Costs AE'!M10)</f>
        <v/>
      </c>
      <c r="N63" s="47">
        <f>IF(Parameters!$I63&lt;1,"",'Costs AE'!I10)</f>
        <v>-568.32000000000005</v>
      </c>
      <c r="O63" s="47">
        <f>IF(Parameters!$J63&lt;1,"",'Costs AE'!J10)</f>
        <v>253.12</v>
      </c>
      <c r="P63"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209.55102040816328</v>
      </c>
      <c r="Q63" s="1" t="s">
        <v>209</v>
      </c>
      <c r="R63" s="1">
        <f>MAX(-1000,Table2[[#This Row],[95 min]]-ABS(Table2[[#This Row],[Base case]]/10))</f>
        <v>-584.08000000000004</v>
      </c>
      <c r="S63" s="1">
        <f>MIN(100000,Table2[[#This Row],[95 max]]+ABS(Table2[[#This Row],[Base case]]/10))</f>
        <v>268.88</v>
      </c>
      <c r="T63" s="47">
        <f>IF(Table2[[#This Row],[Distribution]]="Linked",100-T62,IF(Table2[[#This Row],[Distribution]]="None",Table2[[#This Row],[Base case]],MIN(Table2[[#This Row],[Max]],MAX(Table2[[#This Row],[Min]],IF(Table2[[#This Row],[Distribution]]="Normal",_xlfn.NORM.INV(W63,Table2[[#This Row],[Base case]],Table2[[#This Row],[Sample variance]]),_xlfn.LOGNORM.INV(W63,LN(Table2[[#This Row],[Base case]]),Table2[[#This Row],[Sample variance]]))))))</f>
        <v>-133.9999274867464</v>
      </c>
      <c r="U63" s="47" t="str">
        <f>"i_"&amp;Table2[[#This Row],[Parameter name]]</f>
        <v>i_Cos_Inpa_SSI</v>
      </c>
      <c r="V63" s="47">
        <f>IF($Z$6=FALSE,Table2[[#This Row],[Base case]],Table2[[#This Row],[Sampled value]])</f>
        <v>-157.6</v>
      </c>
      <c r="W63" s="14">
        <v>0.54483491182327271</v>
      </c>
    </row>
    <row r="64" spans="3:23" ht="16.5" x14ac:dyDescent="0.3">
      <c r="C64" s="1">
        <f t="shared" si="7"/>
        <v>58</v>
      </c>
      <c r="D64" s="11" t="s">
        <v>175</v>
      </c>
      <c r="E64" s="1" t="s">
        <v>249</v>
      </c>
      <c r="F64" s="38" t="s">
        <v>194</v>
      </c>
      <c r="G64" s="1">
        <v>11</v>
      </c>
      <c r="H64" s="47"/>
      <c r="I64" s="47" t="s">
        <v>204</v>
      </c>
      <c r="J64" s="47" t="s">
        <v>205</v>
      </c>
      <c r="K64" s="47" t="str">
        <f>MID(Table2[[#This Row],[Page]],1,3)&amp;"_"&amp;MID(Table2[[#This Row],[Parameter]],1,4)</f>
        <v>Cos_Outp</v>
      </c>
      <c r="L64" s="76">
        <f>'Costs AE'!F11</f>
        <v>2582.6</v>
      </c>
      <c r="M64" s="47" t="str">
        <f>IF(Parameters!$H64&lt;1,"",'Costs AE'!M11)</f>
        <v/>
      </c>
      <c r="N64" s="47">
        <f>IF(Parameters!$I64&lt;1,"",'Costs AE'!I11)</f>
        <v>629.41</v>
      </c>
      <c r="O64" s="47">
        <f>IF(Parameters!$J64&lt;1,"",'Costs AE'!J11)</f>
        <v>3915.96</v>
      </c>
      <c r="P64"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838.40561224489807</v>
      </c>
      <c r="Q64" s="1" t="s">
        <v>209</v>
      </c>
      <c r="R64" s="1">
        <f>MAX(-1000,Table2[[#This Row],[95 min]]-ABS(Table2[[#This Row],[Base case]]/10))</f>
        <v>371.15</v>
      </c>
      <c r="S64" s="1">
        <f>MIN(100000,Table2[[#This Row],[95 max]]+ABS(Table2[[#This Row],[Base case]]/10))</f>
        <v>4174.22</v>
      </c>
      <c r="T64" s="47">
        <f>IF(Table2[[#This Row],[Distribution]]="Linked",100-T63,IF(Table2[[#This Row],[Distribution]]="None",Table2[[#This Row],[Base case]],MIN(Table2[[#This Row],[Max]],MAX(Table2[[#This Row],[Min]],IF(Table2[[#This Row],[Distribution]]="Normal",_xlfn.NORM.INV(W64,Table2[[#This Row],[Base case]],Table2[[#This Row],[Sample variance]]),_xlfn.LOGNORM.INV(W64,LN(Table2[[#This Row],[Base case]]),Table2[[#This Row],[Sample variance]]))))))</f>
        <v>3055.0046785895229</v>
      </c>
      <c r="U64" s="47" t="str">
        <f>"i_"&amp;Table2[[#This Row],[Parameter name]]</f>
        <v>i_Cos_Outp</v>
      </c>
      <c r="V64" s="47">
        <f>IF($Z$6=FALSE,Table2[[#This Row],[Base case]],Table2[[#This Row],[Sampled value]])</f>
        <v>2582.6</v>
      </c>
      <c r="W64" s="14">
        <v>0.71343779563903809</v>
      </c>
    </row>
    <row r="65" spans="3:24" ht="16.5" x14ac:dyDescent="0.3">
      <c r="C65" s="1">
        <f t="shared" ref="C65:C69" si="8">C64+1</f>
        <v>59</v>
      </c>
      <c r="D65" s="11" t="s">
        <v>176</v>
      </c>
      <c r="E65" s="1" t="s">
        <v>249</v>
      </c>
      <c r="F65" s="38" t="s">
        <v>194</v>
      </c>
      <c r="G65" s="1">
        <v>12</v>
      </c>
      <c r="H65" s="47"/>
      <c r="I65" s="47" t="s">
        <v>204</v>
      </c>
      <c r="J65" s="47" t="s">
        <v>205</v>
      </c>
      <c r="K65" s="47" t="s">
        <v>268</v>
      </c>
      <c r="L65" s="76">
        <f>'Costs AE'!F12</f>
        <v>-157.6</v>
      </c>
      <c r="M65" s="47" t="str">
        <f>IF(Parameters!$H65&lt;1,"",'Costs AE'!M12)</f>
        <v/>
      </c>
      <c r="N65" s="47">
        <f>IF(Parameters!$I65&lt;1,"",'Costs AE'!I12)</f>
        <v>-568.32000000000005</v>
      </c>
      <c r="O65" s="47">
        <f>IF(Parameters!$J65&lt;1,"",'Costs AE'!J12)</f>
        <v>253.12</v>
      </c>
      <c r="P65"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209.55102040816328</v>
      </c>
      <c r="Q65" s="1" t="s">
        <v>209</v>
      </c>
      <c r="R65" s="1">
        <f>MAX(-1000,Table2[[#This Row],[95 min]]-ABS(Table2[[#This Row],[Base case]]/10))</f>
        <v>-584.08000000000004</v>
      </c>
      <c r="S65" s="1">
        <f>MIN(100000,Table2[[#This Row],[95 max]]+ABS(Table2[[#This Row],[Base case]]/10))</f>
        <v>268.88</v>
      </c>
      <c r="T65" s="47">
        <f>IF(Table2[[#This Row],[Distribution]]="Linked",100-T64,IF(Table2[[#This Row],[Distribution]]="None",Table2[[#This Row],[Base case]],MIN(Table2[[#This Row],[Max]],MAX(Table2[[#This Row],[Min]],IF(Table2[[#This Row],[Distribution]]="Normal",_xlfn.NORM.INV(W65,Table2[[#This Row],[Base case]],Table2[[#This Row],[Sample variance]]),_xlfn.LOGNORM.INV(W65,LN(Table2[[#This Row],[Base case]]),Table2[[#This Row],[Sample variance]]))))))</f>
        <v>-120.18739367992954</v>
      </c>
      <c r="U65" s="47" t="str">
        <f>"i_"&amp;Table2[[#This Row],[Parameter name]]</f>
        <v>i_Cos_Inpa_DSWI</v>
      </c>
      <c r="V65" s="47">
        <f>IF($Z$6=FALSE,Table2[[#This Row],[Base case]],Table2[[#This Row],[Sampled value]])</f>
        <v>-157.6</v>
      </c>
      <c r="W65" s="14">
        <v>0.57084935903549194</v>
      </c>
    </row>
    <row r="66" spans="3:24" ht="16.5" x14ac:dyDescent="0.3">
      <c r="C66" s="1">
        <f t="shared" si="8"/>
        <v>60</v>
      </c>
      <c r="D66" s="11" t="s">
        <v>174</v>
      </c>
      <c r="E66" s="1" t="s">
        <v>249</v>
      </c>
      <c r="F66" s="38" t="s">
        <v>194</v>
      </c>
      <c r="G66" s="1">
        <v>13</v>
      </c>
      <c r="H66" s="47"/>
      <c r="I66" s="47" t="s">
        <v>204</v>
      </c>
      <c r="J66" s="47" t="s">
        <v>205</v>
      </c>
      <c r="K66" s="47" t="str">
        <f>MID(Table2[[#This Row],[Page]],1,3)&amp;"_"&amp;MID(Table2[[#This Row],[Parameter]],1,4)</f>
        <v>Cos_Read</v>
      </c>
      <c r="L66" s="76">
        <f>'Costs AE'!F13</f>
        <v>23585.82</v>
      </c>
      <c r="M66" s="47" t="str">
        <f>IF(Parameters!$H66&lt;1,"",'Costs AE'!M13)</f>
        <v/>
      </c>
      <c r="N66" s="47">
        <f>IF(Parameters!$I66&lt;1,"",'Costs AE'!I13)</f>
        <v>15090.45</v>
      </c>
      <c r="O66" s="47">
        <f>IF(Parameters!$J66&lt;1,"",'Costs AE'!J13)</f>
        <v>41806.15</v>
      </c>
      <c r="P66"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6815.2295918367354</v>
      </c>
      <c r="Q66" s="1" t="s">
        <v>209</v>
      </c>
      <c r="R66" s="1">
        <f>MAX(0,Table2[[#This Row],[95 min]]-(Table2[[#This Row],[Base case]]/10))</f>
        <v>12731.868</v>
      </c>
      <c r="S66" s="1">
        <f>MIN(100000,Table2[[#This Row],[95 max]]+(Table2[[#This Row],[Base case]]/10))</f>
        <v>44164.732000000004</v>
      </c>
      <c r="T66" s="47">
        <f>IF(Table2[[#This Row],[Distribution]]="Linked",100-T65,IF(Table2[[#This Row],[Distribution]]="None",Table2[[#This Row],[Base case]],MIN(Table2[[#This Row],[Max]],MAX(Table2[[#This Row],[Min]],IF(Table2[[#This Row],[Distribution]]="Normal",_xlfn.NORM.INV(W66,Table2[[#This Row],[Base case]],Table2[[#This Row],[Sample variance]]),_xlfn.LOGNORM.INV(W66,LN(Table2[[#This Row],[Base case]]),Table2[[#This Row],[Sample variance]]))))))</f>
        <v>30546.507169417691</v>
      </c>
      <c r="U66" s="47" t="str">
        <f>"i_"&amp;Table2[[#This Row],[Parameter name]]</f>
        <v>i_Cos_Read</v>
      </c>
      <c r="V66" s="47">
        <f>IF($Z$6=FALSE,Table2[[#This Row],[Base case]],Table2[[#This Row],[Sampled value]])</f>
        <v>23585.82</v>
      </c>
      <c r="W66" s="14">
        <v>0.84645402431488037</v>
      </c>
    </row>
    <row r="67" spans="3:24" ht="16.5" x14ac:dyDescent="0.3">
      <c r="C67" s="1">
        <f t="shared" si="8"/>
        <v>61</v>
      </c>
      <c r="D67" s="11" t="s">
        <v>178</v>
      </c>
      <c r="E67" s="1" t="s">
        <v>249</v>
      </c>
      <c r="F67" s="38" t="s">
        <v>194</v>
      </c>
      <c r="G67" s="1">
        <v>15</v>
      </c>
      <c r="H67" s="47" t="s">
        <v>203</v>
      </c>
      <c r="I67" s="47"/>
      <c r="J67" s="47"/>
      <c r="K67" s="47" t="str">
        <f>MID(Table2[[#This Row],[Page]],1,3)&amp;"_"&amp;MID(Table2[[#This Row],[Parameter]],1,4)</f>
        <v>Cos_Fals</v>
      </c>
      <c r="L67" s="76">
        <f>'Costs AE'!F15</f>
        <v>2</v>
      </c>
      <c r="M67" s="47">
        <f>IF(Parameters!$H67&lt;1,"",'Costs AE'!H15)</f>
        <v>0.2</v>
      </c>
      <c r="N67" s="47" t="str">
        <f>IF(Parameters!$I67&lt;1,"",'Costs AE'!N15)</f>
        <v/>
      </c>
      <c r="O67" s="47" t="str">
        <f>IF(Parameters!$J67&lt;1,"",'Costs AE'!O15)</f>
        <v/>
      </c>
      <c r="P67"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0.2</v>
      </c>
      <c r="Q67" s="1" t="s">
        <v>209</v>
      </c>
      <c r="R67" s="1">
        <v>0</v>
      </c>
      <c r="S67" s="1">
        <v>50000</v>
      </c>
      <c r="T67" s="47">
        <f>IF(Table2[[#This Row],[Distribution]]="Linked",100-T66,IF(Table2[[#This Row],[Distribution]]="None",Table2[[#This Row],[Base case]],MIN(Table2[[#This Row],[Max]],MAX(Table2[[#This Row],[Min]],IF(Table2[[#This Row],[Distribution]]="Normal",_xlfn.NORM.INV(W67,Table2[[#This Row],[Base case]],Table2[[#This Row],[Sample variance]]),_xlfn.LOGNORM.INV(W67,LN(Table2[[#This Row],[Base case]]),Table2[[#This Row],[Sample variance]]))))))</f>
        <v>2.0844736973933782</v>
      </c>
      <c r="U67" s="47" t="str">
        <f>"i_"&amp;Table2[[#This Row],[Parameter name]]</f>
        <v>i_Cos_Fals</v>
      </c>
      <c r="V67" s="47">
        <f>IF($Z$6=FALSE,Table2[[#This Row],[Base case]],Table2[[#This Row],[Sampled value]])</f>
        <v>2</v>
      </c>
      <c r="W67" s="14">
        <v>0.66362196207046509</v>
      </c>
    </row>
    <row r="68" spans="3:24" ht="16.5" x14ac:dyDescent="0.3">
      <c r="C68" s="1">
        <f t="shared" si="8"/>
        <v>62</v>
      </c>
      <c r="D68" s="11" t="s">
        <v>179</v>
      </c>
      <c r="E68" s="1" t="s">
        <v>249</v>
      </c>
      <c r="F68" s="38" t="s">
        <v>194</v>
      </c>
      <c r="G68" s="1">
        <v>16</v>
      </c>
      <c r="H68" s="47" t="s">
        <v>203</v>
      </c>
      <c r="I68" s="47"/>
      <c r="J68" s="47"/>
      <c r="K68" s="47" t="str">
        <f>MID(Table2[[#This Row],[Page]],1,3)&amp;"_"&amp;MID(Table2[[#This Row],[Parameter]],1,4)</f>
        <v>Cos_Lead</v>
      </c>
      <c r="L68" s="76">
        <f>'Costs AE'!F16</f>
        <v>1</v>
      </c>
      <c r="M68" s="47">
        <f>IF(Parameters!$H68&lt;1,"",'Costs AE'!H16)</f>
        <v>0.1</v>
      </c>
      <c r="N68" s="47" t="str">
        <f>IF(Parameters!$I68&lt;1,"",'Costs AE'!N16)</f>
        <v/>
      </c>
      <c r="O68" s="47" t="str">
        <f>IF(Parameters!$J68&lt;1,"",'Costs AE'!O16)</f>
        <v/>
      </c>
      <c r="P68"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0.1</v>
      </c>
      <c r="Q68" s="1" t="s">
        <v>209</v>
      </c>
      <c r="R68" s="1">
        <v>0</v>
      </c>
      <c r="S68" s="1">
        <v>50000</v>
      </c>
      <c r="T68" s="47">
        <f>IF(Table2[[#This Row],[Distribution]]="Linked",100-T67,IF(Table2[[#This Row],[Distribution]]="None",Table2[[#This Row],[Base case]],MIN(Table2[[#This Row],[Max]],MAX(Table2[[#This Row],[Min]],IF(Table2[[#This Row],[Distribution]]="Normal",_xlfn.NORM.INV(W68,Table2[[#This Row],[Base case]],Table2[[#This Row],[Sample variance]]),_xlfn.LOGNORM.INV(W68,LN(Table2[[#This Row],[Base case]]),Table2[[#This Row],[Sample variance]]))))))</f>
        <v>1.0575940641454689</v>
      </c>
      <c r="U68" s="47" t="str">
        <f>"i_"&amp;Table2[[#This Row],[Parameter name]]</f>
        <v>i_Cos_Lead</v>
      </c>
      <c r="V68" s="47">
        <f>IF($Z$6=FALSE,Table2[[#This Row],[Base case]],Table2[[#This Row],[Sampled value]])</f>
        <v>1</v>
      </c>
      <c r="W68" s="14">
        <v>0.71767234802246094</v>
      </c>
    </row>
    <row r="69" spans="3:24" ht="16.5" x14ac:dyDescent="0.3">
      <c r="C69" s="1">
        <f t="shared" si="8"/>
        <v>63</v>
      </c>
      <c r="D69" s="11" t="s">
        <v>283</v>
      </c>
      <c r="E69" s="1" t="s">
        <v>249</v>
      </c>
      <c r="F69" s="44" t="s">
        <v>194</v>
      </c>
      <c r="G69" s="1">
        <v>19</v>
      </c>
      <c r="H69" s="47" t="s">
        <v>203</v>
      </c>
      <c r="I69" s="47"/>
      <c r="J69" s="47"/>
      <c r="K69" s="47" t="str">
        <f>MID(Table2[[#This Row],[Page]],1,3)&amp;"_"&amp;MID(Table2[[#This Row],[Parameter]],1,4)</f>
        <v xml:space="preserve">Cos_SSI </v>
      </c>
      <c r="L69" s="47">
        <f>'Costs AE'!F19</f>
        <v>13.3</v>
      </c>
      <c r="M69" s="47">
        <f>IF(Parameters!$H69&lt;1,"",'Costs AE'!H19)</f>
        <v>20.8</v>
      </c>
      <c r="N69" s="47" t="str">
        <f>IF(Parameters!$I69&lt;1,"",'Costs AE'!N19)</f>
        <v/>
      </c>
      <c r="O69" s="47" t="str">
        <f>IF(Parameters!$J69&lt;1,"",'Costs AE'!O19)</f>
        <v/>
      </c>
      <c r="P69"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20.8</v>
      </c>
      <c r="Q69" s="1" t="s">
        <v>209</v>
      </c>
      <c r="R69" s="1">
        <f>T32</f>
        <v>5.4016762654458539</v>
      </c>
      <c r="S69" s="1">
        <f>MIN(365,Table2[[#This Row],[Base case]]+(2*Table2[[#This Row],[Variance]]))</f>
        <v>54.900000000000006</v>
      </c>
      <c r="T69" s="47">
        <f>IF(Table2[[#This Row],[Distribution]]="Linked",100-T68,IF(Table2[[#This Row],[Distribution]]="None",Table2[[#This Row],[Base case]],MIN(Table2[[#This Row],[Max]],MAX(Table2[[#This Row],[Min]],IF(Table2[[#This Row],[Distribution]]="Normal",_xlfn.NORM.INV(W69,Table2[[#This Row],[Base case]],Table2[[#This Row],[Sample variance]]),_xlfn.LOGNORM.INV(W69,LN(Table2[[#This Row],[Base case]]),Table2[[#This Row],[Sample variance]]))))))</f>
        <v>25.818204240398956</v>
      </c>
      <c r="U69" s="47" t="str">
        <f>"i_"&amp;Table2[[#This Row],[Parameter name]]</f>
        <v xml:space="preserve">i_Cos_SSI </v>
      </c>
      <c r="V69" s="47">
        <f>IF($Z$6=FALSE,Table2[[#This Row],[Base case]],Table2[[#This Row],[Sampled value]])</f>
        <v>13.3</v>
      </c>
      <c r="W69" s="14">
        <v>0.72635859251022339</v>
      </c>
    </row>
    <row r="70" spans="3:24" ht="16.5" x14ac:dyDescent="0.3">
      <c r="C70" s="1">
        <f t="shared" ref="C70:C77" si="9">C69+1</f>
        <v>64</v>
      </c>
      <c r="D70" s="11" t="s">
        <v>284</v>
      </c>
      <c r="E70" s="1" t="s">
        <v>249</v>
      </c>
      <c r="F70" s="44" t="s">
        <v>194</v>
      </c>
      <c r="G70" s="1">
        <v>20</v>
      </c>
      <c r="H70" s="47" t="s">
        <v>203</v>
      </c>
      <c r="I70" s="47"/>
      <c r="J70" s="47"/>
      <c r="K70" s="47" t="str">
        <f>MID(Table2[[#This Row],[Page]],1,3)&amp;"_"&amp;MID(Table2[[#This Row],[Parameter]],1,4)</f>
        <v>Cos_DSWI</v>
      </c>
      <c r="L70" s="47">
        <f>'Costs AE'!F20</f>
        <v>24</v>
      </c>
      <c r="M70" s="47">
        <f>IF(Parameters!$H70&lt;1,"",'Costs AE'!H20)</f>
        <v>5</v>
      </c>
      <c r="N70" s="47" t="str">
        <f>IF(Parameters!$I70&lt;1,"",'Costs AE'!N20)</f>
        <v/>
      </c>
      <c r="O70" s="47" t="str">
        <f>IF(Parameters!$J70&lt;1,"",'Costs AE'!O20)</f>
        <v/>
      </c>
      <c r="P70"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5</v>
      </c>
      <c r="Q70" s="1" t="s">
        <v>209</v>
      </c>
      <c r="R70" s="1">
        <f>T32</f>
        <v>5.4016762654458539</v>
      </c>
      <c r="S70" s="1">
        <v>50</v>
      </c>
      <c r="T70" s="47">
        <f>IF(Table2[[#This Row],[Distribution]]="Linked",100-T69,IF(Table2[[#This Row],[Distribution]]="None",Table2[[#This Row],[Base case]],MIN(Table2[[#This Row],[Max]],MAX(Table2[[#This Row],[Min]],IF(Table2[[#This Row],[Distribution]]="Normal",_xlfn.NORM.INV(W70,Table2[[#This Row],[Base case]],Table2[[#This Row],[Sample variance]]),_xlfn.LOGNORM.INV(W70,LN(Table2[[#This Row],[Base case]]),Table2[[#This Row],[Sample variance]]))))))</f>
        <v>18.255234303698419</v>
      </c>
      <c r="U70" s="47" t="str">
        <f>"i_"&amp;Table2[[#This Row],[Parameter name]]</f>
        <v>i_Cos_DSWI</v>
      </c>
      <c r="V70" s="47">
        <f>IF($Z$6=FALSE,Table2[[#This Row],[Base case]],Table2[[#This Row],[Sampled value]])</f>
        <v>24</v>
      </c>
      <c r="W70" s="14">
        <v>0.12528765201568604</v>
      </c>
    </row>
    <row r="71" spans="3:24" ht="16.5" x14ac:dyDescent="0.3">
      <c r="C71" s="1">
        <f t="shared" si="9"/>
        <v>65</v>
      </c>
      <c r="D71" s="11" t="s">
        <v>250</v>
      </c>
      <c r="E71" s="1" t="s">
        <v>253</v>
      </c>
      <c r="F71" s="38" t="s">
        <v>194</v>
      </c>
      <c r="G71" s="1">
        <v>11</v>
      </c>
      <c r="H71" s="47"/>
      <c r="I71" s="47"/>
      <c r="J71" s="47"/>
      <c r="K71" s="47" t="s">
        <v>254</v>
      </c>
      <c r="L71" s="47">
        <f>Background!F11</f>
        <v>1.8</v>
      </c>
      <c r="M71" s="47" t="str">
        <f>IF(Parameters!$H71&lt;1,"",Background!M11)</f>
        <v/>
      </c>
      <c r="N71" s="47" t="str">
        <f>IF(Parameters!$I71&lt;1,"",Background!N11)</f>
        <v/>
      </c>
      <c r="O71" s="47" t="str">
        <f>IF(Parameters!$J71&lt;1,"",Background!O11)</f>
        <v/>
      </c>
      <c r="P71"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1E-4</v>
      </c>
      <c r="Q71" s="1" t="s">
        <v>209</v>
      </c>
      <c r="R71" s="1">
        <v>0</v>
      </c>
      <c r="S71" s="1">
        <v>100</v>
      </c>
      <c r="T71" s="47">
        <f>IF(Table2[[#This Row],[Distribution]]="Linked",100-T70,IF(Table2[[#This Row],[Distribution]]="None",Table2[[#This Row],[Base case]],MIN(Table2[[#This Row],[Max]],MAX(Table2[[#This Row],[Min]],IF(Table2[[#This Row],[Distribution]]="Normal",_xlfn.NORM.INV(W71,Table2[[#This Row],[Base case]],Table2[[#This Row],[Sample variance]]),_xlfn.LOGNORM.INV(W71,LN(Table2[[#This Row],[Base case]]),Table2[[#This Row],[Sample variance]]))))))</f>
        <v>1.8000998729366355</v>
      </c>
      <c r="U71" s="47" t="str">
        <f>"i_"&amp;Table2[[#This Row],[Parameter name]]</f>
        <v>i_Bac_SSI_9d</v>
      </c>
      <c r="V71" s="47">
        <f>IF($Z$6=FALSE,Table2[[#This Row],[Base case]],Table2[[#This Row],[Sampled value]])</f>
        <v>1.8</v>
      </c>
      <c r="W71" s="14">
        <v>0.8410370945930481</v>
      </c>
    </row>
    <row r="72" spans="3:24" ht="16.5" x14ac:dyDescent="0.3">
      <c r="C72" s="1">
        <f t="shared" si="9"/>
        <v>66</v>
      </c>
      <c r="D72" s="11" t="s">
        <v>251</v>
      </c>
      <c r="E72" s="1" t="s">
        <v>253</v>
      </c>
      <c r="F72" s="38" t="s">
        <v>194</v>
      </c>
      <c r="G72" s="1">
        <v>12</v>
      </c>
      <c r="H72" s="47"/>
      <c r="I72" s="47"/>
      <c r="J72" s="47"/>
      <c r="K72" s="47" t="s">
        <v>255</v>
      </c>
      <c r="L72" s="47">
        <f>Background!F12</f>
        <v>3.9</v>
      </c>
      <c r="M72" s="47" t="str">
        <f>IF(Parameters!$H72&lt;1,"",Background!M12)</f>
        <v/>
      </c>
      <c r="N72" s="47" t="str">
        <f>IF(Parameters!$I72&lt;1,"",Background!N12)</f>
        <v/>
      </c>
      <c r="O72" s="47" t="str">
        <f>IF(Parameters!$J72&lt;1,"",Background!O12)</f>
        <v/>
      </c>
      <c r="P72"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1E-4</v>
      </c>
      <c r="Q72" s="1" t="s">
        <v>209</v>
      </c>
      <c r="R72" s="1">
        <v>0</v>
      </c>
      <c r="S72" s="1">
        <v>100</v>
      </c>
      <c r="T72" s="47">
        <f>IF(Table2[[#This Row],[Distribution]]="Linked",100-T71,IF(Table2[[#This Row],[Distribution]]="None",Table2[[#This Row],[Base case]],MIN(Table2[[#This Row],[Max]],MAX(Table2[[#This Row],[Min]],IF(Table2[[#This Row],[Distribution]]="Normal",_xlfn.NORM.INV(W72,Table2[[#This Row],[Base case]],Table2[[#This Row],[Sample variance]]),_xlfn.LOGNORM.INV(W72,LN(Table2[[#This Row],[Base case]]),Table2[[#This Row],[Sample variance]]))))))</f>
        <v>3.8999730256779159</v>
      </c>
      <c r="U72" s="47" t="str">
        <f>"i_"&amp;Table2[[#This Row],[Parameter name]]</f>
        <v>i_Bac_SSI_30d</v>
      </c>
      <c r="V72" s="47">
        <f>IF($Z$6=FALSE,Table2[[#This Row],[Base case]],Table2[[#This Row],[Sampled value]])</f>
        <v>3.9</v>
      </c>
      <c r="W72" s="14">
        <v>0.39367890357971191</v>
      </c>
    </row>
    <row r="73" spans="3:24" ht="16.5" x14ac:dyDescent="0.3">
      <c r="C73" s="1">
        <f t="shared" si="9"/>
        <v>67</v>
      </c>
      <c r="D73" s="11" t="s">
        <v>252</v>
      </c>
      <c r="E73" s="1" t="s">
        <v>253</v>
      </c>
      <c r="F73" s="38" t="s">
        <v>194</v>
      </c>
      <c r="G73" s="1">
        <v>13</v>
      </c>
      <c r="H73" s="47"/>
      <c r="I73" s="47"/>
      <c r="J73" s="47"/>
      <c r="K73" s="47" t="s">
        <v>256</v>
      </c>
      <c r="L73" s="47">
        <f>Background!F13</f>
        <v>5.6</v>
      </c>
      <c r="M73" s="47" t="str">
        <f>IF(Parameters!$H73&lt;1,"",Background!M13)</f>
        <v/>
      </c>
      <c r="N73" s="47" t="str">
        <f>IF(Parameters!$I73&lt;1,"",Background!N13)</f>
        <v/>
      </c>
      <c r="O73" s="47" t="str">
        <f>IF(Parameters!$J73&lt;1,"",Background!O13)</f>
        <v/>
      </c>
      <c r="P73"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1E-4</v>
      </c>
      <c r="Q73" s="1" t="s">
        <v>209</v>
      </c>
      <c r="R73" s="1">
        <v>0</v>
      </c>
      <c r="S73" s="1">
        <v>100</v>
      </c>
      <c r="T73" s="47">
        <f>IF(Table2[[#This Row],[Distribution]]="Linked",100-T72,IF(Table2[[#This Row],[Distribution]]="None",Table2[[#This Row],[Base case]],MIN(Table2[[#This Row],[Max]],MAX(Table2[[#This Row],[Min]],IF(Table2[[#This Row],[Distribution]]="Normal",_xlfn.NORM.INV(W73,Table2[[#This Row],[Base case]],Table2[[#This Row],[Sample variance]]),_xlfn.LOGNORM.INV(W73,LN(Table2[[#This Row],[Base case]]),Table2[[#This Row],[Sample variance]]))))))</f>
        <v>5.5999542297418241</v>
      </c>
      <c r="U73" s="47" t="str">
        <f>"i_"&amp;Table2[[#This Row],[Parameter name]]</f>
        <v>i_Bac_SSI_90d</v>
      </c>
      <c r="V73" s="47">
        <f>IF($Z$6=FALSE,Table2[[#This Row],[Base case]],Table2[[#This Row],[Sampled value]])</f>
        <v>5.6</v>
      </c>
      <c r="W73" s="14">
        <v>0.32358306646347046</v>
      </c>
    </row>
    <row r="74" spans="3:24" ht="16.5" x14ac:dyDescent="0.3">
      <c r="C74" s="1">
        <f t="shared" si="9"/>
        <v>68</v>
      </c>
      <c r="D74" s="11" t="s">
        <v>260</v>
      </c>
      <c r="E74" s="1" t="s">
        <v>253</v>
      </c>
      <c r="F74" s="38" t="s">
        <v>194</v>
      </c>
      <c r="G74" s="1">
        <v>16</v>
      </c>
      <c r="H74" s="47"/>
      <c r="I74" s="47" t="s">
        <v>204</v>
      </c>
      <c r="J74" s="47" t="s">
        <v>205</v>
      </c>
      <c r="K74" s="47" t="s">
        <v>257</v>
      </c>
      <c r="L74" s="47">
        <f>Background!F16</f>
        <v>2.68</v>
      </c>
      <c r="M74" s="47" t="str">
        <f>IF(Parameters!$H74&lt;1,"",Background!M16)</f>
        <v/>
      </c>
      <c r="N74" s="47">
        <f>IF(Parameters!$I74&lt;1,"",Background!I16)</f>
        <v>2.2599999999999998</v>
      </c>
      <c r="O74" s="47">
        <f>IF(Parameters!$J74&lt;1,"",Background!J16)</f>
        <v>3.17</v>
      </c>
      <c r="P74"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0.23214285714285718</v>
      </c>
      <c r="Q74" s="1" t="s">
        <v>209</v>
      </c>
      <c r="R74" s="1">
        <v>0</v>
      </c>
      <c r="S74" s="1">
        <v>100</v>
      </c>
      <c r="T74" s="47">
        <f>IF(Table2[[#This Row],[Distribution]]="Linked",100-T73,IF(Table2[[#This Row],[Distribution]]="None",Table2[[#This Row],[Base case]],MIN(Table2[[#This Row],[Max]],MAX(Table2[[#This Row],[Min]],IF(Table2[[#This Row],[Distribution]]="Normal",_xlfn.NORM.INV(W74,Table2[[#This Row],[Base case]],Table2[[#This Row],[Sample variance]]),_xlfn.LOGNORM.INV(W74,LN(Table2[[#This Row],[Base case]]),Table2[[#This Row],[Sample variance]]))))))</f>
        <v>2.8070302451464344</v>
      </c>
      <c r="U74" s="47" t="str">
        <f>"i_"&amp;Table2[[#This Row],[Parameter name]]</f>
        <v>i_BAC_DSWI_30d</v>
      </c>
      <c r="V74" s="47">
        <f>IF($Z$6=FALSE,Table2[[#This Row],[Base case]],Table2[[#This Row],[Sampled value]])</f>
        <v>2.68</v>
      </c>
      <c r="W74" s="14">
        <v>0.70788180828094482</v>
      </c>
    </row>
    <row r="75" spans="3:24" ht="16.5" x14ac:dyDescent="0.3">
      <c r="C75" s="1">
        <f t="shared" si="9"/>
        <v>69</v>
      </c>
      <c r="D75" s="11" t="s">
        <v>261</v>
      </c>
      <c r="E75" s="1" t="s">
        <v>253</v>
      </c>
      <c r="F75" s="38" t="s">
        <v>194</v>
      </c>
      <c r="G75" s="1">
        <v>17</v>
      </c>
      <c r="H75" s="47"/>
      <c r="I75" s="47" t="s">
        <v>204</v>
      </c>
      <c r="J75" s="47" t="s">
        <v>205</v>
      </c>
      <c r="K75" s="47" t="s">
        <v>258</v>
      </c>
      <c r="L75" s="47">
        <f>Background!F17</f>
        <v>3.95</v>
      </c>
      <c r="M75" s="47" t="str">
        <f>IF(Parameters!$H75&lt;1,"",Background!M17)</f>
        <v/>
      </c>
      <c r="N75" s="47">
        <f>IF(Parameters!$I75&lt;1,"",Background!I17)</f>
        <v>3.45</v>
      </c>
      <c r="O75" s="47">
        <f>IF(Parameters!$J75&lt;1,"",Background!J17)</f>
        <v>4.5199999999999996</v>
      </c>
      <c r="P75"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0.27295918367346922</v>
      </c>
      <c r="Q75" s="1" t="s">
        <v>209</v>
      </c>
      <c r="R75" s="1">
        <v>0</v>
      </c>
      <c r="S75" s="1">
        <v>100</v>
      </c>
      <c r="T75" s="47">
        <f>IF(Table2[[#This Row],[Distribution]]="Linked",100-T74,IF(Table2[[#This Row],[Distribution]]="None",Table2[[#This Row],[Base case]],MIN(Table2[[#This Row],[Max]],MAX(Table2[[#This Row],[Min]],IF(Table2[[#This Row],[Distribution]]="Normal",_xlfn.NORM.INV(W75,Table2[[#This Row],[Base case]],Table2[[#This Row],[Sample variance]]),_xlfn.LOGNORM.INV(W75,LN(Table2[[#This Row],[Base case]]),Table2[[#This Row],[Sample variance]]))))))</f>
        <v>3.7396391097147674</v>
      </c>
      <c r="U75" s="47" t="str">
        <f>"i_"&amp;Table2[[#This Row],[Parameter name]]</f>
        <v>i_BAC_DSWI_90d</v>
      </c>
      <c r="V75" s="47">
        <f>IF($Z$6=FALSE,Table2[[#This Row],[Base case]],Table2[[#This Row],[Sampled value]])</f>
        <v>3.95</v>
      </c>
      <c r="W75" s="14">
        <v>0.22045189142227173</v>
      </c>
    </row>
    <row r="76" spans="3:24" ht="16.5" x14ac:dyDescent="0.3">
      <c r="C76" s="1">
        <f t="shared" si="9"/>
        <v>70</v>
      </c>
      <c r="D76" s="11" t="s">
        <v>262</v>
      </c>
      <c r="E76" s="1" t="s">
        <v>253</v>
      </c>
      <c r="F76" s="38" t="s">
        <v>194</v>
      </c>
      <c r="G76" s="1">
        <v>18</v>
      </c>
      <c r="H76" s="47"/>
      <c r="I76" s="47" t="s">
        <v>204</v>
      </c>
      <c r="J76" s="47" t="s">
        <v>205</v>
      </c>
      <c r="K76" s="47" t="s">
        <v>259</v>
      </c>
      <c r="L76" s="47">
        <f>Background!F18</f>
        <v>4.67</v>
      </c>
      <c r="M76" s="47" t="str">
        <f>IF(Parameters!$H76&lt;1,"",Background!M18)</f>
        <v/>
      </c>
      <c r="N76" s="47">
        <f>IF(Parameters!$I76&lt;1,"",Background!I18)</f>
        <v>4.13</v>
      </c>
      <c r="O76" s="47">
        <f>IF(Parameters!$J76&lt;1,"",Background!J18)</f>
        <v>5.28</v>
      </c>
      <c r="P76"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0.29336734693877559</v>
      </c>
      <c r="Q76" s="1" t="s">
        <v>209</v>
      </c>
      <c r="R76" s="1">
        <v>0</v>
      </c>
      <c r="S76" s="1">
        <v>100</v>
      </c>
      <c r="T76" s="47">
        <f>IF(Table2[[#This Row],[Distribution]]="Linked",100-T75,IF(Table2[[#This Row],[Distribution]]="None",Table2[[#This Row],[Base case]],MIN(Table2[[#This Row],[Max]],MAX(Table2[[#This Row],[Min]],IF(Table2[[#This Row],[Distribution]]="Normal",_xlfn.NORM.INV(W76,Table2[[#This Row],[Base case]],Table2[[#This Row],[Sample variance]]),_xlfn.LOGNORM.INV(W76,LN(Table2[[#This Row],[Base case]]),Table2[[#This Row],[Sample variance]]))))))</f>
        <v>4.3308704133637761</v>
      </c>
      <c r="U76" s="47" t="str">
        <f>"i_"&amp;Table2[[#This Row],[Parameter name]]</f>
        <v>i_BAC_DSWI_1y</v>
      </c>
      <c r="V76" s="47">
        <f>IF($Z$6=FALSE,Table2[[#This Row],[Base case]],Table2[[#This Row],[Sampled value]])</f>
        <v>4.67</v>
      </c>
      <c r="W76" s="14">
        <v>0.12384271621704102</v>
      </c>
    </row>
    <row r="77" spans="3:24" ht="16.5" x14ac:dyDescent="0.3">
      <c r="C77" s="1">
        <f t="shared" si="9"/>
        <v>71</v>
      </c>
      <c r="D77" s="1" t="s">
        <v>270</v>
      </c>
      <c r="E77" s="1" t="s">
        <v>253</v>
      </c>
      <c r="F77" s="38" t="s">
        <v>194</v>
      </c>
      <c r="G77" s="1">
        <v>20</v>
      </c>
      <c r="H77" s="47" t="s">
        <v>203</v>
      </c>
      <c r="I77" s="47"/>
      <c r="J77" s="47"/>
      <c r="K77" s="47" t="s">
        <v>271</v>
      </c>
      <c r="L77" s="47">
        <f>Background!F20</f>
        <v>0.61</v>
      </c>
      <c r="M77" s="47">
        <f>IF(Parameters!$H77&lt;1,"",Background!H20)</f>
        <v>5.7481760714745811E-4</v>
      </c>
      <c r="N77" s="47" t="str">
        <f>IF(Parameters!$I77&lt;1,"",Background!N20)</f>
        <v/>
      </c>
      <c r="O77" s="47" t="str">
        <f>IF(Parameters!$J77&lt;1,"",Background!O20)</f>
        <v/>
      </c>
      <c r="P77"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5.7481760714745811E-4</v>
      </c>
      <c r="Q77" s="1" t="s">
        <v>209</v>
      </c>
      <c r="R77" s="1">
        <v>0</v>
      </c>
      <c r="S77" s="1">
        <v>100</v>
      </c>
      <c r="T77" s="47">
        <f>IF(Table2[[#This Row],[Distribution]]="Linked",100-T76,IF(Table2[[#This Row],[Distribution]]="None",Table2[[#This Row],[Base case]],MIN(Table2[[#This Row],[Max]],MAX(Table2[[#This Row],[Min]],IF(Table2[[#This Row],[Distribution]]="Normal",_xlfn.NORM.INV(W77,Table2[[#This Row],[Base case]],Table2[[#This Row],[Sample variance]]),_xlfn.LOGNORM.INV(W77,LN(Table2[[#This Row],[Base case]]),Table2[[#This Row],[Sample variance]]))))))</f>
        <v>0.61043974085883079</v>
      </c>
      <c r="U77" s="47" t="str">
        <f>"i_"&amp;Table2[[#This Row],[Parameter name]]</f>
        <v>i_Bac_CABG_death</v>
      </c>
      <c r="V77" s="47">
        <f>IF($Z$6=FALSE,Table2[[#This Row],[Base case]],Table2[[#This Row],[Sampled value]])</f>
        <v>0.61</v>
      </c>
      <c r="W77" s="14">
        <v>0.77786701917648315</v>
      </c>
    </row>
    <row r="78" spans="3:24" ht="16.5" x14ac:dyDescent="0.3">
      <c r="C78" s="1">
        <f>C77+1</f>
        <v>72</v>
      </c>
      <c r="D78" s="1" t="s">
        <v>276</v>
      </c>
      <c r="E78" s="1" t="s">
        <v>253</v>
      </c>
      <c r="F78" s="38" t="s">
        <v>194</v>
      </c>
      <c r="G78" s="1">
        <v>22</v>
      </c>
      <c r="H78" s="47" t="s">
        <v>203</v>
      </c>
      <c r="I78" s="47"/>
      <c r="J78" s="47"/>
      <c r="K78" s="47" t="s">
        <v>275</v>
      </c>
      <c r="L78" s="47">
        <f>Background!F22</f>
        <v>7.9</v>
      </c>
      <c r="M78" s="47">
        <f>IF(Parameters!$H78&lt;1,"",Background!H22)</f>
        <v>8.5</v>
      </c>
      <c r="N78" s="47"/>
      <c r="O78" s="47"/>
      <c r="P78"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8.5</v>
      </c>
      <c r="Q78" s="1" t="s">
        <v>209</v>
      </c>
      <c r="R78" s="1">
        <v>2</v>
      </c>
      <c r="S78" s="1">
        <v>30</v>
      </c>
      <c r="T78" s="47">
        <f>IF(Table2[[#This Row],[Distribution]]="Linked",100-T77,IF(Table2[[#This Row],[Distribution]]="None",Table2[[#This Row],[Base case]],MIN(Table2[[#This Row],[Max]],MAX(Table2[[#This Row],[Min]],IF(Table2[[#This Row],[Distribution]]="Normal",_xlfn.NORM.INV(W78,Table2[[#This Row],[Base case]],Table2[[#This Row],[Sample variance]]),_xlfn.LOGNORM.INV(W78,LN(Table2[[#This Row],[Base case]]),Table2[[#This Row],[Sample variance]]))))))</f>
        <v>11.422269354296866</v>
      </c>
      <c r="U78" s="47" t="str">
        <f>"i_"&amp;Table2[[#This Row],[Parameter name]]</f>
        <v>i_Bac_MV_days</v>
      </c>
      <c r="V78" s="47">
        <f>IF($Z$6=FALSE,Table2[[#This Row],[Base case]],Table2[[#This Row],[Sampled value]])</f>
        <v>7.9</v>
      </c>
      <c r="W78" s="14">
        <v>0.66070377826690674</v>
      </c>
    </row>
    <row r="79" spans="3:24" ht="16.5" x14ac:dyDescent="0.3">
      <c r="C79" s="1">
        <f>C78+1</f>
        <v>73</v>
      </c>
      <c r="D79" s="11" t="s">
        <v>316</v>
      </c>
      <c r="E79" s="1" t="s">
        <v>249</v>
      </c>
      <c r="F79" s="44" t="s">
        <v>194</v>
      </c>
      <c r="G79" s="1">
        <v>22</v>
      </c>
      <c r="H79" s="47" t="s">
        <v>203</v>
      </c>
      <c r="I79" s="47"/>
      <c r="J79" s="47"/>
      <c r="K79" s="47" t="str">
        <f>MID(Table2[[#This Row],[Page]],1,3)&amp;"_"&amp;MID(Table2[[#This Row],[Parameter]],1,4)</f>
        <v>Cos_Mort</v>
      </c>
      <c r="L79" s="76">
        <f>'Costs AE'!F22</f>
        <v>0</v>
      </c>
      <c r="M79" s="47">
        <f>IF(Parameters!$H79&lt;1,"",'Costs AE'!H22)</f>
        <v>100</v>
      </c>
      <c r="N79" s="47" t="str">
        <f>IF(Parameters!$I79&lt;1,"",'Costs AE'!N22)</f>
        <v/>
      </c>
      <c r="O79" s="47" t="str">
        <f>IF(Parameters!$J79&lt;1,"",'Costs AE'!O22)</f>
        <v/>
      </c>
      <c r="P79"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100</v>
      </c>
      <c r="Q79" s="1" t="s">
        <v>209</v>
      </c>
      <c r="R79" s="1">
        <v>0</v>
      </c>
      <c r="S79" s="1">
        <v>20000</v>
      </c>
      <c r="T79" s="47">
        <f>IF(Table2[[#This Row],[Distribution]]="Linked",100-T78,IF(Table2[[#This Row],[Distribution]]="None",Table2[[#This Row],[Base case]],MIN(Table2[[#This Row],[Max]],MAX(Table2[[#This Row],[Min]],IF(Table2[[#This Row],[Distribution]]="Normal",_xlfn.NORM.INV(W79,Table2[[#This Row],[Base case]],Table2[[#This Row],[Sample variance]]),_xlfn.LOGNORM.INV(W79,LN(Table2[[#This Row],[Base case]]),Table2[[#This Row],[Sample variance]]))))))</f>
        <v>42.605055841726802</v>
      </c>
      <c r="U79" s="47" t="str">
        <f>"i_"&amp;Table2[[#This Row],[Parameter name]]</f>
        <v>i_Cos_Mort</v>
      </c>
      <c r="V79" s="47">
        <f>IF($Z$6=FALSE,Table2[[#This Row],[Base case]],Table2[[#This Row],[Sampled value]])</f>
        <v>0</v>
      </c>
      <c r="W79" s="14">
        <v>0.66496449708938599</v>
      </c>
    </row>
    <row r="80" spans="3:24" ht="16.5" x14ac:dyDescent="0.3">
      <c r="C80" s="1">
        <f>C79+1</f>
        <v>74</v>
      </c>
      <c r="D80" s="11" t="s">
        <v>455</v>
      </c>
      <c r="E80" s="1" t="s">
        <v>253</v>
      </c>
      <c r="F80" s="139" t="s">
        <v>194</v>
      </c>
      <c r="G80" s="1">
        <v>24</v>
      </c>
      <c r="H80" s="47" t="s">
        <v>203</v>
      </c>
      <c r="I80" s="47"/>
      <c r="J80" s="47"/>
      <c r="K80" s="47" t="str">
        <f>MID(Table2[[#This Row],[Page]],1,3)&amp;"_"&amp;MID(Table2[[#This Row],[Parameter]],1,4)</f>
        <v xml:space="preserve">Bac_ICU </v>
      </c>
      <c r="L80" s="47">
        <f>Background!F24</f>
        <v>0.18230563002680966</v>
      </c>
      <c r="M80" s="47">
        <f>IF(Parameters!$H80&lt;1,"",Background!H24)</f>
        <v>1.8230563002680965E-2</v>
      </c>
      <c r="N80" s="47" t="str">
        <f>IF(Parameters!$I80&lt;1,"",Background!N24)</f>
        <v/>
      </c>
      <c r="O80" s="47" t="str">
        <f>IF(Parameters!$J80&lt;1,"",Background!O24)</f>
        <v/>
      </c>
      <c r="P80"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1.8230563002680965E-2</v>
      </c>
      <c r="Q80" s="1" t="s">
        <v>209</v>
      </c>
      <c r="R80" s="1">
        <v>0</v>
      </c>
      <c r="S80" s="1">
        <v>1</v>
      </c>
      <c r="T80" s="47">
        <f>IF(Table2[[#This Row],[Distribution]]="Linked",100-T79,IF(Table2[[#This Row],[Distribution]]="None",Table2[[#This Row],[Base case]],MIN(Table2[[#This Row],[Max]],MAX(Table2[[#This Row],[Min]],IF(Table2[[#This Row],[Distribution]]="Normal",_xlfn.NORM.INV(W80,Table2[[#This Row],[Base case]],Table2[[#This Row],[Sample variance]]),_xlfn.LOGNORM.INV(W80,LN(Table2[[#This Row],[Base case]]),Table2[[#This Row],[Sample variance]]))))))</f>
        <v>0.1618884664945569</v>
      </c>
      <c r="U80" s="47" t="str">
        <f>"i_"&amp;Table2[[#This Row],[Parameter name]]</f>
        <v xml:space="preserve">i_Bac_ICU </v>
      </c>
      <c r="V80" s="47">
        <f>IF($Z$6=FALSE,Table2[[#This Row],[Base case]],Table2[[#This Row],[Sampled value]])</f>
        <v>0.18230563002680966</v>
      </c>
      <c r="W80" s="14">
        <v>0.13136935234069824</v>
      </c>
      <c r="X80" s="14"/>
    </row>
    <row r="81" spans="3:23" ht="16.5" x14ac:dyDescent="0.3">
      <c r="C81" s="1">
        <f>C80+1</f>
        <v>75</v>
      </c>
      <c r="D81" s="11" t="s">
        <v>461</v>
      </c>
      <c r="E81" s="1" t="s">
        <v>253</v>
      </c>
      <c r="F81" s="139" t="s">
        <v>194</v>
      </c>
      <c r="G81" s="1">
        <v>26</v>
      </c>
      <c r="H81" s="47" t="s">
        <v>203</v>
      </c>
      <c r="I81" s="47"/>
      <c r="J81" s="47"/>
      <c r="K81" s="47" t="str">
        <f>MID(Table2[[#This Row],[Page]],1,3)&amp;"_"&amp;MID(Table2[[#This Row],[Parameter]],1,4)</f>
        <v>Bac_Obes</v>
      </c>
      <c r="L81" s="47">
        <f>Background!F26</f>
        <v>65</v>
      </c>
      <c r="M81" s="47">
        <f>IF(Parameters!$H81&lt;1,"",Background!H26)</f>
        <v>6.5</v>
      </c>
      <c r="N81" s="47" t="str">
        <f>IF(Parameters!$I81&lt;1,"",Background!N26)</f>
        <v/>
      </c>
      <c r="O81" s="47" t="str">
        <f>IF(Parameters!$J81&lt;1,"",Background!O26)</f>
        <v/>
      </c>
      <c r="P81" s="47">
        <f>IF(Table2[[#This Row],[Distribution]]="None","",IF(AND(LEN(Table2[[#This Row],[95 min]])&gt;0,LEN(Table2[[#This Row],[95 max]])&gt;0),IF(Table2[[#This Row],[Distribution]]="Normal",
((Table2[[#This Row],[95 max]]-Table2[[#This Row],[95 min]])/3.92),((LN(Table2[[#This Row],[95 max]])-LN(Table2[[#This Row],[95 min]]))/3.92)),IF(LEN(Table2[[#This Row],[Variance]])&gt;0,Table2[[#This Row],[Variance]],0.0001)))</f>
        <v>6.5</v>
      </c>
      <c r="Q81" s="1" t="s">
        <v>209</v>
      </c>
      <c r="R81" s="1">
        <v>0.01</v>
      </c>
      <c r="S81" s="1">
        <v>99.99</v>
      </c>
      <c r="T81" s="47">
        <f>IF(Table2[[#This Row],[Distribution]]="Linked",100-T80,IF(Table2[[#This Row],[Distribution]]="None",Table2[[#This Row],[Base case]],MIN(Table2[[#This Row],[Max]],MAX(Table2[[#This Row],[Min]],IF(Table2[[#This Row],[Distribution]]="Normal",_xlfn.NORM.INV(W81,Table2[[#This Row],[Base case]],Table2[[#This Row],[Sample variance]]),_xlfn.LOGNORM.INV(W81,LN(Table2[[#This Row],[Base case]]),Table2[[#This Row],[Sample variance]]))))))</f>
        <v>78.643824721380781</v>
      </c>
      <c r="U81" s="47" t="str">
        <f>"i_"&amp;Table2[[#This Row],[Parameter name]]</f>
        <v>i_Bac_Obes</v>
      </c>
      <c r="V81" s="47">
        <f>IF($Z$6=FALSE,Table2[[#This Row],[Base case]],Table2[[#This Row],[Sampled value]])</f>
        <v>65</v>
      </c>
      <c r="W81" s="14">
        <v>0.98209375143051147</v>
      </c>
    </row>
    <row r="82" spans="3:23" x14ac:dyDescent="0.3">
      <c r="W82" s="1">
        <v>0.61760365962982178</v>
      </c>
    </row>
  </sheetData>
  <mergeCells count="3">
    <mergeCell ref="C1:U1"/>
    <mergeCell ref="C2:U2"/>
    <mergeCell ref="F4:V4"/>
  </mergeCells>
  <hyperlinks>
    <hyperlink ref="A6" location="Home!A1" display="Home" xr:uid="{00000000-0004-0000-0D00-000000000000}"/>
    <hyperlink ref="A8" location="Setup!A1" display="Model set up" xr:uid="{00000000-0004-0000-0D00-000001000000}"/>
    <hyperlink ref="A10" location="Population!A1" display="Population" xr:uid="{00000000-0004-0000-0D00-000002000000}"/>
  </hyperlinks>
  <pageMargins left="0.7" right="0.7" top="0.75" bottom="0.75" header="0.3" footer="0.3"/>
  <pageSetup paperSize="9" orientation="portrait" horizontalDpi="4294967293" verticalDpi="30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 operator="containsText" id="{26F509D8-9B0F-459E-B5F8-0E4A05910801}">
            <xm:f>NOT(ISERROR(SEARCH($C$4,A6)))</xm:f>
            <xm:f>$C$4</xm:f>
            <x14:dxf>
              <font>
                <b val="0"/>
                <i val="0"/>
                <strike val="0"/>
                <color theme="0"/>
              </font>
              <fill>
                <patternFill>
                  <bgColor theme="5"/>
                </patternFill>
              </fill>
            </x14:dxf>
          </x14:cfRule>
          <xm:sqref>A6:A11 A17:A41</xm:sqref>
        </x14:conditionalFormatting>
        <x14:conditionalFormatting xmlns:xm="http://schemas.microsoft.com/office/excel/2006/main">
          <x14:cfRule type="containsText" priority="1" operator="containsText" id="{07826252-301F-49D7-9776-B189A0AADEDE}">
            <xm:f>NOT(ISERROR(SEARCH($C$4,A12)))</xm:f>
            <xm:f>$C$4</xm:f>
            <x14:dxf>
              <font>
                <b val="0"/>
                <i val="0"/>
                <strike val="0"/>
                <color theme="0"/>
              </font>
              <fill>
                <patternFill>
                  <bgColor theme="5"/>
                </patternFill>
              </fill>
            </x14:dxf>
          </x14:cfRule>
          <xm:sqref>A12:A16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1"/>
  </sheetPr>
  <dimension ref="A1:Z115"/>
  <sheetViews>
    <sheetView topLeftCell="I78" workbookViewId="0">
      <selection activeCell="J80" sqref="J80"/>
    </sheetView>
  </sheetViews>
  <sheetFormatPr defaultColWidth="8.625" defaultRowHeight="15" x14ac:dyDescent="0.3"/>
  <cols>
    <col min="1" max="1" width="21" style="1" customWidth="1"/>
    <col min="2" max="3" width="8.625" style="1"/>
    <col min="4" max="4" width="19" style="1" customWidth="1"/>
    <col min="5" max="6" width="8.625" style="1"/>
    <col min="7" max="7" width="15" style="1" customWidth="1"/>
    <col min="8" max="8" width="9.875" style="1" customWidth="1"/>
    <col min="9" max="9" width="10.375" style="1" customWidth="1"/>
    <col min="10" max="10" width="11.375" style="1" customWidth="1"/>
    <col min="11" max="11" width="11.25" style="1" customWidth="1"/>
    <col min="12" max="13" width="8.625" style="1"/>
    <col min="14" max="14" width="11.875" style="1" customWidth="1"/>
    <col min="15" max="15" width="13.875" style="1" customWidth="1"/>
    <col min="16" max="16" width="17.125" style="1" customWidth="1"/>
    <col min="17" max="18" width="35" style="1" customWidth="1"/>
    <col min="19" max="19" width="12.5" style="1" customWidth="1"/>
    <col min="20" max="16384" width="8.625" style="1"/>
  </cols>
  <sheetData>
    <row r="1" spans="1:26" ht="24"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19.5"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18.75" x14ac:dyDescent="0.3">
      <c r="A4" s="7" t="s">
        <v>0</v>
      </c>
      <c r="B4" s="8"/>
      <c r="C4" s="10" t="s">
        <v>44</v>
      </c>
      <c r="D4" s="10"/>
      <c r="E4" s="10"/>
      <c r="F4" s="145" t="s">
        <v>45</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t="s">
        <v>448</v>
      </c>
      <c r="C5" s="16">
        <f>Setup!G11</f>
        <v>2016</v>
      </c>
      <c r="D5"/>
      <c r="E5"/>
      <c r="F5"/>
      <c r="G5"/>
      <c r="H5"/>
      <c r="I5"/>
      <c r="J5"/>
      <c r="K5"/>
      <c r="L5"/>
      <c r="M5"/>
      <c r="N5"/>
      <c r="O5"/>
      <c r="P5"/>
      <c r="Q5"/>
      <c r="R5"/>
      <c r="S5"/>
      <c r="T5"/>
      <c r="U5"/>
      <c r="V5"/>
      <c r="W5"/>
      <c r="X5"/>
      <c r="Y5"/>
      <c r="Z5"/>
    </row>
    <row r="6" spans="1:26" ht="18" thickTop="1" thickBot="1" x14ac:dyDescent="0.35">
      <c r="A6" s="9" t="s">
        <v>1</v>
      </c>
      <c r="C6" s="27" t="s">
        <v>38</v>
      </c>
      <c r="D6" s="27" t="s">
        <v>14</v>
      </c>
      <c r="E6" s="27" t="s">
        <v>69</v>
      </c>
      <c r="F6" s="27" t="s">
        <v>58</v>
      </c>
      <c r="G6" s="27" t="s">
        <v>59</v>
      </c>
      <c r="H6" s="27" t="s">
        <v>60</v>
      </c>
      <c r="I6" s="27" t="s">
        <v>61</v>
      </c>
      <c r="J6" s="27" t="s">
        <v>62</v>
      </c>
      <c r="K6" s="27" t="s">
        <v>20</v>
      </c>
      <c r="L6" s="27" t="s">
        <v>377</v>
      </c>
      <c r="M6" s="27" t="s">
        <v>378</v>
      </c>
      <c r="N6" s="27" t="s">
        <v>36</v>
      </c>
      <c r="O6" s="27" t="s">
        <v>37</v>
      </c>
      <c r="P6" s="27" t="s">
        <v>63</v>
      </c>
      <c r="Q6" s="27" t="s">
        <v>64</v>
      </c>
      <c r="R6" s="27" t="s">
        <v>42</v>
      </c>
      <c r="S6" s="27" t="s">
        <v>65</v>
      </c>
      <c r="T6" s="27" t="s">
        <v>49</v>
      </c>
      <c r="U6" s="27" t="s">
        <v>66</v>
      </c>
      <c r="V6" s="27" t="s">
        <v>67</v>
      </c>
      <c r="W6" s="27" t="s">
        <v>68</v>
      </c>
    </row>
    <row r="7" spans="1:26" ht="46.5" thickTop="1" thickBot="1" x14ac:dyDescent="0.35">
      <c r="A7" s="2"/>
      <c r="C7">
        <v>1</v>
      </c>
      <c r="D7" t="str">
        <f>Table2[[#This Row],[Parameter]]</f>
        <v>Time horizon</v>
      </c>
      <c r="E7" s="109" t="str">
        <f>Table2[[#This Row],[Page]]</f>
        <v>Setup</v>
      </c>
      <c r="F7" s="109" t="str">
        <f>Table2[[#This Row],[Column]]&amp;Table2[[#This Row],[Row]]</f>
        <v>F10</v>
      </c>
      <c r="G7" s="109" t="str">
        <f>IF(LEN(Table2[[#This Row],[var col]])&gt;0,Table2[[#This Row],[var col]]&amp;Table2[[#This Row],[Row]],"")</f>
        <v/>
      </c>
      <c r="H7" s="109" t="str">
        <f>IF(LEN(Table2[[#This Row],[min col]])&gt;0,Table2[[#This Row],[min col]]&amp;Table2[[#This Row],[Row]],"")</f>
        <v/>
      </c>
      <c r="I7" s="109" t="str">
        <f>IF(LEN(Table2[[#This Row],[max col]])&gt;0,Table2[[#This Row],[max col]]&amp;Table2[[#This Row],[Row]],"")</f>
        <v/>
      </c>
      <c r="J7" s="109">
        <v>1</v>
      </c>
      <c r="K7" s="109" t="s">
        <v>443</v>
      </c>
      <c r="L7" s="109" t="s">
        <v>443</v>
      </c>
      <c r="M7" s="109" t="s">
        <v>443</v>
      </c>
      <c r="N7" s="109" t="s">
        <v>443</v>
      </c>
      <c r="O7" s="109" t="s">
        <v>443</v>
      </c>
      <c r="P7"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v>
      </c>
      <c r="Q7" s="113" t="s">
        <v>362</v>
      </c>
      <c r="R7" s="113"/>
    </row>
    <row r="8" spans="1:26" ht="18" thickTop="1" thickBot="1" x14ac:dyDescent="0.35">
      <c r="A8" s="9" t="s">
        <v>12</v>
      </c>
      <c r="C8">
        <f>C7+1</f>
        <v>2</v>
      </c>
      <c r="D8" s="109" t="str">
        <f>Table2[[#This Row],[Parameter]]</f>
        <v>Currency</v>
      </c>
      <c r="E8" s="109" t="str">
        <f>Table2[[#This Row],[Page]]</f>
        <v>Setup</v>
      </c>
      <c r="F8" t="str">
        <f>Table2[[#This Row],[Column]]&amp;Table2[[#This Row],[Row]]</f>
        <v>F11</v>
      </c>
      <c r="G8" t="str">
        <f>IF(LEN(Table2[[#This Row],[var col]])&gt;0,Table2[[#This Row],[var col]]&amp;Table2[[#This Row],[Row]],"")</f>
        <v/>
      </c>
      <c r="H8" t="str">
        <f>IF(LEN(Table2[[#This Row],[min col]])&gt;0,Table2[[#This Row],[min col]]&amp;Table2[[#This Row],[Row]],"")</f>
        <v/>
      </c>
      <c r="I8" t="str">
        <f>IF(LEN(Table2[[#This Row],[max col]])&gt;0,Table2[[#This Row],[max col]]&amp;Table2[[#This Row],[Row]],"")</f>
        <v/>
      </c>
      <c r="J8" t="s">
        <v>29</v>
      </c>
      <c r="K8" t="s">
        <v>443</v>
      </c>
      <c r="L8" s="109" t="s">
        <v>443</v>
      </c>
      <c r="M8" s="109" t="s">
        <v>443</v>
      </c>
      <c r="N8" t="s">
        <v>443</v>
      </c>
      <c r="O8" t="s">
        <v>443</v>
      </c>
      <c r="P8"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USD</v>
      </c>
      <c r="Q8" s="113" t="s">
        <v>363</v>
      </c>
      <c r="R8" s="113"/>
    </row>
    <row r="9" spans="1:26" ht="31.5" thickTop="1" thickBot="1" x14ac:dyDescent="0.35">
      <c r="A9" s="2"/>
      <c r="C9" s="109">
        <f t="shared" ref="C9:C25" si="0">C8+1</f>
        <v>3</v>
      </c>
      <c r="D9" s="109" t="str">
        <f>Table2[[#This Row],[Parameter]]</f>
        <v>Year for currency</v>
      </c>
      <c r="E9" s="109" t="str">
        <f>Table2[[#This Row],[Page]]</f>
        <v>Setup</v>
      </c>
      <c r="F9" s="109" t="str">
        <f>Table2[[#This Row],[Column]]&amp;Table2[[#This Row],[Row]]</f>
        <v>G11</v>
      </c>
      <c r="G9" s="109" t="str">
        <f>IF(LEN(Table2[[#This Row],[var col]])&gt;0,Table2[[#This Row],[var col]]&amp;Table2[[#This Row],[Row]],"")</f>
        <v/>
      </c>
      <c r="H9" s="109" t="str">
        <f>IF(LEN(Table2[[#This Row],[min col]])&gt;0,Table2[[#This Row],[min col]]&amp;Table2[[#This Row],[Row]],"")</f>
        <v/>
      </c>
      <c r="I9" s="109" t="str">
        <f>IF(LEN(Table2[[#This Row],[max col]])&gt;0,Table2[[#This Row],[max col]]&amp;Table2[[#This Row],[Row]],"")</f>
        <v/>
      </c>
      <c r="J9" s="109">
        <v>2016</v>
      </c>
      <c r="K9" s="109" t="s">
        <v>443</v>
      </c>
      <c r="L9" s="109" t="s">
        <v>443</v>
      </c>
      <c r="M9" s="109" t="s">
        <v>443</v>
      </c>
      <c r="N9" s="109" t="s">
        <v>443</v>
      </c>
      <c r="O9" s="109" t="s">
        <v>443</v>
      </c>
      <c r="P9"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2016</v>
      </c>
      <c r="Q9" s="113" t="s">
        <v>364</v>
      </c>
      <c r="R9" s="113"/>
    </row>
    <row r="10" spans="1:26" ht="31.5" thickTop="1" thickBot="1" x14ac:dyDescent="0.35">
      <c r="A10" s="9" t="s">
        <v>13</v>
      </c>
      <c r="C10" s="109">
        <f t="shared" si="0"/>
        <v>4</v>
      </c>
      <c r="D10" s="109" t="str">
        <f>Table2[[#This Row],[Parameter]]</f>
        <v>CABG patients</v>
      </c>
      <c r="E10" s="109" t="str">
        <f>Table2[[#This Row],[Page]]</f>
        <v>Setup</v>
      </c>
      <c r="F10" s="109" t="str">
        <f>Table2[[#This Row],[Column]]&amp;Table2[[#This Row],[Row]]</f>
        <v>F14</v>
      </c>
      <c r="G10" s="109" t="str">
        <f>IF(LEN(Table2[[#This Row],[var col]])&gt;0,Table2[[#This Row],[var col]]&amp;Table2[[#This Row],[Row]],"")</f>
        <v/>
      </c>
      <c r="H10" s="109" t="str">
        <f>IF(LEN(Table2[[#This Row],[min col]])&gt;0,Table2[[#This Row],[min col]]&amp;Table2[[#This Row],[Row]],"")</f>
        <v/>
      </c>
      <c r="I10" s="109" t="str">
        <f>IF(LEN(Table2[[#This Row],[max col]])&gt;0,Table2[[#This Row],[max col]]&amp;Table2[[#This Row],[Row]],"")</f>
        <v/>
      </c>
      <c r="J10" s="109">
        <v>200</v>
      </c>
      <c r="K10" s="109" t="s">
        <v>443</v>
      </c>
      <c r="L10" s="109" t="s">
        <v>443</v>
      </c>
      <c r="M10" s="109" t="s">
        <v>443</v>
      </c>
      <c r="N10" s="109" t="s">
        <v>443</v>
      </c>
      <c r="O10" s="109" t="s">
        <v>443</v>
      </c>
      <c r="P10"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200</v>
      </c>
      <c r="Q10" s="113" t="s">
        <v>431</v>
      </c>
      <c r="R10" s="113"/>
    </row>
    <row r="11" spans="1:26" ht="76.5" thickTop="1" thickBot="1" x14ac:dyDescent="0.35">
      <c r="A11" s="2"/>
      <c r="C11" s="109">
        <f t="shared" si="0"/>
        <v>5</v>
      </c>
      <c r="D11" s="109" t="str">
        <f>Table2[[#This Row],[Parameter]]</f>
        <v>Cost discount rate</v>
      </c>
      <c r="E11" s="109" t="str">
        <f>Table2[[#This Row],[Page]]</f>
        <v>Setup</v>
      </c>
      <c r="F11" s="109" t="str">
        <f>Table2[[#This Row],[Column]]&amp;Table2[[#This Row],[Row]]</f>
        <v>F12</v>
      </c>
      <c r="G11" s="109" t="str">
        <f>IF(LEN(Table2[[#This Row],[var col]])&gt;0,Table2[[#This Row],[var col]]&amp;Table2[[#This Row],[Row]],"")</f>
        <v/>
      </c>
      <c r="H11" s="109" t="str">
        <f>IF(LEN(Table2[[#This Row],[min col]])&gt;0,Table2[[#This Row],[min col]]&amp;Table2[[#This Row],[Row]],"")</f>
        <v/>
      </c>
      <c r="I11" s="109" t="str">
        <f>IF(LEN(Table2[[#This Row],[max col]])&gt;0,Table2[[#This Row],[max col]]&amp;Table2[[#This Row],[Row]],"")</f>
        <v/>
      </c>
      <c r="J11" s="109">
        <v>3.5</v>
      </c>
      <c r="K11" s="109" t="s">
        <v>443</v>
      </c>
      <c r="L11" s="109" t="s">
        <v>443</v>
      </c>
      <c r="M11" s="109" t="s">
        <v>443</v>
      </c>
      <c r="N11" s="109" t="s">
        <v>443</v>
      </c>
      <c r="O11" s="109" t="s">
        <v>443</v>
      </c>
      <c r="P11"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3,5</v>
      </c>
      <c r="Q11" s="113" t="s">
        <v>366</v>
      </c>
      <c r="R11" s="113" t="s">
        <v>365</v>
      </c>
    </row>
    <row r="12" spans="1:26" ht="91.5" thickTop="1" thickBot="1" x14ac:dyDescent="0.35">
      <c r="A12" s="9" t="s">
        <v>22</v>
      </c>
      <c r="C12" s="109">
        <f t="shared" si="0"/>
        <v>6</v>
      </c>
      <c r="D12" s="109" t="str">
        <f>Table2[[#This Row],[Parameter]]</f>
        <v>Age</v>
      </c>
      <c r="E12" s="109" t="str">
        <f>Table2[[#This Row],[Page]]</f>
        <v>Population</v>
      </c>
      <c r="F12" s="109" t="str">
        <f>Table2[[#This Row],[Column]]&amp;Table2[[#This Row],[Row]]</f>
        <v>F10</v>
      </c>
      <c r="G12" s="109" t="str">
        <f>IF(LEN(Table2[[#This Row],[var col]])&gt;0,Table2[[#This Row],[var col]]&amp;Table2[[#This Row],[Row]],"")</f>
        <v/>
      </c>
      <c r="H12" s="109" t="str">
        <f>IF(LEN(Table2[[#This Row],[min col]])&gt;0,Table2[[#This Row],[min col]]&amp;Table2[[#This Row],[Row]],"")</f>
        <v>I10</v>
      </c>
      <c r="I12" s="109" t="str">
        <f>IF(LEN(Table2[[#This Row],[max col]])&gt;0,Table2[[#This Row],[max col]]&amp;Table2[[#This Row],[Row]],"")</f>
        <v>J10</v>
      </c>
      <c r="J12" s="109">
        <v>73</v>
      </c>
      <c r="K12" s="109">
        <v>2.295918367346939</v>
      </c>
      <c r="L12" s="109">
        <v>69</v>
      </c>
      <c r="M12" s="109">
        <v>78</v>
      </c>
      <c r="N12" s="109">
        <v>61.7</v>
      </c>
      <c r="O12" s="109">
        <v>85.3</v>
      </c>
      <c r="P12"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73, with a variance of 2,296. The limits of the parameter are set at: 61,7--&gt;85,3.</v>
      </c>
      <c r="Q12" s="113" t="s">
        <v>359</v>
      </c>
      <c r="R12" s="113" t="s">
        <v>358</v>
      </c>
    </row>
    <row r="13" spans="1:26" ht="91.5" thickTop="1" thickBot="1" x14ac:dyDescent="0.35">
      <c r="A13" s="2"/>
      <c r="C13" s="109">
        <f t="shared" si="0"/>
        <v>7</v>
      </c>
      <c r="D13" s="109" t="str">
        <f>Table2[[#This Row],[Parameter]]</f>
        <v>Gender, female</v>
      </c>
      <c r="E13" s="109" t="str">
        <f>Table2[[#This Row],[Page]]</f>
        <v>Population</v>
      </c>
      <c r="F13" s="109" t="str">
        <f>Table2[[#This Row],[Column]]&amp;Table2[[#This Row],[Row]]</f>
        <v>F11</v>
      </c>
      <c r="G13" s="109" t="str">
        <f>IF(LEN(Table2[[#This Row],[var col]])&gt;0,Table2[[#This Row],[var col]]&amp;Table2[[#This Row],[Row]],"")</f>
        <v>H11</v>
      </c>
      <c r="H13" s="109" t="str">
        <f>IF(LEN(Table2[[#This Row],[min col]])&gt;0,Table2[[#This Row],[min col]]&amp;Table2[[#This Row],[Row]],"")</f>
        <v/>
      </c>
      <c r="I13" s="109" t="str">
        <f>IF(LEN(Table2[[#This Row],[max col]])&gt;0,Table2[[#This Row],[max col]]&amp;Table2[[#This Row],[Row]],"")</f>
        <v/>
      </c>
      <c r="J13" s="109">
        <v>29.8</v>
      </c>
      <c r="K13" s="109">
        <v>0.17740017683209866</v>
      </c>
      <c r="L13" s="109" t="s">
        <v>443</v>
      </c>
      <c r="M13" s="109" t="s">
        <v>443</v>
      </c>
      <c r="N13" s="109">
        <v>0</v>
      </c>
      <c r="O13" s="109">
        <v>100</v>
      </c>
      <c r="P13"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29,8, with a variance of 0,177. The limits of the parameter are set at: 0--&gt;100.</v>
      </c>
      <c r="Q13" s="113" t="s">
        <v>360</v>
      </c>
      <c r="R13" s="113" t="s">
        <v>358</v>
      </c>
    </row>
    <row r="14" spans="1:26" ht="76.5" thickTop="1" thickBot="1" x14ac:dyDescent="0.35">
      <c r="A14" s="9" t="s">
        <v>23</v>
      </c>
      <c r="C14" s="109">
        <f t="shared" si="0"/>
        <v>8</v>
      </c>
      <c r="D14" s="109" t="str">
        <f>Table2[[#This Row],[Parameter]]</f>
        <v>Obese, body mass index</v>
      </c>
      <c r="E14" s="109" t="str">
        <f>Table2[[#This Row],[Page]]</f>
        <v>Population</v>
      </c>
      <c r="F14" s="109" t="str">
        <f>Table2[[#This Row],[Column]]&amp;Table2[[#This Row],[Row]]</f>
        <v>F12</v>
      </c>
      <c r="G14" s="109" t="str">
        <f>IF(LEN(Table2[[#This Row],[var col]])&gt;0,Table2[[#This Row],[var col]]&amp;Table2[[#This Row],[Row]],"")</f>
        <v>H12</v>
      </c>
      <c r="H14" s="109" t="str">
        <f>IF(LEN(Table2[[#This Row],[min col]])&gt;0,Table2[[#This Row],[min col]]&amp;Table2[[#This Row],[Row]],"")</f>
        <v/>
      </c>
      <c r="I14" s="109" t="str">
        <f>IF(LEN(Table2[[#This Row],[max col]])&gt;0,Table2[[#This Row],[max col]]&amp;Table2[[#This Row],[Row]],"")</f>
        <v/>
      </c>
      <c r="J14" s="109">
        <v>35</v>
      </c>
      <c r="K14" s="109">
        <v>0.48423933595664698</v>
      </c>
      <c r="L14" s="109" t="s">
        <v>443</v>
      </c>
      <c r="M14" s="109" t="s">
        <v>443</v>
      </c>
      <c r="N14" s="109">
        <v>0</v>
      </c>
      <c r="O14" s="109">
        <v>100</v>
      </c>
      <c r="P14"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35, with a variance of 0,484. The limits of the parameter are set at: 0--&gt;100.</v>
      </c>
      <c r="Q14" s="113" t="s">
        <v>368</v>
      </c>
      <c r="R14" s="113" t="s">
        <v>367</v>
      </c>
    </row>
    <row r="15" spans="1:26" ht="76.5" thickTop="1" thickBot="1" x14ac:dyDescent="0.35">
      <c r="A15" s="2"/>
      <c r="C15" s="109">
        <f t="shared" si="0"/>
        <v>9</v>
      </c>
      <c r="D15" s="109" t="str">
        <f>Table2[[#This Row],[Parameter]]</f>
        <v>Morbid obesity, body mass index</v>
      </c>
      <c r="E15" s="109" t="str">
        <f>Table2[[#This Row],[Page]]</f>
        <v>Population</v>
      </c>
      <c r="F15" s="109" t="str">
        <f>Table2[[#This Row],[Column]]&amp;Table2[[#This Row],[Row]]</f>
        <v>F13</v>
      </c>
      <c r="G15" s="109" t="str">
        <f>IF(LEN(Table2[[#This Row],[var col]])&gt;0,Table2[[#This Row],[var col]]&amp;Table2[[#This Row],[Row]],"")</f>
        <v>H13</v>
      </c>
      <c r="H15" s="109" t="str">
        <f>IF(LEN(Table2[[#This Row],[min col]])&gt;0,Table2[[#This Row],[min col]]&amp;Table2[[#This Row],[Row]],"")</f>
        <v/>
      </c>
      <c r="I15" s="109" t="str">
        <f>IF(LEN(Table2[[#This Row],[max col]])&gt;0,Table2[[#This Row],[max col]]&amp;Table2[[#This Row],[Row]],"")</f>
        <v/>
      </c>
      <c r="J15" s="109">
        <v>6</v>
      </c>
      <c r="K15" s="109">
        <v>0.24110649897219599</v>
      </c>
      <c r="L15" s="109" t="s">
        <v>443</v>
      </c>
      <c r="M15" s="109" t="s">
        <v>443</v>
      </c>
      <c r="N15" s="109">
        <v>0</v>
      </c>
      <c r="O15" s="109">
        <v>100</v>
      </c>
      <c r="P15"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6, with a variance of 0,241. The limits of the parameter are set at: 0--&gt;100.</v>
      </c>
      <c r="Q15" s="113" t="s">
        <v>368</v>
      </c>
      <c r="R15" s="113" t="s">
        <v>367</v>
      </c>
    </row>
    <row r="16" spans="1:26" ht="91.5" thickTop="1" thickBot="1" x14ac:dyDescent="0.35">
      <c r="A16" s="9" t="s">
        <v>24</v>
      </c>
      <c r="C16" s="109">
        <f t="shared" si="0"/>
        <v>10</v>
      </c>
      <c r="D16" s="109" t="str">
        <f>Table2[[#This Row],[Parameter]]</f>
        <v>Diabetes</v>
      </c>
      <c r="E16" s="109" t="str">
        <f>Table2[[#This Row],[Page]]</f>
        <v>Population</v>
      </c>
      <c r="F16" s="109" t="str">
        <f>Table2[[#This Row],[Column]]&amp;Table2[[#This Row],[Row]]</f>
        <v>F14</v>
      </c>
      <c r="G16" s="109" t="str">
        <f>IF(LEN(Table2[[#This Row],[var col]])&gt;0,Table2[[#This Row],[var col]]&amp;Table2[[#This Row],[Row]],"")</f>
        <v>H14</v>
      </c>
      <c r="H16" s="109" t="str">
        <f>IF(LEN(Table2[[#This Row],[min col]])&gt;0,Table2[[#This Row],[min col]]&amp;Table2[[#This Row],[Row]],"")</f>
        <v/>
      </c>
      <c r="I16" s="109" t="str">
        <f>IF(LEN(Table2[[#This Row],[max col]])&gt;0,Table2[[#This Row],[max col]]&amp;Table2[[#This Row],[Row]],"")</f>
        <v/>
      </c>
      <c r="J16" s="109">
        <v>45.2</v>
      </c>
      <c r="K16" s="109">
        <v>0.19303535425516741</v>
      </c>
      <c r="L16" s="109" t="s">
        <v>443</v>
      </c>
      <c r="M16" s="109" t="s">
        <v>443</v>
      </c>
      <c r="N16" s="109">
        <v>0</v>
      </c>
      <c r="O16" s="109">
        <v>100</v>
      </c>
      <c r="P16"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45,2, with a variance of 0,193. The limits of the parameter are set at: 0--&gt;100.</v>
      </c>
      <c r="Q16" s="113" t="s">
        <v>361</v>
      </c>
      <c r="R16" s="113" t="s">
        <v>358</v>
      </c>
    </row>
    <row r="17" spans="1:18" ht="18" thickTop="1" thickBot="1" x14ac:dyDescent="0.35">
      <c r="A17" s="2"/>
      <c r="C17" s="109">
        <f t="shared" si="0"/>
        <v>11</v>
      </c>
      <c r="D17" s="109" t="str">
        <f>Table2[[#This Row],[Parameter]]</f>
        <v>Purchase cost of lead</v>
      </c>
      <c r="E17" s="109" t="str">
        <f>Table2[[#This Row],[Page]]</f>
        <v>Interventions</v>
      </c>
      <c r="F17" s="109" t="str">
        <f>Table2[[#This Row],[Column]]&amp;Table2[[#This Row],[Row]]</f>
        <v>F10</v>
      </c>
      <c r="G17" s="109" t="str">
        <f>IF(LEN(Table2[[#This Row],[var col]])&gt;0,Table2[[#This Row],[var col]]&amp;Table2[[#This Row],[Row]],"")</f>
        <v>H10</v>
      </c>
      <c r="H17" s="109" t="str">
        <f>IF(LEN(Table2[[#This Row],[min col]])&gt;0,Table2[[#This Row],[min col]]&amp;Table2[[#This Row],[Row]],"")</f>
        <v/>
      </c>
      <c r="I17" s="109" t="str">
        <f>IF(LEN(Table2[[#This Row],[max col]])&gt;0,Table2[[#This Row],[max col]]&amp;Table2[[#This Row],[Row]],"")</f>
        <v/>
      </c>
      <c r="J17" s="109">
        <v>75</v>
      </c>
      <c r="K17" s="109">
        <v>2</v>
      </c>
      <c r="L17" s="109" t="s">
        <v>443</v>
      </c>
      <c r="M17" s="109" t="s">
        <v>443</v>
      </c>
      <c r="N17" s="109">
        <v>0</v>
      </c>
      <c r="O17" s="109">
        <v>1000</v>
      </c>
      <c r="P17"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75, with a variance of 2. The limits of the parameter are set at: 0--&gt;1000.</v>
      </c>
      <c r="Q17" s="113" t="s">
        <v>433</v>
      </c>
      <c r="R17" s="111" t="s">
        <v>435</v>
      </c>
    </row>
    <row r="18" spans="1:18" ht="18" thickTop="1" thickBot="1" x14ac:dyDescent="0.35">
      <c r="A18" s="9" t="s">
        <v>2</v>
      </c>
      <c r="C18" s="109">
        <f t="shared" si="0"/>
        <v>12</v>
      </c>
      <c r="D18" s="109" t="str">
        <f>Table2[[#This Row],[Parameter]]</f>
        <v>Number of patient uses</v>
      </c>
      <c r="E18" s="109" t="str">
        <f>Table2[[#This Row],[Page]]</f>
        <v>Interventions</v>
      </c>
      <c r="F18" s="109" t="str">
        <f>Table2[[#This Row],[Column]]&amp;Table2[[#This Row],[Row]]</f>
        <v>F11</v>
      </c>
      <c r="G18" s="109" t="str">
        <f>IF(LEN(Table2[[#This Row],[var col]])&gt;0,Table2[[#This Row],[var col]]&amp;Table2[[#This Row],[Row]],"")</f>
        <v/>
      </c>
      <c r="H18" s="109" t="str">
        <f>IF(LEN(Table2[[#This Row],[min col]])&gt;0,Table2[[#This Row],[min col]]&amp;Table2[[#This Row],[Row]],"")</f>
        <v>I11</v>
      </c>
      <c r="I18" s="109" t="str">
        <f>IF(LEN(Table2[[#This Row],[max col]])&gt;0,Table2[[#This Row],[max col]]&amp;Table2[[#This Row],[Row]],"")</f>
        <v>J11</v>
      </c>
      <c r="J18" s="109">
        <v>20</v>
      </c>
      <c r="K18" s="109">
        <v>3.8265306122448979</v>
      </c>
      <c r="L18" s="109">
        <v>15</v>
      </c>
      <c r="M18" s="109">
        <v>30</v>
      </c>
      <c r="N18" s="109">
        <v>13</v>
      </c>
      <c r="O18" s="109">
        <v>32</v>
      </c>
      <c r="P18"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20, with a variance of 3,827. The limits of the parameter are set at: 13--&gt;32.</v>
      </c>
      <c r="Q18" s="113" t="s">
        <v>433</v>
      </c>
      <c r="R18" s="113" t="s">
        <v>126</v>
      </c>
    </row>
    <row r="19" spans="1:18" ht="18" thickTop="1" thickBot="1" x14ac:dyDescent="0.35">
      <c r="A19" s="2"/>
      <c r="C19" s="109">
        <f t="shared" si="0"/>
        <v>13</v>
      </c>
      <c r="D19" s="109" t="str">
        <f>Table2[[#This Row],[Parameter]]</f>
        <v>Purchase cost of cable</v>
      </c>
      <c r="E19" s="109" t="str">
        <f>Table2[[#This Row],[Page]]</f>
        <v>Interventions</v>
      </c>
      <c r="F19" s="109" t="str">
        <f>Table2[[#This Row],[Column]]&amp;Table2[[#This Row],[Row]]</f>
        <v>F13</v>
      </c>
      <c r="G19" s="109" t="str">
        <f>IF(LEN(Table2[[#This Row],[var col]])&gt;0,Table2[[#This Row],[var col]]&amp;Table2[[#This Row],[Row]],"")</f>
        <v>H13</v>
      </c>
      <c r="H19" s="109" t="str">
        <f>IF(LEN(Table2[[#This Row],[min col]])&gt;0,Table2[[#This Row],[min col]]&amp;Table2[[#This Row],[Row]],"")</f>
        <v/>
      </c>
      <c r="I19" s="109" t="str">
        <f>IF(LEN(Table2[[#This Row],[max col]])&gt;0,Table2[[#This Row],[max col]]&amp;Table2[[#This Row],[Row]],"")</f>
        <v/>
      </c>
      <c r="J19" s="109">
        <v>160</v>
      </c>
      <c r="K19" s="109">
        <v>10</v>
      </c>
      <c r="L19" s="109" t="s">
        <v>443</v>
      </c>
      <c r="M19" s="109" t="s">
        <v>443</v>
      </c>
      <c r="N19" s="109">
        <v>0</v>
      </c>
      <c r="O19" s="109">
        <v>1000</v>
      </c>
      <c r="P19"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160, with a variance of 10. The limits of the parameter are set at: 0--&gt;1000.</v>
      </c>
      <c r="Q19" s="113" t="s">
        <v>433</v>
      </c>
      <c r="R19" s="111" t="s">
        <v>436</v>
      </c>
    </row>
    <row r="20" spans="1:18" ht="18" thickTop="1" thickBot="1" x14ac:dyDescent="0.35">
      <c r="A20" s="9" t="s">
        <v>3</v>
      </c>
      <c r="C20" s="109">
        <f t="shared" si="0"/>
        <v>14</v>
      </c>
      <c r="D20" s="109" t="str">
        <f>Table2[[#This Row],[Parameter]]</f>
        <v>Number of patient uses</v>
      </c>
      <c r="E20" s="109" t="str">
        <f>Table2[[#This Row],[Page]]</f>
        <v>Interventions</v>
      </c>
      <c r="F20" s="109" t="str">
        <f>Table2[[#This Row],[Column]]&amp;Table2[[#This Row],[Row]]</f>
        <v>F14</v>
      </c>
      <c r="G20" s="109" t="str">
        <f>IF(LEN(Table2[[#This Row],[var col]])&gt;0,Table2[[#This Row],[var col]]&amp;Table2[[#This Row],[Row]],"")</f>
        <v/>
      </c>
      <c r="H20" s="109" t="str">
        <f>IF(LEN(Table2[[#This Row],[min col]])&gt;0,Table2[[#This Row],[min col]]&amp;Table2[[#This Row],[Row]],"")</f>
        <v>I14</v>
      </c>
      <c r="I20" s="109" t="str">
        <f>IF(LEN(Table2[[#This Row],[max col]])&gt;0,Table2[[#This Row],[max col]]&amp;Table2[[#This Row],[Row]],"")</f>
        <v>J14</v>
      </c>
      <c r="J20" s="109">
        <v>30</v>
      </c>
      <c r="K20" s="109">
        <v>5.1020408163265305</v>
      </c>
      <c r="L20" s="109">
        <v>20</v>
      </c>
      <c r="M20" s="109">
        <v>40</v>
      </c>
      <c r="N20" s="109">
        <v>17</v>
      </c>
      <c r="O20" s="109">
        <v>43</v>
      </c>
      <c r="P20"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30, with a variance of 5,102. The limits of the parameter are set at: 17--&gt;43.</v>
      </c>
      <c r="Q20" s="113" t="s">
        <v>433</v>
      </c>
      <c r="R20" s="113" t="s">
        <v>126</v>
      </c>
    </row>
    <row r="21" spans="1:18" ht="17.25" thickTop="1" x14ac:dyDescent="0.3">
      <c r="A21" s="2"/>
      <c r="C21" s="109">
        <f t="shared" si="0"/>
        <v>15</v>
      </c>
      <c r="D21" s="109" t="str">
        <f>Table2[[#This Row],[Parameter]]</f>
        <v>Cost per patient use</v>
      </c>
      <c r="E21" s="109" t="str">
        <f>Table2[[#This Row],[Page]]</f>
        <v>Interventions</v>
      </c>
      <c r="F21" s="109"/>
      <c r="G21" s="109" t="str">
        <f>IF(LEN(Table2[[#This Row],[var col]])&gt;0,Table2[[#This Row],[var col]]&amp;Table2[[#This Row],[Row]],"")</f>
        <v/>
      </c>
      <c r="H21" s="109"/>
      <c r="I21" s="109"/>
      <c r="J21" s="109">
        <v>9.0833333333333321</v>
      </c>
      <c r="K21" s="109">
        <v>1.6581632653061225</v>
      </c>
      <c r="L21" s="109">
        <v>6.5</v>
      </c>
      <c r="M21" s="109">
        <v>13</v>
      </c>
      <c r="N21" s="109">
        <v>5.5916666666666668</v>
      </c>
      <c r="O21" s="109">
        <v>13.908333333333333</v>
      </c>
      <c r="P21"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9,083, with a variance of 1,658. The limits of the parameter are set at: 5,59--&gt;13,91.</v>
      </c>
      <c r="Q21" s="113"/>
      <c r="R21" s="113" t="s">
        <v>434</v>
      </c>
    </row>
    <row r="22" spans="1:18" ht="16.5" x14ac:dyDescent="0.3">
      <c r="A22" s="2"/>
      <c r="C22" s="109">
        <f t="shared" si="0"/>
        <v>16</v>
      </c>
      <c r="D22" s="109" t="str">
        <f>Table2[[#This Row],[Parameter]]</f>
        <v>Market share</v>
      </c>
      <c r="E22" s="109" t="str">
        <f>Table2[[#This Row],[Page]]</f>
        <v>Interventions</v>
      </c>
      <c r="F22" s="109" t="str">
        <f>Table2[[#This Row],[Column]]&amp;Table2[[#This Row],[Row]]</f>
        <v>F17</v>
      </c>
      <c r="G22" s="109" t="str">
        <f>IF(LEN(Table2[[#This Row],[var col]])&gt;0,Table2[[#This Row],[var col]]&amp;Table2[[#This Row],[Row]],"")</f>
        <v>H17</v>
      </c>
      <c r="H22" s="109" t="str">
        <f>IF(LEN(Table2[[#This Row],[min col]])&gt;0,Table2[[#This Row],[min col]]&amp;Table2[[#This Row],[Row]],"")</f>
        <v/>
      </c>
      <c r="I22" s="109" t="str">
        <f>IF(LEN(Table2[[#This Row],[max col]])&gt;0,Table2[[#This Row],[max col]]&amp;Table2[[#This Row],[Row]],"")</f>
        <v/>
      </c>
      <c r="J22" s="109">
        <v>100</v>
      </c>
      <c r="K22" s="109" t="s">
        <v>443</v>
      </c>
      <c r="L22" s="109" t="s">
        <v>443</v>
      </c>
      <c r="M22" s="109" t="s">
        <v>443</v>
      </c>
      <c r="N22" s="109">
        <v>0</v>
      </c>
      <c r="O22" s="109">
        <v>100</v>
      </c>
      <c r="P22"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100 The limits of the parameter are set at: 0--&gt;100.</v>
      </c>
      <c r="Q22" s="113"/>
      <c r="R22" s="113"/>
    </row>
    <row r="23" spans="1:18" ht="30" x14ac:dyDescent="0.3">
      <c r="A23" s="2"/>
      <c r="C23" s="109">
        <f t="shared" si="0"/>
        <v>17</v>
      </c>
      <c r="D23" s="109" t="str">
        <f>Table2[[#This Row],[Parameter]]</f>
        <v>Efficacy and safety</v>
      </c>
      <c r="E23" s="109" t="str">
        <f>Table2[[#This Row],[Page]]</f>
        <v>Interventions</v>
      </c>
      <c r="F23" s="109" t="str">
        <f>Table2[[#This Row],[Column]]&amp;Table2[[#This Row],[Row]]</f>
        <v>F18</v>
      </c>
      <c r="G23" s="109" t="str">
        <f>IF(LEN(Table2[[#This Row],[var col]])&gt;0,Table2[[#This Row],[var col]]&amp;Table2[[#This Row],[Row]],"")</f>
        <v/>
      </c>
      <c r="H23" s="109" t="str">
        <f>IF(LEN(Table2[[#This Row],[min col]])&gt;0,Table2[[#This Row],[min col]]&amp;Table2[[#This Row],[Row]],"")</f>
        <v/>
      </c>
      <c r="I23" s="109" t="str">
        <f>IF(LEN(Table2[[#This Row],[max col]])&gt;0,Table2[[#This Row],[max col]]&amp;Table2[[#This Row],[Row]],"")</f>
        <v/>
      </c>
      <c r="J23" s="109" t="s">
        <v>79</v>
      </c>
      <c r="K23" s="109" t="s">
        <v>443</v>
      </c>
      <c r="L23" s="109" t="s">
        <v>443</v>
      </c>
      <c r="M23" s="109" t="s">
        <v>443</v>
      </c>
      <c r="N23" s="109" t="s">
        <v>443</v>
      </c>
      <c r="O23" s="109" t="s">
        <v>443</v>
      </c>
      <c r="P23"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Reference</v>
      </c>
      <c r="Q23" s="113" t="s">
        <v>405</v>
      </c>
      <c r="R23" s="113"/>
    </row>
    <row r="24" spans="1:18" ht="30" x14ac:dyDescent="0.3">
      <c r="A24" s="2"/>
      <c r="C24" s="109">
        <f t="shared" si="0"/>
        <v>18</v>
      </c>
      <c r="D24" s="109" t="str">
        <f>Table2[[#This Row],[Parameter]]</f>
        <v>Kendall DL purchase cost</v>
      </c>
      <c r="E24" s="109" t="str">
        <f>Table2[[#This Row],[Page]]</f>
        <v>Interventions</v>
      </c>
      <c r="F24" s="109" t="str">
        <f>Table2[[#This Row],[Column]]&amp;Table2[[#This Row],[Row]]</f>
        <v>F22</v>
      </c>
      <c r="G24" s="109" t="str">
        <f>IF(LEN(Table2[[#This Row],[var col]])&gt;0,Table2[[#This Row],[var col]]&amp;Table2[[#This Row],[Row]],"")</f>
        <v>H22</v>
      </c>
      <c r="H24" s="109" t="str">
        <f>IF(LEN(Table2[[#This Row],[min col]])&gt;0,Table2[[#This Row],[min col]]&amp;Table2[[#This Row],[Row]],"")</f>
        <v/>
      </c>
      <c r="I24" s="109" t="str">
        <f>IF(LEN(Table2[[#This Row],[max col]])&gt;0,Table2[[#This Row],[max col]]&amp;Table2[[#This Row],[Row]],"")</f>
        <v/>
      </c>
      <c r="J24" s="109">
        <v>15</v>
      </c>
      <c r="K24" s="109">
        <v>2</v>
      </c>
      <c r="L24" s="109" t="s">
        <v>443</v>
      </c>
      <c r="M24" s="109" t="s">
        <v>443</v>
      </c>
      <c r="N24" s="109">
        <v>0</v>
      </c>
      <c r="O24" s="109">
        <v>1000</v>
      </c>
      <c r="P24"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15, with a variance of 2. The limits of the parameter are set at: 0--&gt;1000.</v>
      </c>
      <c r="Q24" s="113" t="s">
        <v>432</v>
      </c>
      <c r="R24" s="113" t="s">
        <v>406</v>
      </c>
    </row>
    <row r="25" spans="1:18" ht="16.5" x14ac:dyDescent="0.3">
      <c r="A25" s="2"/>
      <c r="C25" s="109">
        <f t="shared" si="0"/>
        <v>19</v>
      </c>
      <c r="D25" s="109" t="str">
        <f>Table2[[#This Row],[Parameter]]</f>
        <v>Kendall DL market share…</v>
      </c>
      <c r="E25" s="109" t="str">
        <f>Table2[[#This Row],[Page]]</f>
        <v>Interventions</v>
      </c>
      <c r="F25" s="109"/>
      <c r="G25" s="109"/>
      <c r="H25" s="109"/>
      <c r="I25" s="109"/>
      <c r="J25" s="109">
        <v>0</v>
      </c>
      <c r="K25" s="109" t="s">
        <v>443</v>
      </c>
      <c r="L25" s="109"/>
      <c r="M25" s="109"/>
      <c r="N25" s="109" t="s">
        <v>443</v>
      </c>
      <c r="O25" s="109" t="s">
        <v>443</v>
      </c>
      <c r="P25"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0</v>
      </c>
      <c r="Q25" s="113" t="s">
        <v>407</v>
      </c>
      <c r="R25" s="113"/>
    </row>
    <row r="26" spans="1:18" ht="30" x14ac:dyDescent="0.3">
      <c r="A26" s="2"/>
      <c r="C26" s="1">
        <f t="shared" ref="C26:C39" si="1">C25+1</f>
        <v>20</v>
      </c>
      <c r="D26" s="109" t="str">
        <f>Table2[[#This Row],[Parameter]]</f>
        <v xml:space="preserve">Kendall DL market share…increasing </v>
      </c>
      <c r="E26" s="109" t="str">
        <f>Table2[[#This Row],[Page]]</f>
        <v>Interventions</v>
      </c>
      <c r="F26" s="109" t="str">
        <f>Table2[[#This Row],[Column]]&amp;Table2[[#This Row],[Row]]</f>
        <v>F24</v>
      </c>
      <c r="G26" s="109" t="str">
        <f>IF(LEN(Table2[[#This Row],[var col]])&gt;0,Table2[[#This Row],[var col]]&amp;Table2[[#This Row],[Row]],"")</f>
        <v/>
      </c>
      <c r="H26" s="109" t="str">
        <f>IF(LEN(Table2[[#This Row],[min col]])&gt;0,Table2[[#This Row],[min col]]&amp;Table2[[#This Row],[Row]],"")</f>
        <v>I24</v>
      </c>
      <c r="I26" s="109" t="str">
        <f>IF(LEN(Table2[[#This Row],[max col]])&gt;0,Table2[[#This Row],[max col]]&amp;Table2[[#This Row],[Row]],"")</f>
        <v>J24</v>
      </c>
      <c r="J26" s="109">
        <v>100</v>
      </c>
      <c r="K26" s="109">
        <v>0.25510204081632654</v>
      </c>
      <c r="L26" s="109">
        <v>99</v>
      </c>
      <c r="M26" s="109">
        <v>100</v>
      </c>
      <c r="N26" s="109">
        <v>1</v>
      </c>
      <c r="O26" s="109">
        <v>100</v>
      </c>
      <c r="P26"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100, with a variance of 0,255. The limits of the parameter are set at: 1--&gt;100.</v>
      </c>
      <c r="Q26" s="113" t="s">
        <v>408</v>
      </c>
      <c r="R26" s="113"/>
    </row>
    <row r="27" spans="1:18" ht="60" x14ac:dyDescent="0.3">
      <c r="A27" s="2"/>
      <c r="C27" s="1">
        <f t="shared" si="1"/>
        <v>21</v>
      </c>
      <c r="D27" s="109" t="str">
        <f>Table2[[#This Row],[Parameter]]</f>
        <v>Kendall DL surgical site infection RR</v>
      </c>
      <c r="E27" s="109" t="str">
        <f>Table2[[#This Row],[Page]]</f>
        <v>Interventions</v>
      </c>
      <c r="F27" s="109" t="str">
        <f>Table2[[#This Row],[Column]]&amp;Table2[[#This Row],[Row]]</f>
        <v>F26</v>
      </c>
      <c r="G27" s="109" t="str">
        <f>IF(LEN(Table2[[#This Row],[var col]])&gt;0,Table2[[#This Row],[var col]]&amp;Table2[[#This Row],[Row]],"")</f>
        <v/>
      </c>
      <c r="H27" s="109" t="str">
        <f>IF(LEN(Table2[[#This Row],[min col]])&gt;0,Table2[[#This Row],[min col]]&amp;Table2[[#This Row],[Row]],"")</f>
        <v>I26</v>
      </c>
      <c r="I27" s="109" t="str">
        <f>IF(LEN(Table2[[#This Row],[max col]])&gt;0,Table2[[#This Row],[max col]]&amp;Table2[[#This Row],[Row]],"")</f>
        <v>J26</v>
      </c>
      <c r="J27" s="109">
        <v>0.74</v>
      </c>
      <c r="K27" s="109">
        <v>8.525563471598821E-2</v>
      </c>
      <c r="L27" s="109">
        <v>0.63</v>
      </c>
      <c r="M27" s="109">
        <v>0.88</v>
      </c>
      <c r="N27" s="109">
        <v>0.55600000000000005</v>
      </c>
      <c r="O27" s="109">
        <v>0.95399999999999996</v>
      </c>
      <c r="P27"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0,74, with a variance of 0,085. The limits of the parameter are set at: 0,56--&gt;0,95.</v>
      </c>
      <c r="Q27" s="113" t="s">
        <v>410</v>
      </c>
      <c r="R27" s="113" t="s">
        <v>409</v>
      </c>
    </row>
    <row r="28" spans="1:18" ht="105" x14ac:dyDescent="0.3">
      <c r="A28" s="2"/>
      <c r="C28" s="1">
        <f t="shared" si="1"/>
        <v>22</v>
      </c>
      <c r="D28" s="109" t="str">
        <f>Table2[[#This Row],[Parameter]]</f>
        <v>Kendall DL false alarms RR</v>
      </c>
      <c r="E28" s="109" t="str">
        <f>Table2[[#This Row],[Page]]</f>
        <v>Interventions</v>
      </c>
      <c r="F28" s="109" t="str">
        <f>Table2[[#This Row],[Column]]&amp;Table2[[#This Row],[Row]]</f>
        <v>F27</v>
      </c>
      <c r="G28" s="109" t="str">
        <f>IF(LEN(Table2[[#This Row],[var col]])&gt;0,Table2[[#This Row],[var col]]&amp;Table2[[#This Row],[Row]],"")</f>
        <v/>
      </c>
      <c r="H28" s="109" t="str">
        <f>IF(LEN(Table2[[#This Row],[min col]])&gt;0,Table2[[#This Row],[min col]]&amp;Table2[[#This Row],[Row]],"")</f>
        <v>I27</v>
      </c>
      <c r="I28" s="109" t="str">
        <f>IF(LEN(Table2[[#This Row],[max col]])&gt;0,Table2[[#This Row],[max col]]&amp;Table2[[#This Row],[Row]],"")</f>
        <v>J27</v>
      </c>
      <c r="J28" s="109">
        <v>0.81</v>
      </c>
      <c r="K28" s="109">
        <v>0.13273070605115675</v>
      </c>
      <c r="L28" s="109">
        <v>0.63</v>
      </c>
      <c r="M28" s="109">
        <v>1.06</v>
      </c>
      <c r="N28" s="109">
        <v>0.54900000000000004</v>
      </c>
      <c r="O28" s="109">
        <v>1.141</v>
      </c>
      <c r="P28"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0,81, with a variance of 0,133. The limits of the parameter are set at: 0,55--&gt;1,14.</v>
      </c>
      <c r="Q28" s="113" t="s">
        <v>412</v>
      </c>
      <c r="R28" s="113" t="s">
        <v>411</v>
      </c>
    </row>
    <row r="29" spans="1:18" ht="105" x14ac:dyDescent="0.3">
      <c r="A29" s="2"/>
      <c r="C29" s="1">
        <f t="shared" si="1"/>
        <v>23</v>
      </c>
      <c r="D29" s="109" t="str">
        <f>Table2[[#This Row],[Parameter]]</f>
        <v>Kendall DL leads-off alarms, RR</v>
      </c>
      <c r="E29" s="109" t="str">
        <f>Table2[[#This Row],[Page]]</f>
        <v>Interventions</v>
      </c>
      <c r="F29" s="109" t="str">
        <f>Table2[[#This Row],[Column]]&amp;Table2[[#This Row],[Row]]</f>
        <v>F28</v>
      </c>
      <c r="G29" s="109" t="str">
        <f>IF(LEN(Table2[[#This Row],[var col]])&gt;0,Table2[[#This Row],[var col]]&amp;Table2[[#This Row],[Row]],"")</f>
        <v/>
      </c>
      <c r="H29" s="109" t="str">
        <f>IF(LEN(Table2[[#This Row],[min col]])&gt;0,Table2[[#This Row],[min col]]&amp;Table2[[#This Row],[Row]],"")</f>
        <v>I28</v>
      </c>
      <c r="I29" s="109" t="str">
        <f>IF(LEN(Table2[[#This Row],[max col]])&gt;0,Table2[[#This Row],[max col]]&amp;Table2[[#This Row],[Row]],"")</f>
        <v>J28</v>
      </c>
      <c r="J29" s="109">
        <v>0.71</v>
      </c>
      <c r="K29" s="109">
        <v>0.15154496885604959</v>
      </c>
      <c r="L29" s="109">
        <v>0.53</v>
      </c>
      <c r="M29" s="109">
        <v>0.96</v>
      </c>
      <c r="N29" s="109">
        <v>0.45900000000000002</v>
      </c>
      <c r="O29" s="109">
        <v>1.0309999999999999</v>
      </c>
      <c r="P29"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0,71, with a variance of 0,152. The limits of the parameter are set at: 0,46--&gt;1,03.</v>
      </c>
      <c r="Q29" s="113" t="s">
        <v>412</v>
      </c>
      <c r="R29" s="113" t="s">
        <v>411</v>
      </c>
    </row>
    <row r="30" spans="1:18" ht="90" x14ac:dyDescent="0.3">
      <c r="A30" s="2"/>
      <c r="C30" s="1">
        <f t="shared" si="1"/>
        <v>24</v>
      </c>
      <c r="D30" s="109" t="str">
        <f>Table2[[#This Row],[Parameter]]</f>
        <v>Time on MV</v>
      </c>
      <c r="E30" s="109" t="str">
        <f>Table2[[#This Row],[Page]]</f>
        <v>Events</v>
      </c>
      <c r="F30" s="109" t="str">
        <f>Table2[[#This Row],[Column]]&amp;Table2[[#This Row],[Row]]</f>
        <v>F10</v>
      </c>
      <c r="G30" s="109" t="str">
        <f>IF(LEN(Table2[[#This Row],[var col]])&gt;0,Table2[[#This Row],[var col]]&amp;Table2[[#This Row],[Row]],"")</f>
        <v/>
      </c>
      <c r="H30" s="109" t="str">
        <f>IF(LEN(Table2[[#This Row],[min col]])&gt;0,Table2[[#This Row],[min col]]&amp;Table2[[#This Row],[Row]],"")</f>
        <v/>
      </c>
      <c r="I30" s="109" t="str">
        <f>IF(LEN(Table2[[#This Row],[max col]])&gt;0,Table2[[#This Row],[max col]]&amp;Table2[[#This Row],[Row]],"")</f>
        <v/>
      </c>
      <c r="J30" s="109">
        <v>0.5</v>
      </c>
      <c r="K30" s="109">
        <v>1E-4</v>
      </c>
      <c r="L30" s="109" t="s">
        <v>443</v>
      </c>
      <c r="M30" s="109" t="s">
        <v>443</v>
      </c>
      <c r="N30" s="109">
        <v>0.5</v>
      </c>
      <c r="O30" s="109">
        <v>30</v>
      </c>
      <c r="P30"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0,5, with a variance of 0. The limits of the parameter are set at: 0,5--&gt;30.</v>
      </c>
      <c r="Q30" s="113" t="s">
        <v>415</v>
      </c>
      <c r="R30" s="113" t="s">
        <v>413</v>
      </c>
    </row>
    <row r="31" spans="1:18" ht="75" x14ac:dyDescent="0.3">
      <c r="A31" s="2"/>
      <c r="C31" s="1">
        <f t="shared" si="1"/>
        <v>25</v>
      </c>
      <c r="D31" s="109" t="str">
        <f>Table2[[#This Row],[Parameter]]</f>
        <v>ICU time</v>
      </c>
      <c r="E31" s="109" t="str">
        <f>Table2[[#This Row],[Page]]</f>
        <v>Events</v>
      </c>
      <c r="F31" s="109" t="str">
        <f>Table2[[#This Row],[Column]]&amp;Table2[[#This Row],[Row]]</f>
        <v>F11</v>
      </c>
      <c r="G31" s="109" t="str">
        <f>IF(LEN(Table2[[#This Row],[var col]])&gt;0,Table2[[#This Row],[var col]]&amp;Table2[[#This Row],[Row]],"")</f>
        <v/>
      </c>
      <c r="H31" s="109" t="str">
        <f>IF(LEN(Table2[[#This Row],[min col]])&gt;0,Table2[[#This Row],[min col]]&amp;Table2[[#This Row],[Row]],"")</f>
        <v/>
      </c>
      <c r="I31" s="109" t="str">
        <f>IF(LEN(Table2[[#This Row],[max col]])&gt;0,Table2[[#This Row],[max col]]&amp;Table2[[#This Row],[Row]],"")</f>
        <v/>
      </c>
      <c r="J31" s="109">
        <v>1</v>
      </c>
      <c r="K31" s="109">
        <v>1E-4</v>
      </c>
      <c r="L31" s="109" t="s">
        <v>443</v>
      </c>
      <c r="M31" s="109" t="s">
        <v>443</v>
      </c>
      <c r="N31" s="109">
        <v>0.5</v>
      </c>
      <c r="O31" s="109">
        <v>30</v>
      </c>
      <c r="P31"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 with a variance of 0. The limits of the parameter are set at: 0,5--&gt;30.</v>
      </c>
      <c r="Q31" s="113" t="s">
        <v>414</v>
      </c>
      <c r="R31" s="113" t="s">
        <v>413</v>
      </c>
    </row>
    <row r="32" spans="1:18" ht="90" x14ac:dyDescent="0.3">
      <c r="A32" s="2"/>
      <c r="C32" s="1">
        <f t="shared" si="1"/>
        <v>26</v>
      </c>
      <c r="D32" s="109" t="str">
        <f>Table2[[#This Row],[Parameter]]</f>
        <v>Hospital time</v>
      </c>
      <c r="E32" s="109" t="str">
        <f>Table2[[#This Row],[Page]]</f>
        <v>Events</v>
      </c>
      <c r="F32" s="109" t="str">
        <f>Table2[[#This Row],[Column]]&amp;Table2[[#This Row],[Row]]</f>
        <v>F12</v>
      </c>
      <c r="G32" s="109" t="str">
        <f>IF(LEN(Table2[[#This Row],[var col]])&gt;0,Table2[[#This Row],[var col]]&amp;Table2[[#This Row],[Row]],"")</f>
        <v/>
      </c>
      <c r="H32" s="109" t="str">
        <f>IF(LEN(Table2[[#This Row],[min col]])&gt;0,Table2[[#This Row],[min col]]&amp;Table2[[#This Row],[Row]],"")</f>
        <v>I12</v>
      </c>
      <c r="I32" s="109" t="str">
        <f>IF(LEN(Table2[[#This Row],[max col]])&gt;0,Table2[[#This Row],[max col]]&amp;Table2[[#This Row],[Row]],"")</f>
        <v>J12</v>
      </c>
      <c r="J32" s="109">
        <v>8</v>
      </c>
      <c r="K32" s="109">
        <v>1.7857142857142858</v>
      </c>
      <c r="L32" s="109">
        <v>6</v>
      </c>
      <c r="M32" s="109">
        <v>13</v>
      </c>
      <c r="N32" s="109">
        <v>5.2</v>
      </c>
      <c r="O32" s="109">
        <v>13.8</v>
      </c>
      <c r="P32"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8, with a variance of 1,786. The limits of the parameter are set at: 5,2--&gt;13,8.</v>
      </c>
      <c r="Q32" s="113" t="s">
        <v>370</v>
      </c>
      <c r="R32" s="113" t="s">
        <v>358</v>
      </c>
    </row>
    <row r="33" spans="1:18" ht="75" x14ac:dyDescent="0.3">
      <c r="A33" s="2"/>
      <c r="C33" s="1">
        <f t="shared" si="1"/>
        <v>27</v>
      </c>
      <c r="D33" s="109" t="str">
        <f>Table2[[#This Row],[Parameter]]</f>
        <v>Prolonged MV patients</v>
      </c>
      <c r="E33" s="109" t="str">
        <f>Table2[[#This Row],[Page]]</f>
        <v>Events</v>
      </c>
      <c r="F33" s="109" t="str">
        <f>Table2[[#This Row],[Column]]&amp;Table2[[#This Row],[Row]]</f>
        <v>F13</v>
      </c>
      <c r="G33" s="109" t="str">
        <f>IF(LEN(Table2[[#This Row],[var col]])&gt;0,Table2[[#This Row],[var col]]&amp;Table2[[#This Row],[Row]],"")</f>
        <v/>
      </c>
      <c r="H33" s="109" t="str">
        <f>IF(LEN(Table2[[#This Row],[min col]])&gt;0,Table2[[#This Row],[min col]]&amp;Table2[[#This Row],[Row]],"")</f>
        <v/>
      </c>
      <c r="I33" s="109" t="str">
        <f>IF(LEN(Table2[[#This Row],[max col]])&gt;0,Table2[[#This Row],[max col]]&amp;Table2[[#This Row],[Row]],"")</f>
        <v/>
      </c>
      <c r="J33" s="109">
        <v>10.6</v>
      </c>
      <c r="K33" s="109">
        <v>1E-4</v>
      </c>
      <c r="L33" s="109" t="s">
        <v>443</v>
      </c>
      <c r="M33" s="109" t="s">
        <v>443</v>
      </c>
      <c r="N33" s="109">
        <v>0.5</v>
      </c>
      <c r="O33" s="109">
        <v>90</v>
      </c>
      <c r="P33"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10,6, with a variance of 0. The limits of the parameter are set at: 0,5--&gt;90.</v>
      </c>
      <c r="Q33" s="113" t="s">
        <v>425</v>
      </c>
      <c r="R33" s="113" t="s">
        <v>367</v>
      </c>
    </row>
    <row r="34" spans="1:18" ht="90" x14ac:dyDescent="0.3">
      <c r="A34" s="2"/>
      <c r="C34" s="1">
        <f t="shared" si="1"/>
        <v>28</v>
      </c>
      <c r="D34" s="109" t="str">
        <f>Table2[[#This Row],[Parameter]]</f>
        <v>ECG monitoring</v>
      </c>
      <c r="E34" s="109" t="str">
        <f>Table2[[#This Row],[Page]]</f>
        <v>Events</v>
      </c>
      <c r="F34" s="109" t="str">
        <f>Table2[[#This Row],[Column]]&amp;Table2[[#This Row],[Row]]</f>
        <v>F14</v>
      </c>
      <c r="G34" s="109" t="str">
        <f>IF(LEN(Table2[[#This Row],[var col]])&gt;0,Table2[[#This Row],[var col]]&amp;Table2[[#This Row],[Row]],"")</f>
        <v/>
      </c>
      <c r="H34" s="109" t="str">
        <f>IF(LEN(Table2[[#This Row],[min col]])&gt;0,Table2[[#This Row],[min col]]&amp;Table2[[#This Row],[Row]],"")</f>
        <v>I14</v>
      </c>
      <c r="I34" s="109" t="str">
        <f>IF(LEN(Table2[[#This Row],[max col]])&gt;0,Table2[[#This Row],[max col]]&amp;Table2[[#This Row],[Row]],"")</f>
        <v>J14</v>
      </c>
      <c r="J34" s="109">
        <v>8</v>
      </c>
      <c r="K34" s="109">
        <v>1.7857142857142858</v>
      </c>
      <c r="L34" s="109">
        <v>6</v>
      </c>
      <c r="M34" s="109">
        <v>13</v>
      </c>
      <c r="N34" s="109">
        <v>5.2</v>
      </c>
      <c r="O34" s="109">
        <v>13.8</v>
      </c>
      <c r="P34"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8, with a variance of 1,786. The limits of the parameter are set at: 5,2--&gt;13,8.</v>
      </c>
      <c r="Q34" s="113" t="s">
        <v>374</v>
      </c>
      <c r="R34" s="113" t="s">
        <v>358</v>
      </c>
    </row>
    <row r="35" spans="1:18" ht="90" x14ac:dyDescent="0.3">
      <c r="A35" s="2"/>
      <c r="C35" s="1">
        <f t="shared" si="1"/>
        <v>29</v>
      </c>
      <c r="D35" s="109" t="str">
        <f>Table2[[#This Row],[Parameter]]</f>
        <v>Home discharge</v>
      </c>
      <c r="E35" s="109" t="str">
        <f>Table2[[#This Row],[Page]]</f>
        <v>Events</v>
      </c>
      <c r="F35" s="109" t="str">
        <f>Table2[[#This Row],[Column]]&amp;Table2[[#This Row],[Row]]</f>
        <v>F16</v>
      </c>
      <c r="G35" s="109" t="str">
        <f>IF(LEN(Table2[[#This Row],[var col]])&gt;0,Table2[[#This Row],[var col]]&amp;Table2[[#This Row],[Row]],"")</f>
        <v>H16</v>
      </c>
      <c r="H35" s="109" t="str">
        <f>IF(LEN(Table2[[#This Row],[min col]])&gt;0,Table2[[#This Row],[min col]]&amp;Table2[[#This Row],[Row]],"")</f>
        <v/>
      </c>
      <c r="I35" s="109" t="str">
        <f>IF(LEN(Table2[[#This Row],[max col]])&gt;0,Table2[[#This Row],[max col]]&amp;Table2[[#This Row],[Row]],"")</f>
        <v/>
      </c>
      <c r="J35" s="109">
        <v>74.5</v>
      </c>
      <c r="K35" s="109">
        <v>0.16905405285720759</v>
      </c>
      <c r="L35" s="109" t="s">
        <v>443</v>
      </c>
      <c r="M35" s="109" t="s">
        <v>443</v>
      </c>
      <c r="N35" s="109">
        <v>0</v>
      </c>
      <c r="O35" s="109">
        <v>100</v>
      </c>
      <c r="P35"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74,5, with a variance of 0,169. The limits of the parameter are set at: 0--&gt;100.</v>
      </c>
      <c r="Q35" s="113" t="s">
        <v>369</v>
      </c>
      <c r="R35" s="113" t="s">
        <v>358</v>
      </c>
    </row>
    <row r="36" spans="1:18" ht="90" x14ac:dyDescent="0.3">
      <c r="A36" s="2"/>
      <c r="C36" s="1">
        <f t="shared" si="1"/>
        <v>30</v>
      </c>
      <c r="D36" s="109" t="str">
        <f>Table2[[#This Row],[Parameter]]</f>
        <v>Care facility discharge</v>
      </c>
      <c r="E36" s="109" t="str">
        <f>Table2[[#This Row],[Page]]</f>
        <v>Events</v>
      </c>
      <c r="F36" s="109"/>
      <c r="G36" s="109" t="str">
        <f>IF(LEN(Table2[[#This Row],[var col]])&gt;0,Table2[[#This Row],[var col]]&amp;Table2[[#This Row],[Row]],"")</f>
        <v/>
      </c>
      <c r="H36" s="109" t="str">
        <f>IF(LEN(Table2[[#This Row],[min col]])&gt;0,Table2[[#This Row],[min col]]&amp;Table2[[#This Row],[Row]],"")</f>
        <v/>
      </c>
      <c r="I36" s="109" t="str">
        <f>IF(LEN(Table2[[#This Row],[max col]])&gt;0,Table2[[#This Row],[max col]]&amp;Table2[[#This Row],[Row]],"")</f>
        <v/>
      </c>
      <c r="J36" s="109">
        <v>25.5</v>
      </c>
      <c r="K36" s="109">
        <v>1E-3</v>
      </c>
      <c r="L36" s="109" t="s">
        <v>443</v>
      </c>
      <c r="M36" s="109" t="s">
        <v>443</v>
      </c>
      <c r="N36" s="109" t="s">
        <v>443</v>
      </c>
      <c r="O36" s="109" t="s">
        <v>443</v>
      </c>
      <c r="P36"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25,5, with a variance of 0,001.</v>
      </c>
      <c r="Q36" s="113" t="s">
        <v>371</v>
      </c>
      <c r="R36" s="113" t="s">
        <v>358</v>
      </c>
    </row>
    <row r="37" spans="1:18" ht="105" x14ac:dyDescent="0.3">
      <c r="A37" s="2"/>
      <c r="C37" s="1">
        <f t="shared" si="1"/>
        <v>31</v>
      </c>
      <c r="D37" s="109" t="str">
        <f>Table2[[#This Row],[Parameter]]</f>
        <v>Facility stay, days</v>
      </c>
      <c r="E37" s="109" t="str">
        <f>Table2[[#This Row],[Page]]</f>
        <v>Events</v>
      </c>
      <c r="F37" s="109" t="str">
        <f>Table2[[#This Row],[Column]]&amp;Table2[[#This Row],[Row]]</f>
        <v>F18</v>
      </c>
      <c r="G37" s="109" t="str">
        <f>IF(LEN(Table2[[#This Row],[var col]])&gt;0,Table2[[#This Row],[var col]]&amp;Table2[[#This Row],[Row]],"")</f>
        <v/>
      </c>
      <c r="H37" s="109" t="str">
        <f>IF(LEN(Table2[[#This Row],[min col]])&gt;0,Table2[[#This Row],[min col]]&amp;Table2[[#This Row],[Row]],"")</f>
        <v>I18</v>
      </c>
      <c r="I37" s="109" t="str">
        <f>IF(LEN(Table2[[#This Row],[max col]])&gt;0,Table2[[#This Row],[max col]]&amp;Table2[[#This Row],[Row]],"")</f>
        <v>J18</v>
      </c>
      <c r="J37" s="109">
        <v>27</v>
      </c>
      <c r="K37" s="109">
        <v>11.913265306122449</v>
      </c>
      <c r="L37" s="109">
        <v>13.3</v>
      </c>
      <c r="M37" s="109">
        <v>60</v>
      </c>
      <c r="N37" s="109">
        <v>10.600000000000001</v>
      </c>
      <c r="O37" s="109">
        <v>62.7</v>
      </c>
      <c r="P37"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27, with a variance of 11,913. The limits of the parameter are set at: 10,6--&gt;62,7.</v>
      </c>
      <c r="Q37" s="113" t="s">
        <v>376</v>
      </c>
      <c r="R37" s="113" t="s">
        <v>375</v>
      </c>
    </row>
    <row r="38" spans="1:18" ht="120" x14ac:dyDescent="0.3">
      <c r="A38" s="2"/>
      <c r="C38" s="1">
        <f t="shared" si="1"/>
        <v>32</v>
      </c>
      <c r="D38" s="109" t="str">
        <f>Table2[[#This Row],[Parameter]]</f>
        <v>Reoperation rates</v>
      </c>
      <c r="E38" s="109" t="str">
        <f>Table2[[#This Row],[Page]]</f>
        <v>Events</v>
      </c>
      <c r="F38" s="109" t="str">
        <f>Table2[[#This Row],[Column]]&amp;Table2[[#This Row],[Row]]</f>
        <v>F19</v>
      </c>
      <c r="G38" s="109" t="str">
        <f>IF(LEN(Table2[[#This Row],[var col]])&gt;0,Table2[[#This Row],[var col]]&amp;Table2[[#This Row],[Row]],"")</f>
        <v>H19</v>
      </c>
      <c r="H38" s="109" t="str">
        <f>IF(LEN(Table2[[#This Row],[min col]])&gt;0,Table2[[#This Row],[min col]]&amp;Table2[[#This Row],[Row]],"")</f>
        <v/>
      </c>
      <c r="I38" s="109" t="str">
        <f>IF(LEN(Table2[[#This Row],[max col]])&gt;0,Table2[[#This Row],[max col]]&amp;Table2[[#This Row],[Row]],"")</f>
        <v/>
      </c>
      <c r="J38" s="109">
        <v>5</v>
      </c>
      <c r="K38" s="109">
        <v>1.97</v>
      </c>
      <c r="L38" s="109" t="s">
        <v>443</v>
      </c>
      <c r="M38" s="109" t="s">
        <v>443</v>
      </c>
      <c r="N38" s="109">
        <v>1.06</v>
      </c>
      <c r="O38" s="109">
        <v>8.94</v>
      </c>
      <c r="P38"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5, with a variance of 1,97. The limits of the parameter are set at: 1,06--&gt;8,94.</v>
      </c>
      <c r="Q38" s="113" t="s">
        <v>429</v>
      </c>
      <c r="R38" s="113" t="s">
        <v>428</v>
      </c>
    </row>
    <row r="39" spans="1:18" ht="90" x14ac:dyDescent="0.3">
      <c r="A39" s="2"/>
      <c r="C39" s="1">
        <f t="shared" si="1"/>
        <v>33</v>
      </c>
      <c r="D39" s="109" t="str">
        <f>Table2[[#This Row],[Parameter]]</f>
        <v>In-hospital mortality, %</v>
      </c>
      <c r="E39" s="109" t="str">
        <f>Table2[[#This Row],[Page]]</f>
        <v>Adverse events</v>
      </c>
      <c r="F39" s="109" t="str">
        <f>Table2[[#This Row],[Column]]&amp;Table2[[#This Row],[Row]]</f>
        <v>F10</v>
      </c>
      <c r="G39" s="109" t="str">
        <f>IF(LEN(Table2[[#This Row],[var col]])&gt;0,Table2[[#This Row],[var col]]&amp;Table2[[#This Row],[Row]],"")</f>
        <v>H10</v>
      </c>
      <c r="H39" s="109" t="str">
        <f>IF(LEN(Table2[[#This Row],[min col]])&gt;0,Table2[[#This Row],[min col]]&amp;Table2[[#This Row],[Row]],"")</f>
        <v/>
      </c>
      <c r="I39" s="109" t="str">
        <f>IF(LEN(Table2[[#This Row],[max col]])&gt;0,Table2[[#This Row],[max col]]&amp;Table2[[#This Row],[Row]],"")</f>
        <v/>
      </c>
      <c r="J39" s="109">
        <v>2.7</v>
      </c>
      <c r="K39" s="109">
        <v>6.2865976015503089E-2</v>
      </c>
      <c r="L39" s="109" t="s">
        <v>443</v>
      </c>
      <c r="M39" s="109" t="s">
        <v>443</v>
      </c>
      <c r="N39" s="109">
        <v>1E-3</v>
      </c>
      <c r="O39" s="109">
        <v>100</v>
      </c>
      <c r="P39"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2,7, with a variance of 0,063. The limits of the parameter are set at: 0--&gt;100.</v>
      </c>
      <c r="Q39" s="113" t="s">
        <v>372</v>
      </c>
      <c r="R39" s="113" t="s">
        <v>358</v>
      </c>
    </row>
    <row r="40" spans="1:18" ht="90" x14ac:dyDescent="0.3">
      <c r="A40" s="2"/>
      <c r="C40" s="1">
        <f t="shared" ref="C40:C81" si="2">C39+1</f>
        <v>34</v>
      </c>
      <c r="D40" s="109" t="str">
        <f>Table2[[#This Row],[Parameter]]</f>
        <v>Mortality after N days</v>
      </c>
      <c r="E40" s="109" t="str">
        <f>Table2[[#This Row],[Page]]</f>
        <v>Adverse events</v>
      </c>
      <c r="F40" s="109" t="str">
        <f>Table2[[#This Row],[Column]]&amp;Table2[[#This Row],[Row]]</f>
        <v>F11</v>
      </c>
      <c r="G40" s="109" t="str">
        <f>IF(LEN(Table2[[#This Row],[var col]])&gt;0,Table2[[#This Row],[var col]]&amp;Table2[[#This Row],[Row]],"")</f>
        <v/>
      </c>
      <c r="H40" s="109" t="str">
        <f>IF(LEN(Table2[[#This Row],[min col]])&gt;0,Table2[[#This Row],[min col]]&amp;Table2[[#This Row],[Row]],"")</f>
        <v/>
      </c>
      <c r="I40" s="109" t="str">
        <f>IF(LEN(Table2[[#This Row],[max col]])&gt;0,Table2[[#This Row],[max col]]&amp;Table2[[#This Row],[Row]],"")</f>
        <v/>
      </c>
      <c r="J40" s="109">
        <v>13</v>
      </c>
      <c r="K40" s="109">
        <v>1E-4</v>
      </c>
      <c r="L40" s="109" t="s">
        <v>443</v>
      </c>
      <c r="M40" s="109" t="s">
        <v>443</v>
      </c>
      <c r="N40" s="109">
        <v>0</v>
      </c>
      <c r="O40" s="109">
        <v>1000</v>
      </c>
      <c r="P40"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13, with a variance of 0. The limits of the parameter are set at: 0--&gt;1000.</v>
      </c>
      <c r="Q40" s="113" t="s">
        <v>373</v>
      </c>
      <c r="R40" s="113" t="s">
        <v>358</v>
      </c>
    </row>
    <row r="41" spans="1:18" ht="30" x14ac:dyDescent="0.3">
      <c r="C41" s="1">
        <f t="shared" si="2"/>
        <v>35</v>
      </c>
      <c r="D41" s="109" t="str">
        <f>Table2[[#This Row],[Parameter]]</f>
        <v>Surgical site infections, %</v>
      </c>
      <c r="E41" s="109" t="str">
        <f>Table2[[#This Row],[Page]]</f>
        <v>Adverse events</v>
      </c>
      <c r="F41" s="109" t="str">
        <f>Table2[[#This Row],[Column]]&amp;Table2[[#This Row],[Row]]</f>
        <v>F13</v>
      </c>
      <c r="G41" s="109" t="str">
        <f>IF(LEN(Table2[[#This Row],[var col]])&gt;0,Table2[[#This Row],[var col]]&amp;Table2[[#This Row],[Row]],"")</f>
        <v>H13</v>
      </c>
      <c r="H41" s="109" t="str">
        <f>IF(LEN(Table2[[#This Row],[min col]])&gt;0,Table2[[#This Row],[min col]]&amp;Table2[[#This Row],[Row]],"")</f>
        <v/>
      </c>
      <c r="I41" s="109" t="str">
        <f>IF(LEN(Table2[[#This Row],[max col]])&gt;0,Table2[[#This Row],[max col]]&amp;Table2[[#This Row],[Row]],"")</f>
        <v/>
      </c>
      <c r="J41" s="109">
        <v>5.49</v>
      </c>
      <c r="K41" s="109">
        <v>0.5</v>
      </c>
      <c r="L41" s="109" t="s">
        <v>443</v>
      </c>
      <c r="M41" s="109" t="s">
        <v>443</v>
      </c>
      <c r="N41" s="109">
        <v>0.1</v>
      </c>
      <c r="O41" s="109">
        <v>100</v>
      </c>
      <c r="P41"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5,49, with a variance of 0,5. The limits of the parameter are set at: 0,1--&gt;100.</v>
      </c>
      <c r="Q41" s="113"/>
      <c r="R41" s="113" t="s">
        <v>419</v>
      </c>
    </row>
    <row r="42" spans="1:18" ht="30" x14ac:dyDescent="0.3">
      <c r="C42" s="1">
        <f t="shared" si="2"/>
        <v>36</v>
      </c>
      <c r="D42" s="109" t="str">
        <f>Table2[[#This Row],[Parameter]]</f>
        <v>SSI after N days</v>
      </c>
      <c r="E42" s="109" t="str">
        <f>Table2[[#This Row],[Page]]</f>
        <v>Adverse events</v>
      </c>
      <c r="F42" s="109" t="str">
        <f>Table2[[#This Row],[Column]]&amp;Table2[[#This Row],[Row]]</f>
        <v>F14</v>
      </c>
      <c r="G42" s="109" t="str">
        <f>IF(LEN(Table2[[#This Row],[var col]])&gt;0,Table2[[#This Row],[var col]]&amp;Table2[[#This Row],[Row]],"")</f>
        <v/>
      </c>
      <c r="H42" s="109" t="str">
        <f>IF(LEN(Table2[[#This Row],[min col]])&gt;0,Table2[[#This Row],[min col]]&amp;Table2[[#This Row],[Row]],"")</f>
        <v/>
      </c>
      <c r="I42" s="109" t="str">
        <f>IF(LEN(Table2[[#This Row],[max col]])&gt;0,Table2[[#This Row],[max col]]&amp;Table2[[#This Row],[Row]],"")</f>
        <v/>
      </c>
      <c r="J42" s="109">
        <v>90</v>
      </c>
      <c r="K42" s="109">
        <v>1E-4</v>
      </c>
      <c r="L42" s="109" t="s">
        <v>443</v>
      </c>
      <c r="M42" s="109" t="s">
        <v>443</v>
      </c>
      <c r="N42" s="109">
        <v>1</v>
      </c>
      <c r="O42" s="109">
        <v>365</v>
      </c>
      <c r="P42"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90, with a variance of 0. The limits of the parameter are set at: 1--&gt;365.</v>
      </c>
      <c r="Q42" s="113"/>
      <c r="R42" s="113" t="s">
        <v>419</v>
      </c>
    </row>
    <row r="43" spans="1:18" ht="75" x14ac:dyDescent="0.3">
      <c r="C43" s="1">
        <f t="shared" si="2"/>
        <v>37</v>
      </c>
      <c r="D43" s="109" t="str">
        <f>Table2[[#This Row],[Parameter]]</f>
        <v>DSWI, % of SSIs</v>
      </c>
      <c r="E43" s="109" t="str">
        <f>Table2[[#This Row],[Page]]</f>
        <v>Adverse events</v>
      </c>
      <c r="F43" s="109" t="str">
        <f>Table2[[#This Row],[Column]]&amp;Table2[[#This Row],[Row]]</f>
        <v>F15</v>
      </c>
      <c r="G43" s="109" t="str">
        <f>IF(LEN(Table2[[#This Row],[var col]])&gt;0,Table2[[#This Row],[var col]]&amp;Table2[[#This Row],[Row]],"")</f>
        <v>H15</v>
      </c>
      <c r="H43" s="109" t="str">
        <f>IF(LEN(Table2[[#This Row],[min col]])&gt;0,Table2[[#This Row],[min col]]&amp;Table2[[#This Row],[Row]],"")</f>
        <v/>
      </c>
      <c r="I43" s="109" t="str">
        <f>IF(LEN(Table2[[#This Row],[max col]])&gt;0,Table2[[#This Row],[max col]]&amp;Table2[[#This Row],[Row]],"")</f>
        <v/>
      </c>
      <c r="J43" s="109">
        <v>40.75</v>
      </c>
      <c r="K43" s="109">
        <v>2.6416175089486011</v>
      </c>
      <c r="L43" s="109" t="s">
        <v>443</v>
      </c>
      <c r="M43" s="109" t="s">
        <v>443</v>
      </c>
      <c r="N43" s="109">
        <v>0</v>
      </c>
      <c r="O43" s="109">
        <v>100</v>
      </c>
      <c r="P43"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40,75, with a variance of 2,642. The limits of the parameter are set at: 0--&gt;100.</v>
      </c>
      <c r="Q43" s="113" t="s">
        <v>418</v>
      </c>
      <c r="R43" s="113" t="s">
        <v>417</v>
      </c>
    </row>
    <row r="44" spans="1:18" ht="75" x14ac:dyDescent="0.3">
      <c r="C44" s="1">
        <f t="shared" si="2"/>
        <v>38</v>
      </c>
      <c r="D44" s="109" t="str">
        <f>Table2[[#This Row],[Parameter]]</f>
        <v>False alarms, N</v>
      </c>
      <c r="E44" s="109" t="str">
        <f>Table2[[#This Row],[Page]]</f>
        <v>Adverse events</v>
      </c>
      <c r="F44" s="109" t="str">
        <f>Table2[[#This Row],[Column]]&amp;Table2[[#This Row],[Row]]</f>
        <v>F18</v>
      </c>
      <c r="G44" s="109" t="str">
        <f>IF(LEN(Table2[[#This Row],[var col]])&gt;0,Table2[[#This Row],[var col]]&amp;Table2[[#This Row],[Row]],"")</f>
        <v/>
      </c>
      <c r="H44" s="109" t="str">
        <f>IF(LEN(Table2[[#This Row],[min col]])&gt;0,Table2[[#This Row],[min col]]&amp;Table2[[#This Row],[Row]],"")</f>
        <v/>
      </c>
      <c r="I44" s="109" t="str">
        <f>IF(LEN(Table2[[#This Row],[max col]])&gt;0,Table2[[#This Row],[max col]]&amp;Table2[[#This Row],[Row]],"")</f>
        <v/>
      </c>
      <c r="J44" s="109">
        <v>97.9</v>
      </c>
      <c r="K44" s="109">
        <v>1.4338409953687303</v>
      </c>
      <c r="L44" s="109" t="s">
        <v>443</v>
      </c>
      <c r="M44" s="109" t="s">
        <v>443</v>
      </c>
      <c r="N44" s="109">
        <v>0</v>
      </c>
      <c r="O44" s="109">
        <v>1000</v>
      </c>
      <c r="P44"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97,9, with a variance of 1,434. The limits of the parameter are set at: 0--&gt;1000.</v>
      </c>
      <c r="Q44" s="113" t="s">
        <v>421</v>
      </c>
      <c r="R44" s="113" t="s">
        <v>411</v>
      </c>
    </row>
    <row r="45" spans="1:18" ht="75" x14ac:dyDescent="0.3">
      <c r="C45" s="1">
        <f t="shared" si="2"/>
        <v>39</v>
      </c>
      <c r="D45" s="109" t="str">
        <f>Table2[[#This Row],[Parameter]]</f>
        <v>Leads-off alarms, N</v>
      </c>
      <c r="E45" s="109" t="str">
        <f>Table2[[#This Row],[Page]]</f>
        <v>Adverse events</v>
      </c>
      <c r="F45" s="109" t="str">
        <f>Table2[[#This Row],[Column]]&amp;Table2[[#This Row],[Row]]</f>
        <v>F19</v>
      </c>
      <c r="G45" s="109" t="str">
        <f>IF(LEN(Table2[[#This Row],[var col]])&gt;0,Table2[[#This Row],[var col]]&amp;Table2[[#This Row],[Row]],"")</f>
        <v/>
      </c>
      <c r="H45" s="109" t="str">
        <f>IF(LEN(Table2[[#This Row],[min col]])&gt;0,Table2[[#This Row],[min col]]&amp;Table2[[#This Row],[Row]],"")</f>
        <v/>
      </c>
      <c r="I45" s="109" t="str">
        <f>IF(LEN(Table2[[#This Row],[max col]])&gt;0,Table2[[#This Row],[max col]]&amp;Table2[[#This Row],[Row]],"")</f>
        <v/>
      </c>
      <c r="J45" s="109">
        <v>40.9</v>
      </c>
      <c r="K45" s="109">
        <v>4.9164926522878076</v>
      </c>
      <c r="L45" s="109" t="s">
        <v>443</v>
      </c>
      <c r="M45" s="109" t="s">
        <v>443</v>
      </c>
      <c r="N45" s="109">
        <v>0</v>
      </c>
      <c r="O45" s="109">
        <v>1000</v>
      </c>
      <c r="P45"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40,9, with a variance of 4,916. The limits of the parameter are set at: 0--&gt;1000.</v>
      </c>
      <c r="Q45" s="113" t="s">
        <v>421</v>
      </c>
      <c r="R45" s="113" t="s">
        <v>411</v>
      </c>
    </row>
    <row r="46" spans="1:18" ht="75" x14ac:dyDescent="0.3">
      <c r="C46" s="1">
        <f t="shared" si="2"/>
        <v>40</v>
      </c>
      <c r="D46" s="109" t="str">
        <f>Table2[[#This Row],[Parameter]]</f>
        <v>Alarms per N days</v>
      </c>
      <c r="E46" s="109" t="str">
        <f>Table2[[#This Row],[Page]]</f>
        <v>Adverse events</v>
      </c>
      <c r="F46" s="109" t="str">
        <f>Table2[[#This Row],[Column]]&amp;Table2[[#This Row],[Row]]</f>
        <v>F20</v>
      </c>
      <c r="G46" s="109" t="str">
        <f>IF(LEN(Table2[[#This Row],[var col]])&gt;0,Table2[[#This Row],[var col]]&amp;Table2[[#This Row],[Row]],"")</f>
        <v/>
      </c>
      <c r="H46" s="109" t="str">
        <f>IF(LEN(Table2[[#This Row],[min col]])&gt;0,Table2[[#This Row],[min col]]&amp;Table2[[#This Row],[Row]],"")</f>
        <v/>
      </c>
      <c r="I46" s="109" t="str">
        <f>IF(LEN(Table2[[#This Row],[max col]])&gt;0,Table2[[#This Row],[max col]]&amp;Table2[[#This Row],[Row]],"")</f>
        <v/>
      </c>
      <c r="J46" s="109">
        <v>100</v>
      </c>
      <c r="K46" s="109">
        <v>1E-4</v>
      </c>
      <c r="L46" s="109" t="s">
        <v>443</v>
      </c>
      <c r="M46" s="109" t="s">
        <v>443</v>
      </c>
      <c r="N46" s="109">
        <v>0</v>
      </c>
      <c r="O46" s="109">
        <v>1000</v>
      </c>
      <c r="P46"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100, with a variance of 0. The limits of the parameter are set at: 0--&gt;1000.</v>
      </c>
      <c r="Q46" s="113" t="s">
        <v>420</v>
      </c>
      <c r="R46" s="113" t="s">
        <v>411</v>
      </c>
    </row>
    <row r="47" spans="1:18" ht="30" x14ac:dyDescent="0.3">
      <c r="C47" s="1">
        <f t="shared" si="2"/>
        <v>41</v>
      </c>
      <c r="D47" s="109" t="str">
        <f>Table2[[#This Row],[Parameter]]</f>
        <v>Age, life expectancy</v>
      </c>
      <c r="E47" s="109" t="str">
        <f>Table2[[#This Row],[Page]]</f>
        <v>Risk factors</v>
      </c>
      <c r="F47" s="109" t="str">
        <f>Table2[[#This Row],[Column]]&amp;Table2[[#This Row],[Row]]</f>
        <v>F11</v>
      </c>
      <c r="G47" s="109" t="str">
        <f>IF(LEN(Table2[[#This Row],[var col]])&gt;0,Table2[[#This Row],[var col]]&amp;Table2[[#This Row],[Row]],"")</f>
        <v/>
      </c>
      <c r="H47" s="109" t="str">
        <f>IF(LEN(Table2[[#This Row],[min col]])&gt;0,Table2[[#This Row],[min col]]&amp;Table2[[#This Row],[Row]],"")</f>
        <v/>
      </c>
      <c r="I47" s="109" t="str">
        <f>IF(LEN(Table2[[#This Row],[max col]])&gt;0,Table2[[#This Row],[max col]]&amp;Table2[[#This Row],[Row]],"")</f>
        <v/>
      </c>
      <c r="J47" s="109" t="s">
        <v>140</v>
      </c>
      <c r="K47" s="109" t="s">
        <v>443</v>
      </c>
      <c r="L47" s="109" t="s">
        <v>443</v>
      </c>
      <c r="M47" s="109" t="s">
        <v>443</v>
      </c>
      <c r="N47" s="109" t="s">
        <v>443</v>
      </c>
      <c r="O47" s="109" t="s">
        <v>443</v>
      </c>
      <c r="P47"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Life tables</v>
      </c>
      <c r="Q47" s="113" t="s">
        <v>423</v>
      </c>
      <c r="R47" s="121" t="s">
        <v>424</v>
      </c>
    </row>
    <row r="48" spans="1:18" ht="30" x14ac:dyDescent="0.3">
      <c r="C48" s="1">
        <f t="shared" si="2"/>
        <v>42</v>
      </c>
      <c r="D48" s="109" t="str">
        <f>Table2[[#This Row],[Parameter]]</f>
        <v>Gender, life expectancy</v>
      </c>
      <c r="E48" s="109" t="str">
        <f>Table2[[#This Row],[Page]]</f>
        <v>Risk factors</v>
      </c>
      <c r="F48" s="109" t="str">
        <f>Table2[[#This Row],[Column]]&amp;Table2[[#This Row],[Row]]</f>
        <v>F14</v>
      </c>
      <c r="G48" s="109" t="str">
        <f>IF(LEN(Table2[[#This Row],[var col]])&gt;0,Table2[[#This Row],[var col]]&amp;Table2[[#This Row],[Row]],"")</f>
        <v/>
      </c>
      <c r="H48" s="109" t="str">
        <f>IF(LEN(Table2[[#This Row],[min col]])&gt;0,Table2[[#This Row],[min col]]&amp;Table2[[#This Row],[Row]],"")</f>
        <v/>
      </c>
      <c r="I48" s="109" t="str">
        <f>IF(LEN(Table2[[#This Row],[max col]])&gt;0,Table2[[#This Row],[max col]]&amp;Table2[[#This Row],[Row]],"")</f>
        <v/>
      </c>
      <c r="J48" s="109" t="s">
        <v>140</v>
      </c>
      <c r="K48" s="109" t="s">
        <v>443</v>
      </c>
      <c r="L48" s="109" t="s">
        <v>443</v>
      </c>
      <c r="M48" s="109" t="s">
        <v>443</v>
      </c>
      <c r="N48" s="109" t="s">
        <v>443</v>
      </c>
      <c r="O48" s="109" t="s">
        <v>443</v>
      </c>
      <c r="P48"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Life tables</v>
      </c>
      <c r="Q48" s="113" t="s">
        <v>422</v>
      </c>
      <c r="R48" s="121" t="s">
        <v>424</v>
      </c>
    </row>
    <row r="49" spans="3:23" ht="75" x14ac:dyDescent="0.3">
      <c r="C49" s="1">
        <f t="shared" si="2"/>
        <v>43</v>
      </c>
      <c r="D49" s="109" t="str">
        <f>Table2[[#This Row],[Parameter]]</f>
        <v>Length of stay in ICU, BMI</v>
      </c>
      <c r="E49" s="109" t="str">
        <f>Table2[[#This Row],[Page]]</f>
        <v>Risk factors</v>
      </c>
      <c r="F49" s="109" t="str">
        <f>Table2[[#This Row],[Column]]&amp;Table2[[#This Row],[Row]]</f>
        <v>F17</v>
      </c>
      <c r="G49" s="109" t="str">
        <f>IF(LEN(Table2[[#This Row],[var col]])&gt;0,Table2[[#This Row],[var col]]&amp;Table2[[#This Row],[Row]],"")</f>
        <v/>
      </c>
      <c r="H49" s="109" t="str">
        <f>IF(LEN(Table2[[#This Row],[min col]])&gt;0,Table2[[#This Row],[min col]]&amp;Table2[[#This Row],[Row]],"")</f>
        <v>I17</v>
      </c>
      <c r="I49" s="109" t="str">
        <f>IF(LEN(Table2[[#This Row],[max col]])&gt;0,Table2[[#This Row],[max col]]&amp;Table2[[#This Row],[Row]],"")</f>
        <v>J17</v>
      </c>
      <c r="J49" s="109">
        <v>4</v>
      </c>
      <c r="K49" s="109">
        <v>5.1020408163265305</v>
      </c>
      <c r="L49" s="109">
        <v>2</v>
      </c>
      <c r="M49" s="109">
        <v>22</v>
      </c>
      <c r="N49" s="109">
        <v>1.6</v>
      </c>
      <c r="O49" s="109">
        <v>22.4</v>
      </c>
      <c r="P49"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4, with a variance of 5,102. The limits of the parameter are set at: 1,6--&gt;22,4.</v>
      </c>
      <c r="Q49" s="113" t="s">
        <v>368</v>
      </c>
      <c r="R49" s="113" t="s">
        <v>367</v>
      </c>
    </row>
    <row r="50" spans="3:23" ht="75" x14ac:dyDescent="0.3">
      <c r="C50" s="1">
        <f t="shared" si="2"/>
        <v>44</v>
      </c>
      <c r="D50" s="109" t="str">
        <f>Table2[[#This Row],[Parameter]]</f>
        <v>DSWI, BMI</v>
      </c>
      <c r="E50" s="109" t="str">
        <f>Table2[[#This Row],[Page]]</f>
        <v>Risk factors</v>
      </c>
      <c r="F50" s="109" t="str">
        <f>Table2[[#This Row],[Column]]&amp;Table2[[#This Row],[Row]]</f>
        <v>F18</v>
      </c>
      <c r="G50" s="109" t="str">
        <f>IF(LEN(Table2[[#This Row],[var col]])&gt;0,Table2[[#This Row],[var col]]&amp;Table2[[#This Row],[Row]],"")</f>
        <v/>
      </c>
      <c r="H50" s="109" t="str">
        <f>IF(LEN(Table2[[#This Row],[min col]])&gt;0,Table2[[#This Row],[min col]]&amp;Table2[[#This Row],[Row]],"")</f>
        <v>I18</v>
      </c>
      <c r="I50" s="109" t="str">
        <f>IF(LEN(Table2[[#This Row],[max col]])&gt;0,Table2[[#This Row],[max col]]&amp;Table2[[#This Row],[Row]],"")</f>
        <v>J18</v>
      </c>
      <c r="J50" s="109">
        <v>6.45</v>
      </c>
      <c r="K50" s="109">
        <v>0.40438094143736458</v>
      </c>
      <c r="L50" s="109">
        <v>2.92</v>
      </c>
      <c r="M50" s="109">
        <v>14.25</v>
      </c>
      <c r="N50" s="109">
        <v>2.2749999999999999</v>
      </c>
      <c r="O50" s="109">
        <v>14.895</v>
      </c>
      <c r="P50"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6,45, with a variance of 0,404. The limits of the parameter are set at: 2,28--&gt;14,9.</v>
      </c>
      <c r="Q50" s="113" t="s">
        <v>368</v>
      </c>
      <c r="R50" s="113" t="s">
        <v>367</v>
      </c>
    </row>
    <row r="51" spans="3:23" ht="75" x14ac:dyDescent="0.3">
      <c r="C51" s="1">
        <f t="shared" si="2"/>
        <v>45</v>
      </c>
      <c r="D51" s="109" t="str">
        <f>Table2[[#This Row],[Parameter]]</f>
        <v>Prolonged MV, BMI</v>
      </c>
      <c r="E51" s="109" t="str">
        <f>Table2[[#This Row],[Page]]</f>
        <v>Risk factors</v>
      </c>
      <c r="F51" s="109" t="str">
        <f>Table2[[#This Row],[Column]]&amp;Table2[[#This Row],[Row]]</f>
        <v>F19</v>
      </c>
      <c r="G51" s="109" t="str">
        <f>IF(LEN(Table2[[#This Row],[var col]])&gt;0,Table2[[#This Row],[var col]]&amp;Table2[[#This Row],[Row]],"")</f>
        <v/>
      </c>
      <c r="H51" s="109" t="str">
        <f>IF(LEN(Table2[[#This Row],[min col]])&gt;0,Table2[[#This Row],[min col]]&amp;Table2[[#This Row],[Row]],"")</f>
        <v>I19</v>
      </c>
      <c r="I51" s="109" t="str">
        <f>IF(LEN(Table2[[#This Row],[max col]])&gt;0,Table2[[#This Row],[max col]]&amp;Table2[[#This Row],[Row]],"")</f>
        <v>J19</v>
      </c>
      <c r="J51" s="109">
        <v>1.73</v>
      </c>
      <c r="K51" s="109">
        <v>0.102234494150702</v>
      </c>
      <c r="L51" s="109">
        <v>1.42</v>
      </c>
      <c r="M51" s="109">
        <v>2.12</v>
      </c>
      <c r="N51" s="109">
        <v>1.2469999999999999</v>
      </c>
      <c r="O51" s="109">
        <v>2.2930000000000001</v>
      </c>
      <c r="P51"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1,73, with a variance of 0,102. The limits of the parameter are set at: 1,25--&gt;2,29.</v>
      </c>
      <c r="Q51" s="113" t="s">
        <v>368</v>
      </c>
      <c r="R51" s="113" t="s">
        <v>367</v>
      </c>
    </row>
    <row r="52" spans="3:23" ht="75" x14ac:dyDescent="0.3">
      <c r="C52" s="1">
        <f t="shared" si="2"/>
        <v>46</v>
      </c>
      <c r="D52" s="109" t="str">
        <f>Table2[[#This Row],[Parameter]]</f>
        <v>Hospital mortality, BMI</v>
      </c>
      <c r="E52" s="109" t="str">
        <f>Table2[[#This Row],[Page]]</f>
        <v>Risk factors</v>
      </c>
      <c r="F52" s="109" t="str">
        <f>Table2[[#This Row],[Column]]&amp;Table2[[#This Row],[Row]]</f>
        <v>F20</v>
      </c>
      <c r="G52" s="109" t="str">
        <f>IF(LEN(Table2[[#This Row],[var col]])&gt;0,Table2[[#This Row],[var col]]&amp;Table2[[#This Row],[Row]],"")</f>
        <v/>
      </c>
      <c r="H52" s="109" t="str">
        <f>IF(LEN(Table2[[#This Row],[min col]])&gt;0,Table2[[#This Row],[min col]]&amp;Table2[[#This Row],[Row]],"")</f>
        <v>I20</v>
      </c>
      <c r="I52" s="109" t="str">
        <f>IF(LEN(Table2[[#This Row],[max col]])&gt;0,Table2[[#This Row],[max col]]&amp;Table2[[#This Row],[Row]],"")</f>
        <v>J20</v>
      </c>
      <c r="J52" s="109">
        <v>1.64</v>
      </c>
      <c r="K52" s="109">
        <v>0.18230953718900739</v>
      </c>
      <c r="L52" s="109">
        <v>1.1499999999999999</v>
      </c>
      <c r="M52" s="109">
        <v>2.35</v>
      </c>
      <c r="N52" s="109">
        <v>0.98599999999999999</v>
      </c>
      <c r="O52" s="109">
        <v>2.5140000000000002</v>
      </c>
      <c r="P52"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1,64, with a variance of 0,182. The limits of the parameter are set at: 0,99--&gt;2,51.</v>
      </c>
      <c r="Q52" s="113" t="s">
        <v>368</v>
      </c>
      <c r="R52" s="113" t="s">
        <v>367</v>
      </c>
    </row>
    <row r="53" spans="3:23" ht="75" x14ac:dyDescent="0.3">
      <c r="C53" s="1">
        <f t="shared" si="2"/>
        <v>47</v>
      </c>
      <c r="D53" s="109" t="str">
        <f>Table2[[#This Row],[Parameter]]</f>
        <v>Risk when BMI over N kg/m2</v>
      </c>
      <c r="E53" s="109" t="str">
        <f>Table2[[#This Row],[Page]]</f>
        <v>Risk factors</v>
      </c>
      <c r="F53" s="109" t="str">
        <f>Table2[[#This Row],[Column]]&amp;Table2[[#This Row],[Row]]</f>
        <v>F21</v>
      </c>
      <c r="G53" s="109" t="str">
        <f>IF(LEN(Table2[[#This Row],[var col]])&gt;0,Table2[[#This Row],[var col]]&amp;Table2[[#This Row],[Row]],"")</f>
        <v/>
      </c>
      <c r="H53" s="109"/>
      <c r="I53" s="109"/>
      <c r="J53" s="109" t="s">
        <v>346</v>
      </c>
      <c r="K53" s="109" t="s">
        <v>443</v>
      </c>
      <c r="L53" s="109"/>
      <c r="M53" s="109"/>
      <c r="N53" s="109"/>
      <c r="O53" s="109"/>
      <c r="P53"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Morbidly obese</v>
      </c>
      <c r="Q53" s="113" t="s">
        <v>368</v>
      </c>
      <c r="R53" s="113" t="s">
        <v>367</v>
      </c>
    </row>
    <row r="54" spans="3:23" ht="75" x14ac:dyDescent="0.3">
      <c r="C54" s="1">
        <f t="shared" si="2"/>
        <v>48</v>
      </c>
      <c r="D54" s="109" t="str">
        <f>Table2[[#This Row],[Parameter]]</f>
        <v>Diabetes, DSWI</v>
      </c>
      <c r="E54" s="109" t="str">
        <f>Table2[[#This Row],[Page]]</f>
        <v>Risk factors</v>
      </c>
      <c r="F54" s="109" t="str">
        <f>Table2[[#This Row],[Column]]&amp;Table2[[#This Row],[Row]]</f>
        <v>F24</v>
      </c>
      <c r="G54" s="109" t="str">
        <f>IF(LEN(Table2[[#This Row],[var col]])&gt;0,Table2[[#This Row],[var col]]&amp;Table2[[#This Row],[Row]],"")</f>
        <v/>
      </c>
      <c r="H54" s="109" t="str">
        <f>IF(LEN(Table2[[#This Row],[min col]])&gt;0,Table2[[#This Row],[min col]]&amp;Table2[[#This Row],[Row]],"")</f>
        <v>I24</v>
      </c>
      <c r="I54" s="109" t="str">
        <f>IF(LEN(Table2[[#This Row],[max col]])&gt;0,Table2[[#This Row],[max col]]&amp;Table2[[#This Row],[Row]],"")</f>
        <v>J24</v>
      </c>
      <c r="J54" s="109">
        <v>1.71</v>
      </c>
      <c r="K54" s="109">
        <v>0.20408163265306123</v>
      </c>
      <c r="L54" s="109">
        <v>1.36</v>
      </c>
      <c r="M54" s="109">
        <v>2.16</v>
      </c>
      <c r="N54" s="109">
        <v>1.1890000000000001</v>
      </c>
      <c r="O54" s="109">
        <v>2.331</v>
      </c>
      <c r="P54"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1,71, with a variance of 0,204. The limits of the parameter are set at: 1,19--&gt;2,33.</v>
      </c>
      <c r="Q54" s="113" t="s">
        <v>426</v>
      </c>
      <c r="R54" s="113" t="s">
        <v>413</v>
      </c>
    </row>
    <row r="55" spans="3:23" ht="150" x14ac:dyDescent="0.3">
      <c r="C55" s="1">
        <f t="shared" si="2"/>
        <v>49</v>
      </c>
      <c r="D55" s="109" t="str">
        <f>Table2[[#This Row],[Parameter]]</f>
        <v>CABG</v>
      </c>
      <c r="E55" s="109" t="str">
        <f>Table2[[#This Row],[Page]]</f>
        <v>Costs</v>
      </c>
      <c r="F55" s="109" t="str">
        <f>Table2[[#This Row],[Column]]&amp;Table2[[#This Row],[Row]]</f>
        <v>F10</v>
      </c>
      <c r="G55" s="109" t="str">
        <f>IF(LEN(Table2[[#This Row],[var col]])&gt;0,Table2[[#This Row],[var col]]&amp;Table2[[#This Row],[Row]],"")</f>
        <v>H10</v>
      </c>
      <c r="H55" s="109" t="str">
        <f>IF(LEN(Table2[[#This Row],[min col]])&gt;0,Table2[[#This Row],[min col]]&amp;Table2[[#This Row],[Row]],"")</f>
        <v/>
      </c>
      <c r="I55" s="109" t="str">
        <f>IF(LEN(Table2[[#This Row],[max col]])&gt;0,Table2[[#This Row],[max col]]&amp;Table2[[#This Row],[Row]],"")</f>
        <v/>
      </c>
      <c r="J55" s="109">
        <f>ROUND(Table1[[#This Row],[Value]]/VLOOKUP(Table1[[#This Row],[Year]],Inflation,3,FALSE)*VLOOKUP($C$5,Inflation,3,FALSE),2)</f>
        <v>10244.049999999999</v>
      </c>
      <c r="K55" s="137">
        <f>ROUND(Table1[[#This Row],[VarianceOrig]]/VLOOKUP(Table1[[#This Row],[Year]],Inflation,3,FALSE)*VLOOKUP($C$5,Inflation,3,FALSE),2)</f>
        <v>2663.69</v>
      </c>
      <c r="L55" s="109" t="str">
        <f>Table2[[#This Row],[95 min]]</f>
        <v/>
      </c>
      <c r="M55" s="109" t="str">
        <f>Table2[[#This Row],[95 max]]</f>
        <v/>
      </c>
      <c r="N55" s="109">
        <f>IF(LEN(Table2[[#This Row],[Min]])&gt;0,Table2[[#This Row],[Min]],"")</f>
        <v>0</v>
      </c>
      <c r="O55" s="109">
        <f>IF(LEN(Table2[[#This Row],[Max]])&gt;0,Table2[[#This Row],[Max]],"")</f>
        <v>50000</v>
      </c>
      <c r="P55"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10244,05, with a variance of 2663,69. The limits of the parameter are set at: 0--&gt;50000.</v>
      </c>
      <c r="Q55" s="113" t="s">
        <v>453</v>
      </c>
      <c r="R55" s="113" t="s">
        <v>454</v>
      </c>
      <c r="S55" s="1">
        <v>8580</v>
      </c>
      <c r="T55" s="1">
        <v>2010</v>
      </c>
      <c r="U55" s="1">
        <v>2231</v>
      </c>
    </row>
    <row r="56" spans="3:23" ht="135" x14ac:dyDescent="0.3">
      <c r="C56" s="1">
        <f t="shared" si="2"/>
        <v>50</v>
      </c>
      <c r="D56" s="109" t="str">
        <f>Table2[[#This Row],[Parameter]]</f>
        <v>Mechanical ventilation</v>
      </c>
      <c r="E56" s="109" t="str">
        <f>Table2[[#This Row],[Page]]</f>
        <v>Costs</v>
      </c>
      <c r="F56" s="109" t="str">
        <f>Table2[[#This Row],[Column]]&amp;Table2[[#This Row],[Row]]</f>
        <v>F11</v>
      </c>
      <c r="G56" s="109" t="str">
        <f>IF(LEN(Table2[[#This Row],[var col]])&gt;0,Table2[[#This Row],[var col]]&amp;Table2[[#This Row],[Row]],"")</f>
        <v/>
      </c>
      <c r="H56" s="109" t="str">
        <f>IF(LEN(Table2[[#This Row],[min col]])&gt;0,Table2[[#This Row],[min col]]&amp;Table2[[#This Row],[Row]],"")</f>
        <v>I11</v>
      </c>
      <c r="I56" s="109" t="str">
        <f>IF(LEN(Table2[[#This Row],[max col]])&gt;0,Table2[[#This Row],[max col]]&amp;Table2[[#This Row],[Row]],"")</f>
        <v>J11</v>
      </c>
      <c r="J56" s="109">
        <f>ROUND(Table1[[#This Row],[Value]]/VLOOKUP(Table1[[#This Row],[Year]],Inflation,3,FALSE)*VLOOKUP($C$5,Inflation,3,FALSE),2)</f>
        <v>755.75</v>
      </c>
      <c r="K56" s="109">
        <f>Table2[[#This Row],[Sample variance]]</f>
        <v>177.49234693877551</v>
      </c>
      <c r="L56" s="109">
        <f>ROUND($V56/VLOOKUP($T56,Inflation,3,FALSE)*VLOOKUP($C$5,Inflation,3,FALSE),2)</f>
        <v>210.48</v>
      </c>
      <c r="M56" s="109">
        <f>ROUND($W56/VLOOKUP($T56,Inflation,3,FALSE)*VLOOKUP($C$5,Inflation,3,FALSE),2)</f>
        <v>906.25</v>
      </c>
      <c r="N56" s="109">
        <f>IF(LEN(Table2[[#This Row],[Min]])&gt;0,Table2[[#This Row],[Min]],"")</f>
        <v>134.90499999999997</v>
      </c>
      <c r="O56" s="109">
        <f>IF(LEN(Table2[[#This Row],[Max]])&gt;0,Table2[[#This Row],[Max]],"")</f>
        <v>981.82500000000005</v>
      </c>
      <c r="P56"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755,75, with a variance of 177,492. The limits of the parameter are set at: 134,91--&gt;981,83.</v>
      </c>
      <c r="Q56" s="113" t="s">
        <v>398</v>
      </c>
      <c r="R56" s="113" t="s">
        <v>396</v>
      </c>
      <c r="S56" s="1">
        <v>693</v>
      </c>
      <c r="T56" s="1">
        <v>2013</v>
      </c>
      <c r="V56" s="1">
        <v>193</v>
      </c>
      <c r="W56" s="1">
        <v>831</v>
      </c>
    </row>
    <row r="57" spans="3:23" ht="120" x14ac:dyDescent="0.3">
      <c r="C57" s="1">
        <f t="shared" si="2"/>
        <v>51</v>
      </c>
      <c r="D57" s="109" t="str">
        <f>Table2[[#This Row],[Parameter]]</f>
        <v>ICU per day</v>
      </c>
      <c r="E57" s="109" t="str">
        <f>Table2[[#This Row],[Page]]</f>
        <v>Costs</v>
      </c>
      <c r="F57" s="109" t="str">
        <f>Table2[[#This Row],[Column]]&amp;Table2[[#This Row],[Row]]</f>
        <v>F12</v>
      </c>
      <c r="G57" s="109" t="str">
        <f>IF(LEN(Table2[[#This Row],[var col]])&gt;0,Table2[[#This Row],[var col]]&amp;Table2[[#This Row],[Row]],"")</f>
        <v/>
      </c>
      <c r="H57" s="109" t="str">
        <f>IF(LEN(Table2[[#This Row],[min col]])&gt;0,Table2[[#This Row],[min col]]&amp;Table2[[#This Row],[Row]],"")</f>
        <v>I12</v>
      </c>
      <c r="I57" s="109" t="str">
        <f>IF(LEN(Table2[[#This Row],[max col]])&gt;0,Table2[[#This Row],[max col]]&amp;Table2[[#This Row],[Row]],"")</f>
        <v>J12</v>
      </c>
      <c r="J57" s="109">
        <f>ROUND(Table1[[#This Row],[Value]]/VLOOKUP(Table1[[#This Row],[Year]],Inflation,3,FALSE)*VLOOKUP($C$5,Inflation,3,FALSE),2)</f>
        <v>2535.52</v>
      </c>
      <c r="K57" s="109">
        <f>Table2[[#This Row],[Sample variance]]</f>
        <v>221.72704081632656</v>
      </c>
      <c r="L57" s="109">
        <f>ROUND($V57/VLOOKUP($T57,Inflation,3,FALSE)*VLOOKUP($C$5,Inflation,3,FALSE),2)</f>
        <v>2197.4499999999998</v>
      </c>
      <c r="M57" s="109">
        <f>ROUND($W57/VLOOKUP($T57,Inflation,3,FALSE)*VLOOKUP($C$5,Inflation,3,FALSE),2)</f>
        <v>3066.62</v>
      </c>
      <c r="N57" s="109">
        <f>IF(LEN(Table2[[#This Row],[Min]])&gt;0,Table2[[#This Row],[Min]],"")</f>
        <v>1943.8979999999999</v>
      </c>
      <c r="O57" s="109">
        <f>IF(LEN(Table2[[#This Row],[Max]])&gt;0,Table2[[#This Row],[Max]],"")</f>
        <v>3320.172</v>
      </c>
      <c r="P57"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2535,52, with a variance of 221,727. The limits of the parameter are set at: 1943,9--&gt;3320,17.</v>
      </c>
      <c r="Q57" s="113" t="s">
        <v>397</v>
      </c>
      <c r="R57" s="113" t="s">
        <v>396</v>
      </c>
      <c r="S57" s="1">
        <v>2325</v>
      </c>
      <c r="T57" s="1">
        <v>2013</v>
      </c>
      <c r="V57" s="1">
        <v>2015</v>
      </c>
      <c r="W57" s="1">
        <v>2812</v>
      </c>
    </row>
    <row r="58" spans="3:23" ht="135" x14ac:dyDescent="0.3">
      <c r="C58" s="1">
        <f t="shared" si="2"/>
        <v>52</v>
      </c>
      <c r="D58" s="109" t="str">
        <f>Table2[[#This Row],[Parameter]]</f>
        <v>General ward per day</v>
      </c>
      <c r="E58" s="109" t="str">
        <f>Table2[[#This Row],[Page]]</f>
        <v>Costs</v>
      </c>
      <c r="F58" s="109" t="str">
        <f>Table2[[#This Row],[Column]]&amp;Table2[[#This Row],[Row]]</f>
        <v>F13</v>
      </c>
      <c r="G58" s="109" t="str">
        <f>IF(LEN(Table2[[#This Row],[var col]])&gt;0,Table2[[#This Row],[var col]]&amp;Table2[[#This Row],[Row]],"")</f>
        <v>H13</v>
      </c>
      <c r="H58" s="109" t="str">
        <f>IF(LEN(Table2[[#This Row],[min col]])&gt;0,Table2[[#This Row],[min col]]&amp;Table2[[#This Row],[Row]],"")</f>
        <v/>
      </c>
      <c r="I58" s="109" t="str">
        <f>IF(LEN(Table2[[#This Row],[max col]])&gt;0,Table2[[#This Row],[max col]]&amp;Table2[[#This Row],[Row]],"")</f>
        <v/>
      </c>
      <c r="J58" s="109">
        <f>ROUND(Table1[[#This Row],[Value]]/VLOOKUP(Table1[[#This Row],[Year]],Inflation,3,FALSE)*VLOOKUP($C$5,Inflation,3,FALSE),2)</f>
        <v>2357.3000000000002</v>
      </c>
      <c r="K58" s="109">
        <f>Table1[[#This Row],[Basecase]]/10</f>
        <v>235.73000000000002</v>
      </c>
      <c r="L58" s="109" t="str">
        <f>Table2[[#This Row],[95 min]]</f>
        <v/>
      </c>
      <c r="M58" s="109" t="str">
        <f>Table2[[#This Row],[95 max]]</f>
        <v/>
      </c>
      <c r="N58" s="109">
        <f>IF(LEN(Table2[[#This Row],[Min]])&gt;0,Table2[[#This Row],[Min]],"")</f>
        <v>0</v>
      </c>
      <c r="O58" s="109">
        <f>IF(LEN(Table2[[#This Row],[Max]])&gt;0,Table2[[#This Row],[Max]],"")</f>
        <v>50000</v>
      </c>
      <c r="P58"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2357,3, with a variance of 235,73. The limits of the parameter are set at: 0--&gt;50000.</v>
      </c>
      <c r="Q58" s="113" t="s">
        <v>395</v>
      </c>
      <c r="R58" s="113" t="s">
        <v>394</v>
      </c>
      <c r="S58" s="1">
        <v>2271</v>
      </c>
      <c r="T58" s="1">
        <v>2015</v>
      </c>
    </row>
    <row r="59" spans="3:23" ht="105" x14ac:dyDescent="0.3">
      <c r="C59" s="1">
        <f t="shared" si="2"/>
        <v>53</v>
      </c>
      <c r="D59" s="109" t="str">
        <f>Table2[[#This Row],[Parameter]]</f>
        <v>Nurse time</v>
      </c>
      <c r="E59" s="109" t="str">
        <f>Table2[[#This Row],[Page]]</f>
        <v>Costs</v>
      </c>
      <c r="F59" s="109" t="str">
        <f>Table2[[#This Row],[Column]]&amp;Table2[[#This Row],[Row]]</f>
        <v>F15</v>
      </c>
      <c r="G59" s="109" t="str">
        <f>IF(LEN(Table2[[#This Row],[var col]])&gt;0,Table2[[#This Row],[var col]]&amp;Table2[[#This Row],[Row]],"")</f>
        <v/>
      </c>
      <c r="H59" s="109" t="str">
        <f>IF(LEN(Table2[[#This Row],[min col]])&gt;0,Table2[[#This Row],[min col]]&amp;Table2[[#This Row],[Row]],"")</f>
        <v>I15</v>
      </c>
      <c r="I59" s="109" t="str">
        <f>IF(LEN(Table2[[#This Row],[max col]])&gt;0,Table2[[#This Row],[max col]]&amp;Table2[[#This Row],[Row]],"")</f>
        <v>J15</v>
      </c>
      <c r="J59" s="109">
        <f>ROUND(Table1[[#This Row],[Value]]/VLOOKUP(Table1[[#This Row],[Year]],Inflation,3,FALSE)*VLOOKUP($C$5,Inflation,3,FALSE),2)</f>
        <v>57.93</v>
      </c>
      <c r="K59" s="109">
        <f>Table2[[#This Row],[Sample variance]]</f>
        <v>4.5739795918367365</v>
      </c>
      <c r="L59" s="109">
        <f>ROUND($V59/VLOOKUP($T59,Inflation,3,FALSE)*VLOOKUP($C$5,Inflation,3,FALSE),2)</f>
        <v>48.97</v>
      </c>
      <c r="M59" s="109">
        <f>ROUND($W59/VLOOKUP($T59,Inflation,3,FALSE)*VLOOKUP($C$5,Inflation,3,FALSE),2)</f>
        <v>66.900000000000006</v>
      </c>
      <c r="N59" s="109">
        <f>IF(LEN(Table2[[#This Row],[Min]])&gt;0,Table2[[#This Row],[Min]],"")</f>
        <v>43.177</v>
      </c>
      <c r="O59" s="109">
        <f>IF(LEN(Table2[[#This Row],[Max]])&gt;0,Table2[[#This Row],[Max]],"")</f>
        <v>72.693000000000012</v>
      </c>
      <c r="P59"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57,93, with a variance of 4,574. The limits of the parameter are set at: 43,18--&gt;72,69.</v>
      </c>
      <c r="Q59" s="113" t="s">
        <v>393</v>
      </c>
      <c r="R59" s="113" t="s">
        <v>392</v>
      </c>
      <c r="S59" s="1">
        <v>42</v>
      </c>
      <c r="T59" s="1">
        <v>2006</v>
      </c>
      <c r="V59" s="1">
        <v>35.5</v>
      </c>
      <c r="W59" s="1">
        <v>48.5</v>
      </c>
    </row>
    <row r="60" spans="3:23" ht="135" x14ac:dyDescent="0.3">
      <c r="C60" s="1">
        <f t="shared" si="2"/>
        <v>54</v>
      </c>
      <c r="D60" s="109" t="str">
        <f>Table2[[#This Row],[Parameter]]</f>
        <v>Care facility</v>
      </c>
      <c r="E60" s="109" t="str">
        <f>Table2[[#This Row],[Page]]</f>
        <v>Costs</v>
      </c>
      <c r="F60" s="109" t="str">
        <f>Table2[[#This Row],[Column]]&amp;Table2[[#This Row],[Row]]</f>
        <v>F17</v>
      </c>
      <c r="G60" s="109" t="str">
        <f>IF(LEN(Table2[[#This Row],[var col]])&gt;0,Table2[[#This Row],[var col]]&amp;Table2[[#This Row],[Row]],"")</f>
        <v/>
      </c>
      <c r="H60" s="109" t="str">
        <f>IF(LEN(Table2[[#This Row],[min col]])&gt;0,Table2[[#This Row],[min col]]&amp;Table2[[#This Row],[Row]],"")</f>
        <v>I17</v>
      </c>
      <c r="I60" s="109" t="str">
        <f>IF(LEN(Table2[[#This Row],[max col]])&gt;0,Table2[[#This Row],[max col]]&amp;Table2[[#This Row],[Row]],"")</f>
        <v>J17</v>
      </c>
      <c r="J60" s="109">
        <f>ROUND(Table1[[#This Row],[Value]]/VLOOKUP(Table1[[#This Row],[Year]],Inflation,3,FALSE)*VLOOKUP($C$5,Inflation,3,FALSE),2)</f>
        <v>420.43</v>
      </c>
      <c r="K60" s="109">
        <f>Table2[[#This Row],[Sample variance]]</f>
        <v>413.33418367346945</v>
      </c>
      <c r="L60" s="109">
        <f>ROUND($V60/VLOOKUP($T60,Inflation,3,FALSE)*VLOOKUP($C$5,Inflation,3,FALSE),2)</f>
        <v>59.37</v>
      </c>
      <c r="M60" s="109">
        <f>ROUND($W60/VLOOKUP($T60,Inflation,3,FALSE)*VLOOKUP($C$5,Inflation,3,FALSE),2)</f>
        <v>1679.64</v>
      </c>
      <c r="N60" s="109">
        <f>IF(LEN(Table2[[#This Row],[Min]])&gt;0,Table2[[#This Row],[Min]],"")</f>
        <v>17.326999999999998</v>
      </c>
      <c r="O60" s="109">
        <f>IF(LEN(Table2[[#This Row],[Max]])&gt;0,Table2[[#This Row],[Max]],"")</f>
        <v>1721.683</v>
      </c>
      <c r="P60"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420,43, with a variance of 413,334. The limits of the parameter are set at: 17,33--&gt;1721,68.</v>
      </c>
      <c r="Q60" s="113" t="s">
        <v>379</v>
      </c>
      <c r="R60" s="113" t="s">
        <v>375</v>
      </c>
      <c r="S60" s="1">
        <v>330</v>
      </c>
      <c r="T60" s="1">
        <v>2008</v>
      </c>
      <c r="V60" s="1">
        <v>46.6</v>
      </c>
      <c r="W60" s="1">
        <v>1318.35</v>
      </c>
    </row>
    <row r="61" spans="3:23" ht="16.5" x14ac:dyDescent="0.3">
      <c r="C61" s="1">
        <f t="shared" si="2"/>
        <v>55</v>
      </c>
      <c r="D61" s="109" t="str">
        <f>Table2[[#This Row],[Parameter]]</f>
        <v>Patient at home, cost</v>
      </c>
      <c r="E61" s="109" t="str">
        <f>Table2[[#This Row],[Page]]</f>
        <v>Costs</v>
      </c>
      <c r="F61" s="109" t="str">
        <f>Table2[[#This Row],[Column]]&amp;Table2[[#This Row],[Row]]</f>
        <v>F18</v>
      </c>
      <c r="G61" s="109" t="str">
        <f>IF(LEN(Table2[[#This Row],[var col]])&gt;0,Table2[[#This Row],[var col]]&amp;Table2[[#This Row],[Row]],"")</f>
        <v>H18</v>
      </c>
      <c r="H61" s="109" t="str">
        <f>IF(LEN(Table2[[#This Row],[min col]])&gt;0,Table2[[#This Row],[min col]]&amp;Table2[[#This Row],[Row]],"")</f>
        <v/>
      </c>
      <c r="I61" s="109" t="str">
        <f>IF(LEN(Table2[[#This Row],[max col]])&gt;0,Table2[[#This Row],[max col]]&amp;Table2[[#This Row],[Row]],"")</f>
        <v/>
      </c>
      <c r="J61" s="109">
        <v>0</v>
      </c>
      <c r="K61" s="109">
        <v>5</v>
      </c>
      <c r="L61" s="109" t="s">
        <v>443</v>
      </c>
      <c r="M61" s="109" t="s">
        <v>443</v>
      </c>
      <c r="N61" s="109">
        <v>0</v>
      </c>
      <c r="O61" s="109">
        <v>50</v>
      </c>
      <c r="P61"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0, with a variance of 5. The limits of the parameter are set at: 0--&gt;50.</v>
      </c>
      <c r="Q61" s="113"/>
      <c r="R61" s="113" t="s">
        <v>126</v>
      </c>
    </row>
    <row r="62" spans="3:23" ht="16.5" x14ac:dyDescent="0.3">
      <c r="C62" s="1">
        <f t="shared" si="2"/>
        <v>56</v>
      </c>
      <c r="D62" s="109" t="str">
        <f>Table2[[#This Row],[Parameter]]</f>
        <v>Days of home care</v>
      </c>
      <c r="E62" s="109" t="str">
        <f>Table2[[#This Row],[Page]]</f>
        <v>Costs</v>
      </c>
      <c r="F62" s="109" t="str">
        <f>Table2[[#This Row],[Column]]&amp;Table2[[#This Row],[Row]]</f>
        <v>F19</v>
      </c>
      <c r="G62" s="109" t="str">
        <f>IF(LEN(Table2[[#This Row],[var col]])&gt;0,Table2[[#This Row],[var col]]&amp;Table2[[#This Row],[Row]],"")</f>
        <v>H19</v>
      </c>
      <c r="H62" s="109" t="str">
        <f>IF(LEN(Table2[[#This Row],[min col]])&gt;0,Table2[[#This Row],[min col]]&amp;Table2[[#This Row],[Row]],"")</f>
        <v/>
      </c>
      <c r="I62" s="109" t="str">
        <f>IF(LEN(Table2[[#This Row],[max col]])&gt;0,Table2[[#This Row],[max col]]&amp;Table2[[#This Row],[Row]],"")</f>
        <v/>
      </c>
      <c r="J62" s="109">
        <v>0</v>
      </c>
      <c r="K62" s="109">
        <v>5</v>
      </c>
      <c r="L62" s="109" t="s">
        <v>443</v>
      </c>
      <c r="M62" s="109" t="s">
        <v>443</v>
      </c>
      <c r="N62" s="109">
        <v>0</v>
      </c>
      <c r="O62" s="109">
        <v>14</v>
      </c>
      <c r="P62"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0, with a variance of 5. The limits of the parameter are set at: 0--&gt;14.</v>
      </c>
      <c r="Q62" s="113"/>
      <c r="R62" s="113" t="s">
        <v>126</v>
      </c>
    </row>
    <row r="63" spans="3:23" ht="120" x14ac:dyDescent="0.3">
      <c r="C63" s="1">
        <f t="shared" si="2"/>
        <v>57</v>
      </c>
      <c r="D63" s="109" t="str">
        <f>Table2[[#This Row],[Parameter]]</f>
        <v>Inpatient SSI</v>
      </c>
      <c r="E63" s="109" t="str">
        <f>Table2[[#This Row],[Page]]</f>
        <v>Costs AE</v>
      </c>
      <c r="F63" s="109" t="str">
        <f>Table2[[#This Row],[Column]]&amp;Table2[[#This Row],[Row]]</f>
        <v>F10</v>
      </c>
      <c r="G63" s="109" t="str">
        <f>IF(LEN(Table2[[#This Row],[var col]])&gt;0,Table2[[#This Row],[var col]]&amp;Table2[[#This Row],[Row]],"")</f>
        <v/>
      </c>
      <c r="H63" s="109" t="str">
        <f>IF(LEN(Table2[[#This Row],[min col]])&gt;0,Table2[[#This Row],[min col]]&amp;Table2[[#This Row],[Row]],"")</f>
        <v>I10</v>
      </c>
      <c r="I63" s="109" t="str">
        <f>IF(LEN(Table2[[#This Row],[max col]])&gt;0,Table2[[#This Row],[max col]]&amp;Table2[[#This Row],[Row]],"")</f>
        <v>J10</v>
      </c>
      <c r="J63" s="109">
        <f>ROUND(Table1[[#This Row],[Value]]/VLOOKUP(Table1[[#This Row],[Year]],Inflation,3,FALSE)*VLOOKUP($C$5,Inflation,3,FALSE),2)</f>
        <v>-157.6</v>
      </c>
      <c r="K63" s="109">
        <f>Table2[[#This Row],[Sample variance]]</f>
        <v>209.55102040816328</v>
      </c>
      <c r="L63" s="109">
        <f>ROUND($V63/VLOOKUP($T63,Inflation,3,FALSE)*VLOOKUP($C$5,Inflation,3,FALSE),2)</f>
        <v>-568.32000000000005</v>
      </c>
      <c r="M63" s="109">
        <f>ROUND($W63/VLOOKUP($T63,Inflation,3,FALSE)*VLOOKUP($C$5,Inflation,3,FALSE),2)</f>
        <v>253.12</v>
      </c>
      <c r="N63" s="109">
        <f>IF(LEN(Table2[[#This Row],[Min]])&gt;0,Table2[[#This Row],[Min]],"")</f>
        <v>-584.08000000000004</v>
      </c>
      <c r="O63" s="109">
        <f>IF(LEN(Table2[[#This Row],[Max]])&gt;0,Table2[[#This Row],[Max]],"")</f>
        <v>268.88</v>
      </c>
      <c r="P63"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-157,6, with a variance of 209,551. The limits of the parameter are set at: -584,08--&gt;268,88.</v>
      </c>
      <c r="Q63" s="113" t="s">
        <v>400</v>
      </c>
      <c r="R63" s="113" t="s">
        <v>399</v>
      </c>
      <c r="S63" s="109">
        <v>-132</v>
      </c>
      <c r="T63" s="1">
        <v>2010</v>
      </c>
      <c r="V63" s="1">
        <v>-476</v>
      </c>
      <c r="W63" s="1">
        <v>212</v>
      </c>
    </row>
    <row r="64" spans="3:23" ht="165" x14ac:dyDescent="0.3">
      <c r="C64" s="1">
        <f t="shared" si="2"/>
        <v>58</v>
      </c>
      <c r="D64" s="109" t="str">
        <f>Table2[[#This Row],[Parameter]]</f>
        <v>Outpatient care for SSI</v>
      </c>
      <c r="E64" s="109" t="str">
        <f>Table2[[#This Row],[Page]]</f>
        <v>Costs AE</v>
      </c>
      <c r="F64" s="109" t="str">
        <f>Table2[[#This Row],[Column]]&amp;Table2[[#This Row],[Row]]</f>
        <v>F11</v>
      </c>
      <c r="G64" s="109" t="str">
        <f>IF(LEN(Table2[[#This Row],[var col]])&gt;0,Table2[[#This Row],[var col]]&amp;Table2[[#This Row],[Row]],"")</f>
        <v/>
      </c>
      <c r="H64" s="109" t="str">
        <f>IF(LEN(Table2[[#This Row],[min col]])&gt;0,Table2[[#This Row],[min col]]&amp;Table2[[#This Row],[Row]],"")</f>
        <v>I11</v>
      </c>
      <c r="I64" s="109" t="str">
        <f>IF(LEN(Table2[[#This Row],[max col]])&gt;0,Table2[[#This Row],[max col]]&amp;Table2[[#This Row],[Row]],"")</f>
        <v>J11</v>
      </c>
      <c r="J64" s="109">
        <f>ROUND(Table1[[#This Row],[Value]]/VLOOKUP(Table1[[#This Row],[Year]],Inflation,3,FALSE)*VLOOKUP($C$5,Inflation,3,FALSE),2)</f>
        <v>2582.6</v>
      </c>
      <c r="K64" s="109">
        <f>Table2[[#This Row],[Sample variance]]</f>
        <v>838.40561224489807</v>
      </c>
      <c r="L64" s="109">
        <f>ROUND($V64/VLOOKUP($T64,Inflation,3,FALSE)*VLOOKUP($C$5,Inflation,3,FALSE),2)</f>
        <v>629.41</v>
      </c>
      <c r="M64" s="109">
        <f>ROUND($W64/VLOOKUP($T64,Inflation,3,FALSE)*VLOOKUP($C$5,Inflation,3,FALSE),2)</f>
        <v>3915.96</v>
      </c>
      <c r="N64" s="109">
        <f>IF(LEN(Table2[[#This Row],[Min]])&gt;0,Table2[[#This Row],[Min]],"")</f>
        <v>371.15</v>
      </c>
      <c r="O64" s="109">
        <f>IF(LEN(Table2[[#This Row],[Max]])&gt;0,Table2[[#This Row],[Max]],"")</f>
        <v>4174.22</v>
      </c>
      <c r="P64"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2582,6, with a variance of 838,406. The limits of the parameter are set at: 371,15--&gt;4174,22.</v>
      </c>
      <c r="Q64" s="113" t="s">
        <v>402</v>
      </c>
      <c r="R64" s="113" t="s">
        <v>401</v>
      </c>
      <c r="S64" s="1">
        <v>2425</v>
      </c>
      <c r="T64" s="1">
        <v>2014</v>
      </c>
      <c r="V64" s="1">
        <v>591</v>
      </c>
      <c r="W64" s="1">
        <v>3677</v>
      </c>
    </row>
    <row r="65" spans="3:23" ht="120" x14ac:dyDescent="0.3">
      <c r="C65" s="1">
        <f t="shared" si="2"/>
        <v>59</v>
      </c>
      <c r="D65" s="109" t="str">
        <f>Table2[[#This Row],[Parameter]]</f>
        <v>Inpatient DSWI</v>
      </c>
      <c r="E65" s="109" t="str">
        <f>Table2[[#This Row],[Page]]</f>
        <v>Costs AE</v>
      </c>
      <c r="F65" s="109" t="str">
        <f>Table2[[#This Row],[Column]]&amp;Table2[[#This Row],[Row]]</f>
        <v>F12</v>
      </c>
      <c r="G65" s="109" t="str">
        <f>IF(LEN(Table2[[#This Row],[var col]])&gt;0,Table2[[#This Row],[var col]]&amp;Table2[[#This Row],[Row]],"")</f>
        <v/>
      </c>
      <c r="H65" s="109" t="str">
        <f>IF(LEN(Table2[[#This Row],[min col]])&gt;0,Table2[[#This Row],[min col]]&amp;Table2[[#This Row],[Row]],"")</f>
        <v>I12</v>
      </c>
      <c r="I65" s="109" t="str">
        <f>IF(LEN(Table2[[#This Row],[max col]])&gt;0,Table2[[#This Row],[max col]]&amp;Table2[[#This Row],[Row]],"")</f>
        <v>J12</v>
      </c>
      <c r="J65" s="109">
        <f>ROUND(Table1[[#This Row],[Value]]/VLOOKUP(Table1[[#This Row],[Year]],Inflation,3,FALSE)*VLOOKUP($C$5,Inflation,3,FALSE),2)</f>
        <v>-157.6</v>
      </c>
      <c r="K65" s="109">
        <f>Table2[[#This Row],[Sample variance]]</f>
        <v>209.55102040816328</v>
      </c>
      <c r="L65" s="109">
        <f>ROUND($V65/VLOOKUP($T65,Inflation,3,FALSE)*VLOOKUP($C$5,Inflation,3,FALSE),2)</f>
        <v>-568.32000000000005</v>
      </c>
      <c r="M65" s="109">
        <f>ROUND($W65/VLOOKUP($T65,Inflation,3,FALSE)*VLOOKUP($C$5,Inflation,3,FALSE),2)</f>
        <v>253.12</v>
      </c>
      <c r="N65" s="109">
        <f>IF(LEN(Table2[[#This Row],[Min]])&gt;0,Table2[[#This Row],[Min]],"")</f>
        <v>-584.08000000000004</v>
      </c>
      <c r="O65" s="109">
        <f>IF(LEN(Table2[[#This Row],[Max]])&gt;0,Table2[[#This Row],[Max]],"")</f>
        <v>268.88</v>
      </c>
      <c r="P65"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-157,6, with a variance of 209,551. The limits of the parameter are set at: -584,08--&gt;268,88.</v>
      </c>
      <c r="Q65" s="113" t="s">
        <v>400</v>
      </c>
      <c r="R65" s="113" t="s">
        <v>399</v>
      </c>
      <c r="S65" s="109">
        <v>-132</v>
      </c>
      <c r="T65" s="1">
        <v>2010</v>
      </c>
      <c r="V65" s="1">
        <v>-476</v>
      </c>
      <c r="W65" s="1">
        <v>212</v>
      </c>
    </row>
    <row r="66" spans="3:23" ht="150" x14ac:dyDescent="0.3">
      <c r="C66" s="1">
        <f t="shared" si="2"/>
        <v>60</v>
      </c>
      <c r="D66" s="109" t="str">
        <f>Table2[[#This Row],[Parameter]]</f>
        <v>Readmission for DSWI</v>
      </c>
      <c r="E66" s="109" t="str">
        <f>Table2[[#This Row],[Page]]</f>
        <v>Costs AE</v>
      </c>
      <c r="F66" s="109" t="str">
        <f>Table2[[#This Row],[Column]]&amp;Table2[[#This Row],[Row]]</f>
        <v>F13</v>
      </c>
      <c r="G66" s="109" t="str">
        <f>IF(LEN(Table2[[#This Row],[var col]])&gt;0,Table2[[#This Row],[var col]]&amp;Table2[[#This Row],[Row]],"")</f>
        <v/>
      </c>
      <c r="H66" s="109" t="str">
        <f>IF(LEN(Table2[[#This Row],[min col]])&gt;0,Table2[[#This Row],[min col]]&amp;Table2[[#This Row],[Row]],"")</f>
        <v>I13</v>
      </c>
      <c r="I66" s="109" t="str">
        <f>IF(LEN(Table2[[#This Row],[max col]])&gt;0,Table2[[#This Row],[max col]]&amp;Table2[[#This Row],[Row]],"")</f>
        <v>J13</v>
      </c>
      <c r="J66" s="109">
        <f>ROUND(Table1[[#This Row],[Value]]/VLOOKUP(Table1[[#This Row],[Year]],Inflation,3,FALSE)*VLOOKUP($C$5,Inflation,3,FALSE),2)</f>
        <v>23585.82</v>
      </c>
      <c r="K66" s="109">
        <f>Table2[[#This Row],[Sample variance]]</f>
        <v>6815.2295918367354</v>
      </c>
      <c r="L66" s="109">
        <f>ROUND($V66/VLOOKUP($T66,Inflation,3,FALSE)*VLOOKUP($C$5,Inflation,3,FALSE),2)</f>
        <v>15090.45</v>
      </c>
      <c r="M66" s="109">
        <f>ROUND($W66/VLOOKUP($T66,Inflation,3,FALSE)*VLOOKUP($C$5,Inflation,3,FALSE),2)</f>
        <v>41806.15</v>
      </c>
      <c r="N66" s="109">
        <f>IF(LEN(Table2[[#This Row],[Min]])&gt;0,Table2[[#This Row],[Min]],"")</f>
        <v>12731.868</v>
      </c>
      <c r="O66" s="109">
        <f>IF(LEN(Table2[[#This Row],[Max]])&gt;0,Table2[[#This Row],[Max]],"")</f>
        <v>44164.732000000004</v>
      </c>
      <c r="P66"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23585,82, with a variance of 6815,23. The limits of the parameter are set at: 12731,87--&gt;44164,73.</v>
      </c>
      <c r="Q66" s="113" t="s">
        <v>404</v>
      </c>
      <c r="R66" s="113" t="s">
        <v>403</v>
      </c>
      <c r="S66" s="1">
        <v>21100</v>
      </c>
      <c r="T66" s="1">
        <v>2012</v>
      </c>
      <c r="V66" s="1">
        <v>13500</v>
      </c>
      <c r="W66" s="1">
        <v>37400</v>
      </c>
    </row>
    <row r="67" spans="3:23" ht="16.5" x14ac:dyDescent="0.3">
      <c r="C67" s="1">
        <f t="shared" si="2"/>
        <v>61</v>
      </c>
      <c r="D67" s="109" t="str">
        <f>Table2[[#This Row],[Parameter]]</f>
        <v>False alarm</v>
      </c>
      <c r="E67" s="109" t="str">
        <f>Table2[[#This Row],[Page]]</f>
        <v>Costs AE</v>
      </c>
      <c r="F67" s="109" t="str">
        <f>Table2[[#This Row],[Column]]&amp;Table2[[#This Row],[Row]]</f>
        <v>F15</v>
      </c>
      <c r="G67" s="109" t="str">
        <f>IF(LEN(Table2[[#This Row],[var col]])&gt;0,Table2[[#This Row],[var col]]&amp;Table2[[#This Row],[Row]],"")</f>
        <v>H15</v>
      </c>
      <c r="H67" s="109" t="str">
        <f>IF(LEN(Table2[[#This Row],[min col]])&gt;0,Table2[[#This Row],[min col]]&amp;Table2[[#This Row],[Row]],"")</f>
        <v/>
      </c>
      <c r="I67" s="109" t="str">
        <f>IF(LEN(Table2[[#This Row],[max col]])&gt;0,Table2[[#This Row],[max col]]&amp;Table2[[#This Row],[Row]],"")</f>
        <v/>
      </c>
      <c r="J67" s="109">
        <v>2</v>
      </c>
      <c r="K67" s="109">
        <v>0.2</v>
      </c>
      <c r="L67" s="109" t="s">
        <v>443</v>
      </c>
      <c r="M67" s="109" t="s">
        <v>443</v>
      </c>
      <c r="N67" s="109">
        <v>0</v>
      </c>
      <c r="O67" s="109">
        <v>50000</v>
      </c>
      <c r="P67"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 with a variance of 0,2. The limits of the parameter are set at: 0--&gt;50000.</v>
      </c>
      <c r="Q67" s="113"/>
      <c r="R67" s="113"/>
    </row>
    <row r="68" spans="3:23" ht="16.5" x14ac:dyDescent="0.3">
      <c r="C68" s="1">
        <f t="shared" si="2"/>
        <v>62</v>
      </c>
      <c r="D68" s="109" t="str">
        <f>Table2[[#This Row],[Parameter]]</f>
        <v>Leads-off alarm</v>
      </c>
      <c r="E68" s="109" t="str">
        <f>Table2[[#This Row],[Page]]</f>
        <v>Costs AE</v>
      </c>
      <c r="F68" s="109" t="str">
        <f>Table2[[#This Row],[Column]]&amp;Table2[[#This Row],[Row]]</f>
        <v>F16</v>
      </c>
      <c r="G68" s="109" t="str">
        <f>IF(LEN(Table2[[#This Row],[var col]])&gt;0,Table2[[#This Row],[var col]]&amp;Table2[[#This Row],[Row]],"")</f>
        <v>H16</v>
      </c>
      <c r="H68" s="109" t="str">
        <f>IF(LEN(Table2[[#This Row],[min col]])&gt;0,Table2[[#This Row],[min col]]&amp;Table2[[#This Row],[Row]],"")</f>
        <v/>
      </c>
      <c r="I68" s="109" t="str">
        <f>IF(LEN(Table2[[#This Row],[max col]])&gt;0,Table2[[#This Row],[max col]]&amp;Table2[[#This Row],[Row]],"")</f>
        <v/>
      </c>
      <c r="J68" s="109">
        <v>1</v>
      </c>
      <c r="K68" s="109">
        <v>0.1</v>
      </c>
      <c r="L68" s="109" t="s">
        <v>443</v>
      </c>
      <c r="M68" s="109" t="s">
        <v>443</v>
      </c>
      <c r="N68" s="109">
        <v>0</v>
      </c>
      <c r="O68" s="109">
        <v>50000</v>
      </c>
      <c r="P68"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 with a variance of 0,1. The limits of the parameter are set at: 0--&gt;50000.</v>
      </c>
      <c r="Q68" s="113"/>
      <c r="R68" s="113"/>
    </row>
    <row r="69" spans="3:23" ht="90" x14ac:dyDescent="0.3">
      <c r="C69" s="1">
        <f t="shared" si="2"/>
        <v>63</v>
      </c>
      <c r="D69" s="109" t="str">
        <f>Table2[[#This Row],[Parameter]]</f>
        <v>SSI days</v>
      </c>
      <c r="E69" s="109" t="str">
        <f>Table2[[#This Row],[Page]]</f>
        <v>Costs AE</v>
      </c>
      <c r="F69" s="109" t="str">
        <f>Table2[[#This Row],[Column]]&amp;Table2[[#This Row],[Row]]</f>
        <v>F19</v>
      </c>
      <c r="G69" s="109" t="str">
        <f>IF(LEN(Table2[[#This Row],[var col]])&gt;0,Table2[[#This Row],[var col]]&amp;Table2[[#This Row],[Row]],"")</f>
        <v>H19</v>
      </c>
      <c r="H69" s="109" t="str">
        <f>IF(LEN(Table2[[#This Row],[min col]])&gt;0,Table2[[#This Row],[min col]]&amp;Table2[[#This Row],[Row]],"")</f>
        <v/>
      </c>
      <c r="I69" s="109" t="str">
        <f>IF(LEN(Table2[[#This Row],[max col]])&gt;0,Table2[[#This Row],[max col]]&amp;Table2[[#This Row],[Row]],"")</f>
        <v/>
      </c>
      <c r="J69" s="109">
        <v>13.3</v>
      </c>
      <c r="K69" s="109">
        <v>20.8</v>
      </c>
      <c r="L69" s="109" t="s">
        <v>443</v>
      </c>
      <c r="M69" s="109" t="s">
        <v>443</v>
      </c>
      <c r="N69" s="109">
        <v>10.154128382439051</v>
      </c>
      <c r="O69" s="109">
        <v>54.900000000000006</v>
      </c>
      <c r="P69"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13,3, with a variance of 20,8. The limits of the parameter are set at: 10,15--&gt;54,9.</v>
      </c>
      <c r="Q69" s="113"/>
      <c r="R69" s="113" t="s">
        <v>280</v>
      </c>
    </row>
    <row r="70" spans="3:23" ht="90" x14ac:dyDescent="0.3">
      <c r="C70" s="1">
        <f t="shared" si="2"/>
        <v>64</v>
      </c>
      <c r="D70" s="109" t="str">
        <f>Table2[[#This Row],[Parameter]]</f>
        <v>DSWI days</v>
      </c>
      <c r="E70" s="109" t="str">
        <f>Table2[[#This Row],[Page]]</f>
        <v>Costs AE</v>
      </c>
      <c r="F70" s="109" t="str">
        <f>Table2[[#This Row],[Column]]&amp;Table2[[#This Row],[Row]]</f>
        <v>F20</v>
      </c>
      <c r="G70" s="109" t="str">
        <f>IF(LEN(Table2[[#This Row],[var col]])&gt;0,Table2[[#This Row],[var col]]&amp;Table2[[#This Row],[Row]],"")</f>
        <v>H20</v>
      </c>
      <c r="H70" s="109" t="str">
        <f>IF(LEN(Table2[[#This Row],[min col]])&gt;0,Table2[[#This Row],[min col]]&amp;Table2[[#This Row],[Row]],"")</f>
        <v/>
      </c>
      <c r="I70" s="109" t="str">
        <f>IF(LEN(Table2[[#This Row],[max col]])&gt;0,Table2[[#This Row],[max col]]&amp;Table2[[#This Row],[Row]],"")</f>
        <v/>
      </c>
      <c r="J70" s="109">
        <v>24</v>
      </c>
      <c r="K70" s="109">
        <v>5</v>
      </c>
      <c r="L70" s="109" t="s">
        <v>443</v>
      </c>
      <c r="M70" s="109" t="s">
        <v>443</v>
      </c>
      <c r="N70" s="109">
        <v>10.154128382439051</v>
      </c>
      <c r="O70" s="109">
        <v>50</v>
      </c>
      <c r="P70"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24, with a variance of 5. The limits of the parameter are set at: 10,15--&gt;50.</v>
      </c>
      <c r="Q70" s="113"/>
      <c r="R70" s="113" t="s">
        <v>430</v>
      </c>
    </row>
    <row r="71" spans="3:23" ht="30" x14ac:dyDescent="0.3">
      <c r="C71" s="1">
        <f t="shared" si="2"/>
        <v>65</v>
      </c>
      <c r="D71" s="109" t="str">
        <f>Table2[[#This Row],[Parameter]]</f>
        <v>9-day SSI</v>
      </c>
      <c r="E71" s="109" t="str">
        <f>Table2[[#This Row],[Page]]</f>
        <v>Background</v>
      </c>
      <c r="F71" s="109" t="str">
        <f>Table2[[#This Row],[Column]]&amp;Table2[[#This Row],[Row]]</f>
        <v>F11</v>
      </c>
      <c r="G71" s="109" t="str">
        <f>IF(LEN(Table2[[#This Row],[var col]])&gt;0,Table2[[#This Row],[var col]]&amp;Table2[[#This Row],[Row]],"")</f>
        <v/>
      </c>
      <c r="H71" s="109" t="str">
        <f>IF(LEN(Table2[[#This Row],[min col]])&gt;0,Table2[[#This Row],[min col]]&amp;Table2[[#This Row],[Row]],"")</f>
        <v/>
      </c>
      <c r="I71" s="109" t="str">
        <f>IF(LEN(Table2[[#This Row],[max col]])&gt;0,Table2[[#This Row],[max col]]&amp;Table2[[#This Row],[Row]],"")</f>
        <v/>
      </c>
      <c r="J71" s="109">
        <v>1.8</v>
      </c>
      <c r="K71" s="109">
        <v>1E-4</v>
      </c>
      <c r="L71" s="109" t="s">
        <v>443</v>
      </c>
      <c r="M71" s="109" t="s">
        <v>443</v>
      </c>
      <c r="N71" s="109">
        <v>0</v>
      </c>
      <c r="O71" s="109">
        <v>100</v>
      </c>
      <c r="P71"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1,8, with a variance of 0. The limits of the parameter are set at: 0--&gt;100.</v>
      </c>
      <c r="Q71" s="113"/>
      <c r="R71" s="113" t="s">
        <v>444</v>
      </c>
    </row>
    <row r="72" spans="3:23" ht="30" x14ac:dyDescent="0.3">
      <c r="C72" s="1">
        <f t="shared" si="2"/>
        <v>66</v>
      </c>
      <c r="D72" s="109" t="str">
        <f>Table2[[#This Row],[Parameter]]</f>
        <v>30-day SSI</v>
      </c>
      <c r="E72" s="109" t="str">
        <f>Table2[[#This Row],[Page]]</f>
        <v>Background</v>
      </c>
      <c r="F72" s="109" t="str">
        <f>Table2[[#This Row],[Column]]&amp;Table2[[#This Row],[Row]]</f>
        <v>F12</v>
      </c>
      <c r="G72" s="109" t="str">
        <f>IF(LEN(Table2[[#This Row],[var col]])&gt;0,Table2[[#This Row],[var col]]&amp;Table2[[#This Row],[Row]],"")</f>
        <v/>
      </c>
      <c r="H72" s="109" t="str">
        <f>IF(LEN(Table2[[#This Row],[min col]])&gt;0,Table2[[#This Row],[min col]]&amp;Table2[[#This Row],[Row]],"")</f>
        <v/>
      </c>
      <c r="I72" s="109" t="str">
        <f>IF(LEN(Table2[[#This Row],[max col]])&gt;0,Table2[[#This Row],[max col]]&amp;Table2[[#This Row],[Row]],"")</f>
        <v/>
      </c>
      <c r="J72" s="109">
        <v>3.9</v>
      </c>
      <c r="K72" s="109">
        <v>1E-4</v>
      </c>
      <c r="L72" s="109" t="s">
        <v>443</v>
      </c>
      <c r="M72" s="109" t="s">
        <v>443</v>
      </c>
      <c r="N72" s="109">
        <v>0</v>
      </c>
      <c r="O72" s="109">
        <v>100</v>
      </c>
      <c r="P72"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3,9, with a variance of 0. The limits of the parameter are set at: 0--&gt;100.</v>
      </c>
      <c r="Q72" s="113"/>
      <c r="R72" s="113" t="s">
        <v>444</v>
      </c>
    </row>
    <row r="73" spans="3:23" ht="30" x14ac:dyDescent="0.3">
      <c r="C73" s="1">
        <f t="shared" si="2"/>
        <v>67</v>
      </c>
      <c r="D73" s="109" t="str">
        <f>Table2[[#This Row],[Parameter]]</f>
        <v>90-day SSI</v>
      </c>
      <c r="E73" s="109" t="str">
        <f>Table2[[#This Row],[Page]]</f>
        <v>Background</v>
      </c>
      <c r="F73" s="109" t="str">
        <f>Table2[[#This Row],[Column]]&amp;Table2[[#This Row],[Row]]</f>
        <v>F13</v>
      </c>
      <c r="G73" s="109" t="str">
        <f>IF(LEN(Table2[[#This Row],[var col]])&gt;0,Table2[[#This Row],[var col]]&amp;Table2[[#This Row],[Row]],"")</f>
        <v/>
      </c>
      <c r="H73" s="109" t="str">
        <f>IF(LEN(Table2[[#This Row],[min col]])&gt;0,Table2[[#This Row],[min col]]&amp;Table2[[#This Row],[Row]],"")</f>
        <v/>
      </c>
      <c r="I73" s="109" t="str">
        <f>IF(LEN(Table2[[#This Row],[max col]])&gt;0,Table2[[#This Row],[max col]]&amp;Table2[[#This Row],[Row]],"")</f>
        <v/>
      </c>
      <c r="J73" s="109">
        <v>5.6</v>
      </c>
      <c r="K73" s="109">
        <v>1E-4</v>
      </c>
      <c r="L73" s="109" t="s">
        <v>443</v>
      </c>
      <c r="M73" s="109" t="s">
        <v>443</v>
      </c>
      <c r="N73" s="109">
        <v>0</v>
      </c>
      <c r="O73" s="109">
        <v>100</v>
      </c>
      <c r="P73"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5,6, with a variance of 0. The limits of the parameter are set at: 0--&gt;100.</v>
      </c>
      <c r="Q73" s="113"/>
      <c r="R73" s="113" t="s">
        <v>444</v>
      </c>
    </row>
    <row r="74" spans="3:23" ht="90" x14ac:dyDescent="0.3">
      <c r="C74" s="1">
        <f t="shared" si="2"/>
        <v>68</v>
      </c>
      <c r="D74" s="109" t="str">
        <f>Table2[[#This Row],[Parameter]]</f>
        <v>30 day mortality, DSWI risk</v>
      </c>
      <c r="E74" s="109" t="str">
        <f>Table2[[#This Row],[Page]]</f>
        <v>Background</v>
      </c>
      <c r="F74" s="109" t="str">
        <f>Table2[[#This Row],[Column]]&amp;Table2[[#This Row],[Row]]</f>
        <v>F16</v>
      </c>
      <c r="G74" s="109" t="str">
        <f>IF(LEN(Table2[[#This Row],[var col]])&gt;0,Table2[[#This Row],[var col]]&amp;Table2[[#This Row],[Row]],"")</f>
        <v/>
      </c>
      <c r="H74" s="109" t="str">
        <f>IF(LEN(Table2[[#This Row],[min col]])&gt;0,Table2[[#This Row],[min col]]&amp;Table2[[#This Row],[Row]],"")</f>
        <v>I16</v>
      </c>
      <c r="I74" s="109" t="str">
        <f>IF(LEN(Table2[[#This Row],[max col]])&gt;0,Table2[[#This Row],[max col]]&amp;Table2[[#This Row],[Row]],"")</f>
        <v>J16</v>
      </c>
      <c r="J74" s="109">
        <v>2.68</v>
      </c>
      <c r="K74" s="109">
        <v>0.23214285714285718</v>
      </c>
      <c r="L74" s="109">
        <v>2.2599999999999998</v>
      </c>
      <c r="M74" s="109">
        <v>3.17</v>
      </c>
      <c r="N74" s="109">
        <v>0</v>
      </c>
      <c r="O74" s="109">
        <v>100</v>
      </c>
      <c r="P74"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2,68, with a variance of 0,232. The limits of the parameter are set at: 0--&gt;100.</v>
      </c>
      <c r="Q74" s="113"/>
      <c r="R74" s="113" t="s">
        <v>430</v>
      </c>
    </row>
    <row r="75" spans="3:23" ht="90" x14ac:dyDescent="0.3">
      <c r="C75" s="1">
        <f t="shared" si="2"/>
        <v>69</v>
      </c>
      <c r="D75" s="109" t="str">
        <f>Table2[[#This Row],[Parameter]]</f>
        <v>90 day mortality, DSWI risk</v>
      </c>
      <c r="E75" s="109" t="str">
        <f>Table2[[#This Row],[Page]]</f>
        <v>Background</v>
      </c>
      <c r="F75" s="109" t="str">
        <f>Table2[[#This Row],[Column]]&amp;Table2[[#This Row],[Row]]</f>
        <v>F17</v>
      </c>
      <c r="G75" s="109" t="str">
        <f>IF(LEN(Table2[[#This Row],[var col]])&gt;0,Table2[[#This Row],[var col]]&amp;Table2[[#This Row],[Row]],"")</f>
        <v/>
      </c>
      <c r="H75" s="109" t="str">
        <f>IF(LEN(Table2[[#This Row],[min col]])&gt;0,Table2[[#This Row],[min col]]&amp;Table2[[#This Row],[Row]],"")</f>
        <v>I17</v>
      </c>
      <c r="I75" s="109" t="str">
        <f>IF(LEN(Table2[[#This Row],[max col]])&gt;0,Table2[[#This Row],[max col]]&amp;Table2[[#This Row],[Row]],"")</f>
        <v>J17</v>
      </c>
      <c r="J75" s="109">
        <v>3.95</v>
      </c>
      <c r="K75" s="109">
        <v>0.27295918367346922</v>
      </c>
      <c r="L75" s="109">
        <v>3.45</v>
      </c>
      <c r="M75" s="109">
        <v>4.5199999999999996</v>
      </c>
      <c r="N75" s="109">
        <v>0</v>
      </c>
      <c r="O75" s="109">
        <v>100</v>
      </c>
      <c r="P75"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3,95, with a variance of 0,273. The limits of the parameter are set at: 0--&gt;100.</v>
      </c>
      <c r="Q75" s="113"/>
      <c r="R75" s="113" t="s">
        <v>430</v>
      </c>
    </row>
    <row r="76" spans="3:23" ht="90" x14ac:dyDescent="0.3">
      <c r="C76" s="1">
        <f t="shared" si="2"/>
        <v>70</v>
      </c>
      <c r="D76" s="109" t="str">
        <f>Table2[[#This Row],[Parameter]]</f>
        <v>1 year mortality, DSWI risk</v>
      </c>
      <c r="E76" s="109" t="str">
        <f>Table2[[#This Row],[Page]]</f>
        <v>Background</v>
      </c>
      <c r="F76" s="109" t="str">
        <f>Table2[[#This Row],[Column]]&amp;Table2[[#This Row],[Row]]</f>
        <v>F18</v>
      </c>
      <c r="G76" s="109" t="str">
        <f>IF(LEN(Table2[[#This Row],[var col]])&gt;0,Table2[[#This Row],[var col]]&amp;Table2[[#This Row],[Row]],"")</f>
        <v/>
      </c>
      <c r="H76" s="109" t="str">
        <f>IF(LEN(Table2[[#This Row],[min col]])&gt;0,Table2[[#This Row],[min col]]&amp;Table2[[#This Row],[Row]],"")</f>
        <v>I18</v>
      </c>
      <c r="I76" s="109" t="str">
        <f>IF(LEN(Table2[[#This Row],[max col]])&gt;0,Table2[[#This Row],[max col]]&amp;Table2[[#This Row],[Row]],"")</f>
        <v>J18</v>
      </c>
      <c r="J76" s="109">
        <v>4.67</v>
      </c>
      <c r="K76" s="109">
        <v>0.29336734693877559</v>
      </c>
      <c r="L76" s="109">
        <v>4.13</v>
      </c>
      <c r="M76" s="109">
        <v>5.28</v>
      </c>
      <c r="N76" s="109">
        <v>0</v>
      </c>
      <c r="O76" s="109">
        <v>100</v>
      </c>
      <c r="P76"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4,67, with a variance of 0,293. The limits of the parameter are set at: 0--&gt;100.</v>
      </c>
      <c r="Q76" s="113"/>
      <c r="R76" s="113" t="s">
        <v>430</v>
      </c>
    </row>
    <row r="77" spans="3:23" ht="105" x14ac:dyDescent="0.3">
      <c r="C77" s="1">
        <f t="shared" si="2"/>
        <v>71</v>
      </c>
      <c r="D77" s="109" t="str">
        <f>Table2[[#This Row],[Parameter]]</f>
        <v>Mortality during CABG</v>
      </c>
      <c r="E77" s="109" t="str">
        <f>Table2[[#This Row],[Page]]</f>
        <v>Background</v>
      </c>
      <c r="F77" s="109" t="str">
        <f>Table2[[#This Row],[Column]]&amp;Table2[[#This Row],[Row]]</f>
        <v>F20</v>
      </c>
      <c r="G77" s="109" t="str">
        <f>IF(LEN(Table2[[#This Row],[var col]])&gt;0,Table2[[#This Row],[var col]]&amp;Table2[[#This Row],[Row]],"")</f>
        <v>H20</v>
      </c>
      <c r="H77" s="109" t="str">
        <f>IF(LEN(Table2[[#This Row],[min col]])&gt;0,Table2[[#This Row],[min col]]&amp;Table2[[#This Row],[Row]],"")</f>
        <v/>
      </c>
      <c r="I77" s="109" t="str">
        <f>IF(LEN(Table2[[#This Row],[max col]])&gt;0,Table2[[#This Row],[max col]]&amp;Table2[[#This Row],[Row]],"")</f>
        <v/>
      </c>
      <c r="J77" s="109">
        <v>0.61</v>
      </c>
      <c r="K77" s="109">
        <v>5.7481760714745811E-4</v>
      </c>
      <c r="L77" s="109" t="s">
        <v>443</v>
      </c>
      <c r="M77" s="109" t="s">
        <v>443</v>
      </c>
      <c r="N77" s="109">
        <v>0</v>
      </c>
      <c r="O77" s="109">
        <v>100</v>
      </c>
      <c r="P77"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0,61, with a variance of 0,001. The limits of the parameter are set at: 0--&gt;100.</v>
      </c>
      <c r="Q77" s="113"/>
      <c r="R77" s="113" t="s">
        <v>445</v>
      </c>
    </row>
    <row r="78" spans="3:23" ht="90" x14ac:dyDescent="0.3">
      <c r="C78" s="1">
        <f t="shared" si="2"/>
        <v>72</v>
      </c>
      <c r="D78" s="109" t="str">
        <f>Table2[[#This Row],[Parameter]]</f>
        <v>Prolonged MV, days</v>
      </c>
      <c r="E78" s="109" t="str">
        <f>Table2[[#This Row],[Page]]</f>
        <v>Background</v>
      </c>
      <c r="F78" s="109" t="str">
        <f>Table2[[#This Row],[Column]]&amp;Table2[[#This Row],[Row]]</f>
        <v>F22</v>
      </c>
      <c r="G78" s="109" t="str">
        <f>IF(LEN(Table2[[#This Row],[var col]])&gt;0,Table2[[#This Row],[var col]]&amp;Table2[[#This Row],[Row]],"")</f>
        <v>H22</v>
      </c>
      <c r="H78" s="109" t="str">
        <f>IF(LEN(Table2[[#This Row],[min col]])&gt;0,Table2[[#This Row],[min col]]&amp;Table2[[#This Row],[Row]],"")</f>
        <v/>
      </c>
      <c r="I78" s="109" t="str">
        <f>IF(LEN(Table2[[#This Row],[max col]])&gt;0,Table2[[#This Row],[max col]]&amp;Table2[[#This Row],[Row]],"")</f>
        <v/>
      </c>
      <c r="J78" s="109">
        <v>7.9</v>
      </c>
      <c r="K78" s="109">
        <v>8.5</v>
      </c>
      <c r="L78" s="109">
        <v>0</v>
      </c>
      <c r="M78" s="109">
        <v>0</v>
      </c>
      <c r="N78" s="109">
        <v>2</v>
      </c>
      <c r="O78" s="109">
        <v>30</v>
      </c>
      <c r="P78"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7,9, with a variance of 8,5. The limits of the parameter are set at: 2--&gt;30.</v>
      </c>
      <c r="Q78" s="113"/>
      <c r="R78" s="113" t="s">
        <v>446</v>
      </c>
    </row>
    <row r="79" spans="3:23" ht="30" x14ac:dyDescent="0.3">
      <c r="C79" s="1">
        <f t="shared" si="2"/>
        <v>73</v>
      </c>
      <c r="D79" s="109" t="str">
        <f>Table2[[#This Row],[Parameter]]</f>
        <v>Mortality cost</v>
      </c>
      <c r="E79" s="109" t="str">
        <f>Table2[[#This Row],[Page]]</f>
        <v>Costs AE</v>
      </c>
      <c r="F79" s="109" t="str">
        <f>Table2[[#This Row],[Column]]&amp;Table2[[#This Row],[Row]]</f>
        <v>F22</v>
      </c>
      <c r="G79" s="109" t="str">
        <f>IF(LEN(Table2[[#This Row],[var col]])&gt;0,Table2[[#This Row],[var col]]&amp;Table2[[#This Row],[Row]],"")</f>
        <v>H22</v>
      </c>
      <c r="H79" s="109" t="str">
        <f>IF(LEN(Table2[[#This Row],[min col]])&gt;0,Table2[[#This Row],[min col]]&amp;Table2[[#This Row],[Row]],"")</f>
        <v/>
      </c>
      <c r="I79" s="109" t="str">
        <f>IF(LEN(Table2[[#This Row],[max col]])&gt;0,Table2[[#This Row],[max col]]&amp;Table2[[#This Row],[Row]],"")</f>
        <v/>
      </c>
      <c r="J79" s="109">
        <v>0</v>
      </c>
      <c r="K79" s="109">
        <v>100</v>
      </c>
      <c r="L79" s="109" t="s">
        <v>443</v>
      </c>
      <c r="M79" s="109" t="s">
        <v>443</v>
      </c>
      <c r="N79" s="109">
        <v>0</v>
      </c>
      <c r="O79" s="109">
        <v>20000</v>
      </c>
      <c r="P79" s="10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0, with a variance of 100. The limits of the parameter are set at: 0--&gt;20000.</v>
      </c>
      <c r="Q79" s="113" t="s">
        <v>447</v>
      </c>
      <c r="R79" s="113" t="s">
        <v>126</v>
      </c>
    </row>
    <row r="80" spans="3:23" ht="90" x14ac:dyDescent="0.3">
      <c r="C80" s="1">
        <f t="shared" si="2"/>
        <v>74</v>
      </c>
      <c r="D80" s="139" t="str">
        <f>Table2[[#This Row],[Parameter]]</f>
        <v>ICU days as proportion of SSI days</v>
      </c>
      <c r="E80" s="139" t="str">
        <f>Table2[[#This Row],[Page]]</f>
        <v>Background</v>
      </c>
      <c r="F80" s="139" t="str">
        <f>Table2[[#This Row],[Column]]&amp;Table2[[#This Row],[Row]]</f>
        <v>F24</v>
      </c>
      <c r="G80" s="139" t="str">
        <f>IF(LEN(Table2[[#This Row],[var col]])&gt;0,Table2[[#This Row],[var col]]&amp;Table2[[#This Row],[Row]],"")</f>
        <v>H24</v>
      </c>
      <c r="H80" s="139" t="str">
        <f>IF(LEN(Table2[[#This Row],[min col]])&gt;0,Table2[[#This Row],[min col]]&amp;Table2[[#This Row],[Row]],"")</f>
        <v/>
      </c>
      <c r="I80" s="139" t="str">
        <f>IF(LEN(Table2[[#This Row],[max col]])&gt;0,Table2[[#This Row],[max col]]&amp;Table2[[#This Row],[Row]],"")</f>
        <v/>
      </c>
      <c r="J80" s="139">
        <f>1.36/(6.1+1.36)</f>
        <v>0.18230563002680966</v>
      </c>
      <c r="K80" s="139">
        <f>Table1[[#This Row],[Basecase]]/10</f>
        <v>1.8230563002680965E-2</v>
      </c>
      <c r="L80" s="139" t="s">
        <v>443</v>
      </c>
      <c r="M80" s="139" t="s">
        <v>443</v>
      </c>
      <c r="N80" s="139">
        <v>0</v>
      </c>
      <c r="O80" s="139">
        <v>20000</v>
      </c>
      <c r="P80" s="13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0,182, with a variance of 0,018. The limits of the parameter are set at: 0--&gt;20000.</v>
      </c>
      <c r="Q80" s="113" t="s">
        <v>456</v>
      </c>
      <c r="R80" s="113" t="s">
        <v>457</v>
      </c>
    </row>
    <row r="81" spans="3:18" ht="90" x14ac:dyDescent="0.3">
      <c r="C81" s="1">
        <f t="shared" si="2"/>
        <v>75</v>
      </c>
      <c r="D81" s="139" t="str">
        <f>Table2[[#This Row],[Parameter]]</f>
        <v>Obese with diabetes</v>
      </c>
      <c r="E81" s="139" t="str">
        <f>Table2[[#This Row],[Page]]</f>
        <v>Background</v>
      </c>
      <c r="F81" s="139" t="str">
        <f>Table2[[#This Row],[Column]]&amp;Table2[[#This Row],[Row]]</f>
        <v>F26</v>
      </c>
      <c r="G81" s="139" t="str">
        <f>IF(LEN(Table2[[#This Row],[var col]])&gt;0,Table2[[#This Row],[var col]]&amp;Table2[[#This Row],[Row]],"")</f>
        <v>H26</v>
      </c>
      <c r="H81" s="139" t="str">
        <f>IF(LEN(Table2[[#This Row],[min col]])&gt;0,Table2[[#This Row],[min col]]&amp;Table2[[#This Row],[Row]],"")</f>
        <v/>
      </c>
      <c r="I81" s="139" t="str">
        <f>IF(LEN(Table2[[#This Row],[max col]])&gt;0,Table2[[#This Row],[max col]]&amp;Table2[[#This Row],[Row]],"")</f>
        <v/>
      </c>
      <c r="J81" s="139">
        <v>65</v>
      </c>
      <c r="K81" s="139">
        <v>6.5</v>
      </c>
      <c r="L81" s="139" t="s">
        <v>443</v>
      </c>
      <c r="M81" s="139" t="s">
        <v>443</v>
      </c>
      <c r="N81" s="139">
        <v>0</v>
      </c>
      <c r="O81" s="139">
        <v>20000</v>
      </c>
      <c r="P81" s="139" t="str">
        <f>"The base case value is "&amp;IF(ISNUMBER(Table1[[#This Row],[Basecase]]),ROUND(Table1[[#This Row],[Basecase]],3),Table1[[#This Row],[Basecase]])&amp;
IF(LEN(Table1[[#This Row],[Variance]])&gt;0,", with a variance of "&amp;ROUND(Table1[[#This Row],[Variance]],3)&amp;".","")&amp;
IF(LEN(Table1[[#This Row],[Min]])&gt;0," The limits of the parameter are set at: "&amp;ROUND(Table1[[#This Row],[Min]],2)&amp;"--&gt;"&amp;ROUND(Table1[[#This Row],[Max]],2)&amp;".","")</f>
        <v>The base case value is 65, with a variance of 6,5. The limits of the parameter are set at: 0--&gt;20000.</v>
      </c>
      <c r="Q81" s="113" t="s">
        <v>462</v>
      </c>
      <c r="R81" s="113" t="s">
        <v>367</v>
      </c>
    </row>
    <row r="82" spans="3:18" ht="16.5" x14ac:dyDescent="0.3">
      <c r="D82" s="109"/>
      <c r="E82" s="109"/>
      <c r="F82" s="109"/>
      <c r="G82" s="109"/>
      <c r="H82" s="109"/>
      <c r="I82" s="109"/>
      <c r="J82" s="109"/>
      <c r="K82" s="109"/>
      <c r="L82" s="109"/>
      <c r="M82" s="109"/>
      <c r="N82" s="109"/>
      <c r="O82" s="109"/>
    </row>
    <row r="83" spans="3:18" ht="16.5" x14ac:dyDescent="0.3">
      <c r="D83" s="109"/>
      <c r="E83" s="109"/>
      <c r="F83" s="109"/>
      <c r="G83" s="109"/>
      <c r="H83" s="109"/>
      <c r="I83" s="109"/>
      <c r="J83" s="109"/>
      <c r="K83" s="109"/>
      <c r="L83" s="109"/>
      <c r="M83" s="109"/>
      <c r="N83" s="109"/>
      <c r="O83" s="109"/>
    </row>
    <row r="84" spans="3:18" ht="16.5" x14ac:dyDescent="0.3">
      <c r="D84" s="109"/>
      <c r="E84" s="109"/>
      <c r="F84" s="109"/>
      <c r="G84" s="109"/>
      <c r="H84" s="109"/>
      <c r="I84" s="109"/>
      <c r="J84" s="109"/>
      <c r="K84" s="109"/>
      <c r="L84" s="109"/>
      <c r="M84" s="109"/>
      <c r="N84" s="109"/>
      <c r="O84" s="109"/>
    </row>
    <row r="85" spans="3:18" ht="16.5" x14ac:dyDescent="0.3">
      <c r="D85" s="109"/>
      <c r="E85" s="109"/>
      <c r="F85" s="109"/>
      <c r="G85" s="109"/>
      <c r="H85" s="109"/>
      <c r="I85" s="109"/>
      <c r="J85" s="109"/>
      <c r="K85" s="109"/>
      <c r="L85" s="109"/>
      <c r="M85" s="109"/>
      <c r="N85" s="109"/>
      <c r="O85" s="109"/>
    </row>
    <row r="86" spans="3:18" ht="16.5" x14ac:dyDescent="0.3">
      <c r="D86" s="109"/>
      <c r="E86" s="109"/>
      <c r="F86" s="109"/>
      <c r="G86" s="109"/>
      <c r="H86" s="109"/>
      <c r="I86" s="109"/>
      <c r="J86" s="109"/>
      <c r="K86" s="109"/>
      <c r="L86" s="109"/>
      <c r="M86" s="109"/>
      <c r="N86" s="109"/>
      <c r="O86" s="109"/>
    </row>
    <row r="87" spans="3:18" ht="16.5" x14ac:dyDescent="0.3">
      <c r="D87" s="109"/>
      <c r="E87" s="109"/>
      <c r="F87" s="109"/>
      <c r="G87" s="109"/>
      <c r="H87" s="109"/>
      <c r="I87" s="109"/>
      <c r="J87" s="109"/>
      <c r="K87" s="109"/>
      <c r="L87" s="109"/>
      <c r="M87" s="109"/>
      <c r="N87" s="109"/>
      <c r="O87" s="109"/>
    </row>
    <row r="88" spans="3:18" ht="16.5" x14ac:dyDescent="0.3">
      <c r="D88" s="109"/>
      <c r="E88" s="109"/>
      <c r="F88" s="109"/>
      <c r="G88" s="109"/>
      <c r="H88" s="109"/>
      <c r="I88" s="109"/>
      <c r="J88" s="109"/>
      <c r="K88" s="109"/>
      <c r="L88" s="109"/>
      <c r="M88" s="109"/>
      <c r="N88" s="109"/>
      <c r="O88" s="109"/>
    </row>
    <row r="89" spans="3:18" ht="16.5" x14ac:dyDescent="0.3">
      <c r="D89" s="109"/>
      <c r="E89" s="109"/>
      <c r="F89" s="109"/>
      <c r="G89" s="109"/>
      <c r="H89" s="109"/>
      <c r="I89" s="109"/>
      <c r="J89" s="109"/>
      <c r="K89" s="109"/>
      <c r="L89" s="109"/>
      <c r="M89" s="109"/>
      <c r="N89" s="109"/>
      <c r="O89" s="109"/>
    </row>
    <row r="90" spans="3:18" ht="16.5" x14ac:dyDescent="0.3">
      <c r="D90" s="109"/>
      <c r="E90" s="109"/>
      <c r="F90" s="109"/>
      <c r="G90" s="109"/>
      <c r="H90" s="109"/>
      <c r="I90" s="109"/>
      <c r="J90" s="109"/>
      <c r="K90" s="109"/>
      <c r="L90" s="109"/>
      <c r="M90" s="109"/>
      <c r="N90" s="109"/>
      <c r="O90" s="109"/>
    </row>
    <row r="91" spans="3:18" ht="16.5" x14ac:dyDescent="0.3">
      <c r="D91" s="109"/>
      <c r="E91" s="109"/>
      <c r="F91" s="109"/>
      <c r="G91" s="109"/>
      <c r="H91" s="109"/>
      <c r="I91" s="109"/>
      <c r="J91" s="109"/>
      <c r="K91" s="109"/>
      <c r="L91" s="109"/>
      <c r="M91" s="109"/>
      <c r="N91" s="109"/>
      <c r="O91" s="109"/>
    </row>
    <row r="92" spans="3:18" ht="16.5" x14ac:dyDescent="0.3">
      <c r="D92" s="109"/>
      <c r="E92" s="109"/>
      <c r="F92" s="109"/>
      <c r="G92" s="109"/>
      <c r="H92" s="109"/>
      <c r="I92" s="109"/>
      <c r="J92" s="109"/>
      <c r="K92" s="109"/>
      <c r="L92" s="109"/>
      <c r="M92" s="109"/>
      <c r="N92" s="109"/>
      <c r="O92" s="109"/>
    </row>
    <row r="93" spans="3:18" ht="16.5" x14ac:dyDescent="0.3">
      <c r="D93" s="109"/>
      <c r="E93" s="109"/>
      <c r="F93" s="109"/>
      <c r="G93" s="109"/>
      <c r="H93" s="109"/>
      <c r="I93" s="109"/>
      <c r="J93" s="109"/>
      <c r="K93" s="109"/>
      <c r="L93" s="109"/>
      <c r="M93" s="109"/>
      <c r="N93" s="109"/>
      <c r="O93" s="109"/>
    </row>
    <row r="94" spans="3:18" ht="16.5" x14ac:dyDescent="0.3">
      <c r="D94" s="109"/>
      <c r="E94" s="109"/>
      <c r="F94" s="109"/>
      <c r="G94" s="109"/>
      <c r="H94" s="109"/>
      <c r="I94" s="109"/>
      <c r="J94" s="109"/>
      <c r="K94" s="109"/>
      <c r="L94" s="109"/>
      <c r="M94" s="109"/>
      <c r="N94" s="109"/>
      <c r="O94" s="109"/>
    </row>
    <row r="95" spans="3:18" ht="16.5" x14ac:dyDescent="0.3">
      <c r="D95" s="109"/>
      <c r="E95" s="109"/>
      <c r="F95" s="109"/>
      <c r="G95" s="109"/>
      <c r="H95" s="109"/>
      <c r="I95" s="109"/>
      <c r="J95" s="109"/>
      <c r="K95" s="109"/>
      <c r="L95" s="109"/>
      <c r="M95" s="109"/>
      <c r="N95" s="109"/>
      <c r="O95" s="109"/>
    </row>
    <row r="96" spans="3:18" ht="16.5" x14ac:dyDescent="0.3">
      <c r="D96" s="109"/>
      <c r="E96" s="109"/>
      <c r="F96" s="109"/>
      <c r="G96" s="109"/>
      <c r="H96" s="109"/>
      <c r="I96" s="109"/>
      <c r="J96" s="109"/>
      <c r="K96" s="109"/>
      <c r="L96" s="109"/>
      <c r="M96" s="109"/>
      <c r="N96" s="109"/>
      <c r="O96" s="109"/>
    </row>
    <row r="97" spans="4:15" ht="16.5" x14ac:dyDescent="0.3">
      <c r="D97" s="109"/>
      <c r="E97" s="109"/>
      <c r="F97" s="109"/>
      <c r="G97" s="109"/>
      <c r="H97" s="109"/>
      <c r="I97" s="109"/>
      <c r="J97" s="109"/>
      <c r="K97" s="109"/>
      <c r="L97" s="109"/>
      <c r="M97" s="109"/>
      <c r="N97" s="109"/>
      <c r="O97" s="109"/>
    </row>
    <row r="98" spans="4:15" ht="16.5" x14ac:dyDescent="0.3">
      <c r="D98" s="109"/>
      <c r="E98" s="109"/>
      <c r="F98" s="109"/>
      <c r="G98" s="109"/>
      <c r="H98" s="109"/>
      <c r="I98" s="109"/>
      <c r="J98" s="109"/>
      <c r="K98" s="109"/>
      <c r="L98" s="109"/>
      <c r="M98" s="109"/>
      <c r="N98" s="109"/>
      <c r="O98" s="109"/>
    </row>
    <row r="99" spans="4:15" ht="16.5" x14ac:dyDescent="0.3">
      <c r="D99" s="109"/>
      <c r="E99" s="109"/>
      <c r="F99" s="109"/>
      <c r="G99" s="109"/>
      <c r="H99" s="109"/>
      <c r="I99" s="109"/>
      <c r="J99" s="109"/>
      <c r="K99" s="109"/>
      <c r="L99" s="109"/>
      <c r="M99" s="109"/>
      <c r="N99" s="109"/>
      <c r="O99" s="109"/>
    </row>
    <row r="100" spans="4:15" ht="16.5" x14ac:dyDescent="0.3">
      <c r="D100" s="109"/>
      <c r="E100" s="109"/>
      <c r="F100" s="109"/>
      <c r="G100" s="109"/>
      <c r="H100" s="109"/>
      <c r="I100" s="109"/>
      <c r="J100" s="109"/>
      <c r="K100" s="109"/>
      <c r="L100" s="109"/>
      <c r="M100" s="109"/>
      <c r="N100" s="109"/>
      <c r="O100" s="109"/>
    </row>
    <row r="101" spans="4:15" ht="16.5" x14ac:dyDescent="0.3">
      <c r="D101" s="109"/>
      <c r="E101" s="109"/>
      <c r="F101" s="109"/>
      <c r="G101" s="109"/>
      <c r="H101" s="109"/>
      <c r="I101" s="109"/>
      <c r="J101" s="109"/>
      <c r="K101" s="109"/>
      <c r="L101" s="109"/>
      <c r="M101" s="109"/>
      <c r="N101" s="109"/>
      <c r="O101" s="109"/>
    </row>
    <row r="102" spans="4:15" ht="16.5" x14ac:dyDescent="0.3">
      <c r="D102" s="109"/>
      <c r="E102" s="109"/>
      <c r="F102" s="109"/>
      <c r="G102" s="109"/>
      <c r="H102" s="109"/>
      <c r="I102" s="109"/>
      <c r="J102" s="109"/>
      <c r="K102" s="109"/>
      <c r="L102" s="109"/>
      <c r="M102" s="109"/>
      <c r="N102" s="109"/>
      <c r="O102" s="109"/>
    </row>
    <row r="103" spans="4:15" ht="16.5" x14ac:dyDescent="0.3">
      <c r="D103" s="109"/>
      <c r="E103" s="109"/>
      <c r="F103" s="109"/>
      <c r="G103" s="109"/>
      <c r="H103" s="109"/>
      <c r="I103" s="109"/>
      <c r="J103" s="109"/>
      <c r="K103" s="109"/>
      <c r="L103" s="109"/>
      <c r="M103" s="109"/>
      <c r="N103" s="109"/>
      <c r="O103" s="109"/>
    </row>
    <row r="104" spans="4:15" ht="16.5" x14ac:dyDescent="0.3">
      <c r="D104" s="109"/>
      <c r="E104" s="109"/>
      <c r="F104" s="109"/>
      <c r="G104" s="109"/>
      <c r="H104" s="109"/>
      <c r="I104" s="109"/>
      <c r="J104" s="109"/>
      <c r="K104" s="109"/>
      <c r="L104" s="109"/>
      <c r="M104" s="109"/>
      <c r="N104" s="109"/>
      <c r="O104" s="109"/>
    </row>
    <row r="105" spans="4:15" ht="16.5" x14ac:dyDescent="0.3">
      <c r="D105" s="109"/>
      <c r="E105" s="109"/>
      <c r="F105" s="109"/>
      <c r="G105" s="109"/>
      <c r="H105" s="109"/>
      <c r="I105" s="109"/>
      <c r="J105" s="109"/>
      <c r="K105" s="109"/>
      <c r="L105" s="109"/>
      <c r="M105" s="109"/>
      <c r="N105" s="109"/>
      <c r="O105" s="109"/>
    </row>
    <row r="106" spans="4:15" ht="16.5" x14ac:dyDescent="0.3">
      <c r="D106" s="109"/>
      <c r="E106" s="109"/>
      <c r="F106" s="109"/>
      <c r="G106" s="109"/>
      <c r="H106" s="109"/>
      <c r="I106" s="109"/>
      <c r="J106" s="109"/>
      <c r="K106" s="109"/>
      <c r="L106" s="109"/>
      <c r="M106" s="109"/>
      <c r="N106" s="109"/>
      <c r="O106" s="109"/>
    </row>
    <row r="107" spans="4:15" ht="16.5" x14ac:dyDescent="0.3">
      <c r="D107" s="109"/>
      <c r="E107" s="109"/>
      <c r="F107" s="109"/>
      <c r="G107" s="109"/>
      <c r="H107" s="109"/>
      <c r="I107" s="109"/>
      <c r="J107" s="109"/>
      <c r="K107" s="109"/>
      <c r="L107" s="109"/>
      <c r="M107" s="109"/>
      <c r="N107" s="109"/>
      <c r="O107" s="109"/>
    </row>
    <row r="108" spans="4:15" ht="16.5" x14ac:dyDescent="0.3">
      <c r="D108" s="109"/>
      <c r="E108" s="109"/>
      <c r="F108" s="109"/>
      <c r="G108" s="109"/>
      <c r="H108" s="109"/>
      <c r="I108" s="109"/>
      <c r="J108" s="109"/>
      <c r="K108" s="109"/>
      <c r="L108" s="109"/>
      <c r="M108" s="109"/>
      <c r="N108" s="109"/>
      <c r="O108" s="109"/>
    </row>
    <row r="109" spans="4:15" ht="16.5" x14ac:dyDescent="0.3">
      <c r="D109" s="109"/>
      <c r="E109" s="109"/>
      <c r="F109" s="109"/>
      <c r="G109" s="109"/>
      <c r="H109" s="109"/>
      <c r="I109" s="109"/>
      <c r="J109" s="109"/>
      <c r="K109" s="109"/>
      <c r="L109" s="109"/>
      <c r="M109" s="109"/>
      <c r="N109" s="109"/>
      <c r="O109" s="109"/>
    </row>
    <row r="110" spans="4:15" ht="16.5" x14ac:dyDescent="0.3">
      <c r="D110" s="109"/>
      <c r="E110" s="109"/>
      <c r="F110" s="109"/>
      <c r="G110" s="109"/>
      <c r="H110" s="109"/>
      <c r="I110" s="109"/>
      <c r="J110" s="109"/>
      <c r="K110" s="109"/>
      <c r="L110" s="109"/>
      <c r="M110" s="109"/>
      <c r="N110" s="109"/>
      <c r="O110" s="109"/>
    </row>
    <row r="111" spans="4:15" ht="16.5" x14ac:dyDescent="0.3">
      <c r="D111" s="109"/>
      <c r="E111" s="109"/>
      <c r="F111" s="109"/>
      <c r="G111" s="109"/>
      <c r="H111" s="109"/>
      <c r="I111" s="109"/>
      <c r="J111" s="109"/>
      <c r="K111" s="109"/>
      <c r="L111" s="109"/>
      <c r="M111" s="109"/>
      <c r="N111" s="109"/>
      <c r="O111" s="109"/>
    </row>
    <row r="112" spans="4:15" ht="16.5" x14ac:dyDescent="0.3">
      <c r="D112" s="109"/>
      <c r="E112" s="109"/>
      <c r="F112" s="109"/>
      <c r="G112" s="109"/>
      <c r="H112" s="109"/>
      <c r="I112" s="109"/>
      <c r="J112" s="109"/>
      <c r="K112" s="109"/>
      <c r="L112" s="109"/>
      <c r="M112" s="109"/>
      <c r="N112" s="109"/>
      <c r="O112" s="109"/>
    </row>
    <row r="113" spans="4:15" ht="16.5" x14ac:dyDescent="0.3">
      <c r="D113" s="109"/>
      <c r="E113" s="109"/>
      <c r="F113" s="109"/>
      <c r="G113" s="109"/>
      <c r="H113" s="109"/>
      <c r="I113" s="109"/>
      <c r="J113" s="109"/>
      <c r="K113" s="109"/>
      <c r="L113" s="109"/>
      <c r="M113" s="109"/>
      <c r="N113" s="109"/>
      <c r="O113" s="109"/>
    </row>
    <row r="114" spans="4:15" ht="16.5" x14ac:dyDescent="0.3">
      <c r="D114" s="109"/>
      <c r="E114" s="109"/>
      <c r="F114" s="109"/>
      <c r="G114" s="109"/>
      <c r="H114" s="109"/>
      <c r="I114" s="109"/>
      <c r="J114" s="109"/>
      <c r="K114" s="109"/>
      <c r="L114" s="109"/>
      <c r="M114" s="109"/>
      <c r="N114" s="109"/>
      <c r="O114" s="109"/>
    </row>
    <row r="115" spans="4:15" ht="16.5" x14ac:dyDescent="0.3">
      <c r="D115" s="109"/>
      <c r="E115" s="109"/>
      <c r="F115" s="109"/>
      <c r="G115" s="109"/>
      <c r="H115" s="109"/>
      <c r="I115" s="109"/>
      <c r="J115" s="109"/>
      <c r="K115" s="109"/>
      <c r="L115" s="109"/>
      <c r="M115" s="109"/>
      <c r="N115" s="109"/>
      <c r="O115" s="109"/>
    </row>
  </sheetData>
  <mergeCells count="3">
    <mergeCell ref="C1:U1"/>
    <mergeCell ref="C2:U2"/>
    <mergeCell ref="F4:V4"/>
  </mergeCells>
  <hyperlinks>
    <hyperlink ref="A6" location="Home!A1" display="Home" xr:uid="{00000000-0004-0000-0E00-000000000000}"/>
    <hyperlink ref="A8" location="Setup!A1" display="Model set up" xr:uid="{00000000-0004-0000-0E00-000001000000}"/>
    <hyperlink ref="A10" location="Population!A1" display="Population" xr:uid="{00000000-0004-0000-0E00-000002000000}"/>
  </hyperlinks>
  <pageMargins left="0.7" right="0.7" top="0.75" bottom="0.75" header="0.3" footer="0.3"/>
  <pageSetup paperSize="9" orientation="portrait" horizontalDpi="4294967293" verticalDpi="30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 operator="containsText" id="{536423CA-B484-47CF-8929-494F5F12E633}">
            <xm:f>NOT(ISERROR(SEARCH($C$4,A6)))</xm:f>
            <xm:f>$C$4</xm:f>
            <x14:dxf>
              <font>
                <b val="0"/>
                <i val="0"/>
                <strike val="0"/>
                <color theme="0"/>
              </font>
              <fill>
                <patternFill>
                  <bgColor theme="5"/>
                </patternFill>
              </fill>
            </x14:dxf>
          </x14:cfRule>
          <xm:sqref>A6:A11 A17:A41</xm:sqref>
        </x14:conditionalFormatting>
        <x14:conditionalFormatting xmlns:xm="http://schemas.microsoft.com/office/excel/2006/main">
          <x14:cfRule type="containsText" priority="1" operator="containsText" id="{54355EE0-2CAC-4C1A-A4FA-37507B7448E3}">
            <xm:f>NOT(ISERROR(SEARCH($C$4,A12)))</xm:f>
            <xm:f>$C$4</xm:f>
            <x14:dxf>
              <font>
                <b val="0"/>
                <i val="0"/>
                <strike val="0"/>
                <color theme="0"/>
              </font>
              <fill>
                <patternFill>
                  <bgColor theme="5"/>
                </patternFill>
              </fill>
            </x14:dxf>
          </x14:cfRule>
          <xm:sqref>A12:A16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C00000"/>
  </sheetPr>
  <dimension ref="A1:Z397"/>
  <sheetViews>
    <sheetView topLeftCell="A103" workbookViewId="0">
      <selection activeCell="K134" sqref="K134"/>
    </sheetView>
  </sheetViews>
  <sheetFormatPr defaultColWidth="8.625" defaultRowHeight="15" x14ac:dyDescent="0.3"/>
  <cols>
    <col min="1" max="1" width="21" style="1" customWidth="1"/>
    <col min="2" max="5" width="8.625" style="1"/>
    <col min="6" max="7" width="12.875" style="1" customWidth="1"/>
    <col min="8" max="8" width="12" style="1" bestFit="1" customWidth="1"/>
    <col min="9" max="9" width="14.75" style="1" bestFit="1" customWidth="1"/>
    <col min="10" max="10" width="8.625" style="1"/>
    <col min="11" max="12" width="14.5" style="1" bestFit="1" customWidth="1"/>
    <col min="13" max="16" width="8.625" style="1"/>
    <col min="17" max="17" width="14.5" style="1" bestFit="1" customWidth="1"/>
    <col min="18" max="18" width="11.875" style="1" bestFit="1" customWidth="1"/>
    <col min="19" max="19" width="8.625" style="1"/>
    <col min="20" max="20" width="9.625" style="1" bestFit="1" customWidth="1"/>
    <col min="21" max="23" width="8.625" style="1"/>
    <col min="24" max="24" width="12" style="1" bestFit="1" customWidth="1"/>
    <col min="25"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c r="C3"/>
      <c r="D3"/>
      <c r="E3"/>
      <c r="F3"/>
      <c r="G3"/>
      <c r="H3"/>
      <c r="I3"/>
      <c r="J3"/>
      <c r="K3"/>
      <c r="L3"/>
      <c r="M3"/>
      <c r="N3"/>
      <c r="O3"/>
      <c r="P3"/>
      <c r="Q3"/>
      <c r="R3"/>
      <c r="S3"/>
      <c r="T3"/>
      <c r="U3"/>
      <c r="V3"/>
      <c r="W3"/>
      <c r="X3"/>
      <c r="Y3"/>
      <c r="Z3"/>
    </row>
    <row r="4" spans="1:26" ht="21" customHeight="1" x14ac:dyDescent="0.3">
      <c r="A4" s="7" t="s">
        <v>0</v>
      </c>
      <c r="B4" s="8"/>
      <c r="C4" s="10" t="s">
        <v>43</v>
      </c>
      <c r="D4" s="10"/>
      <c r="E4" s="10"/>
      <c r="F4" s="145" t="s">
        <v>46</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c r="C5"/>
      <c r="D5"/>
      <c r="E5"/>
      <c r="F5"/>
      <c r="G5"/>
      <c r="H5"/>
      <c r="I5"/>
      <c r="J5"/>
      <c r="K5"/>
      <c r="L5"/>
      <c r="M5"/>
      <c r="N5"/>
      <c r="O5"/>
      <c r="P5"/>
      <c r="Q5"/>
      <c r="R5"/>
      <c r="S5"/>
      <c r="T5"/>
      <c r="U5"/>
      <c r="V5"/>
      <c r="W5"/>
      <c r="X5"/>
      <c r="Y5"/>
      <c r="Z5"/>
    </row>
    <row r="6" spans="1:26" ht="18" thickTop="1" thickBot="1" x14ac:dyDescent="0.35">
      <c r="A6" s="9" t="s">
        <v>1</v>
      </c>
      <c r="C6" s="12"/>
      <c r="D6" s="12"/>
      <c r="E6"/>
      <c r="F6" s="12"/>
      <c r="G6"/>
      <c r="H6"/>
      <c r="I6"/>
      <c r="J6"/>
      <c r="K6"/>
      <c r="L6"/>
      <c r="M6"/>
      <c r="N6"/>
    </row>
    <row r="7" spans="1:26" ht="18" thickTop="1" thickBot="1" x14ac:dyDescent="0.35">
      <c r="A7" s="2"/>
      <c r="C7" t="s">
        <v>105</v>
      </c>
      <c r="D7"/>
      <c r="E7"/>
      <c r="F7"/>
      <c r="G7"/>
      <c r="H7"/>
      <c r="I7"/>
      <c r="J7"/>
      <c r="K7"/>
      <c r="L7"/>
      <c r="M7"/>
      <c r="N7"/>
    </row>
    <row r="8" spans="1:26" ht="18" thickTop="1" thickBot="1" x14ac:dyDescent="0.35">
      <c r="A8" s="9" t="s">
        <v>12</v>
      </c>
      <c r="C8"/>
      <c r="D8"/>
      <c r="E8"/>
      <c r="F8"/>
      <c r="G8"/>
      <c r="H8"/>
      <c r="I8"/>
      <c r="J8"/>
      <c r="K8"/>
      <c r="L8"/>
      <c r="M8"/>
      <c r="N8"/>
    </row>
    <row r="9" spans="1:26" ht="18" thickTop="1" thickBot="1" x14ac:dyDescent="0.35">
      <c r="A9" s="2"/>
      <c r="C9"/>
      <c r="D9"/>
      <c r="E9"/>
      <c r="F9"/>
      <c r="G9"/>
      <c r="H9"/>
      <c r="I9"/>
      <c r="J9"/>
      <c r="K9"/>
      <c r="L9"/>
      <c r="M9"/>
      <c r="N9"/>
    </row>
    <row r="10" spans="1:26" ht="18" thickTop="1" thickBot="1" x14ac:dyDescent="0.35">
      <c r="A10" s="9" t="s">
        <v>13</v>
      </c>
      <c r="C10"/>
      <c r="D10"/>
      <c r="E10"/>
      <c r="F10"/>
      <c r="G10"/>
      <c r="H10"/>
      <c r="I10"/>
      <c r="J10"/>
      <c r="K10"/>
      <c r="L10"/>
      <c r="M10"/>
      <c r="N10"/>
      <c r="T10" s="1" t="s">
        <v>106</v>
      </c>
      <c r="U10" s="1">
        <v>2.9592459999999998</v>
      </c>
      <c r="V10" s="1">
        <v>-30</v>
      </c>
      <c r="W10" s="1">
        <f>10^V10</f>
        <v>9.9999999999999991E-31</v>
      </c>
      <c r="X10" s="1">
        <f>U10*W10</f>
        <v>2.9592459999999997E-30</v>
      </c>
    </row>
    <row r="11" spans="1:26" ht="18" thickTop="1" thickBot="1" x14ac:dyDescent="0.35">
      <c r="A11" s="2"/>
      <c r="C11"/>
      <c r="D11"/>
      <c r="E11"/>
      <c r="F11"/>
      <c r="G11"/>
      <c r="H11"/>
      <c r="I11"/>
      <c r="J11"/>
      <c r="K11"/>
      <c r="L11"/>
      <c r="M11"/>
      <c r="N11"/>
      <c r="T11" s="1" t="s">
        <v>107</v>
      </c>
      <c r="U11" s="1">
        <v>6.9272629901</v>
      </c>
      <c r="V11" s="1">
        <v>0</v>
      </c>
      <c r="W11" s="1">
        <f t="shared" ref="W11:W13" si="0">10^V11</f>
        <v>1</v>
      </c>
      <c r="X11" s="1">
        <f t="shared" ref="X11:X13" si="1">U11*W11</f>
        <v>6.9272629901</v>
      </c>
    </row>
    <row r="12" spans="1:26" ht="18" thickTop="1" thickBot="1" x14ac:dyDescent="0.35">
      <c r="A12" s="9" t="s">
        <v>22</v>
      </c>
      <c r="C12"/>
      <c r="D12"/>
      <c r="E12"/>
      <c r="F12"/>
      <c r="G12"/>
      <c r="H12"/>
      <c r="I12"/>
      <c r="J12"/>
      <c r="K12"/>
      <c r="L12"/>
      <c r="M12"/>
      <c r="N12"/>
      <c r="T12" s="1" t="s">
        <v>108</v>
      </c>
      <c r="U12" s="1">
        <v>1.079844131</v>
      </c>
      <c r="V12" s="1">
        <v>0</v>
      </c>
      <c r="W12" s="1">
        <f t="shared" si="0"/>
        <v>1</v>
      </c>
      <c r="X12" s="1">
        <f t="shared" si="1"/>
        <v>1.079844131</v>
      </c>
    </row>
    <row r="13" spans="1:26" ht="18" thickTop="1" thickBot="1" x14ac:dyDescent="0.35">
      <c r="A13" s="2"/>
      <c r="C13"/>
      <c r="D13"/>
      <c r="E13"/>
      <c r="F13"/>
      <c r="G13"/>
      <c r="H13"/>
      <c r="I13"/>
      <c r="J13"/>
      <c r="K13"/>
      <c r="L13"/>
      <c r="M13"/>
      <c r="N13"/>
      <c r="T13" s="1" t="s">
        <v>109</v>
      </c>
      <c r="U13" s="1">
        <v>2.372691718</v>
      </c>
      <c r="V13" s="1">
        <v>1</v>
      </c>
      <c r="W13" s="1">
        <f t="shared" si="0"/>
        <v>10</v>
      </c>
      <c r="X13" s="1">
        <f t="shared" si="1"/>
        <v>23.726917180000001</v>
      </c>
    </row>
    <row r="14" spans="1:26" ht="18" thickTop="1" thickBot="1" x14ac:dyDescent="0.35">
      <c r="A14" s="9" t="s">
        <v>23</v>
      </c>
      <c r="C14"/>
      <c r="D14"/>
      <c r="E14"/>
      <c r="F14"/>
      <c r="G14"/>
      <c r="H14"/>
      <c r="I14"/>
      <c r="J14"/>
      <c r="K14"/>
      <c r="L14"/>
      <c r="M14"/>
      <c r="N14"/>
    </row>
    <row r="15" spans="1:26" ht="18" thickTop="1" thickBot="1" x14ac:dyDescent="0.35">
      <c r="A15" s="2"/>
      <c r="C15"/>
      <c r="D15"/>
      <c r="E15"/>
      <c r="F15"/>
      <c r="G15"/>
      <c r="H15"/>
      <c r="I15"/>
      <c r="J15"/>
      <c r="K15"/>
      <c r="L15"/>
      <c r="M15"/>
      <c r="N15"/>
      <c r="T15" s="31" t="s">
        <v>111</v>
      </c>
      <c r="U15" s="31" t="s">
        <v>110</v>
      </c>
    </row>
    <row r="16" spans="1:26" ht="18" thickTop="1" thickBot="1" x14ac:dyDescent="0.35">
      <c r="A16" s="9" t="s">
        <v>24</v>
      </c>
      <c r="C16"/>
      <c r="D16"/>
      <c r="E16"/>
      <c r="F16"/>
      <c r="G16"/>
      <c r="H16"/>
      <c r="I16"/>
      <c r="J16"/>
      <c r="K16"/>
      <c r="L16"/>
      <c r="M16"/>
      <c r="N16"/>
      <c r="T16" s="33">
        <v>0</v>
      </c>
      <c r="U16" s="16">
        <f>$X$10+(($X$11*POWER(T16,$X$12))/(POWER($X$13,$X$12)+POWER(T16,$X$12)))</f>
        <v>2.9592459999999997E-30</v>
      </c>
    </row>
    <row r="17" spans="1:21" ht="18" thickTop="1" thickBot="1" x14ac:dyDescent="0.35">
      <c r="A17" s="2"/>
      <c r="C17"/>
      <c r="D17"/>
      <c r="E17"/>
      <c r="F17"/>
      <c r="G17"/>
      <c r="H17"/>
      <c r="I17"/>
      <c r="J17"/>
      <c r="K17"/>
      <c r="L17"/>
      <c r="M17"/>
      <c r="N17"/>
      <c r="T17" s="33">
        <v>1</v>
      </c>
      <c r="U17" s="16">
        <f>$X$10+(($X$11*POWER(T17,$X$12))/(POWER($X$13,$X$12)+POWER(T17,$X$12)))</f>
        <v>0.21954743903593774</v>
      </c>
    </row>
    <row r="18" spans="1:21" ht="18" thickTop="1" thickBot="1" x14ac:dyDescent="0.35">
      <c r="A18" s="9" t="s">
        <v>2</v>
      </c>
      <c r="C18"/>
      <c r="D18"/>
      <c r="E18"/>
      <c r="F18"/>
      <c r="G18"/>
      <c r="H18"/>
      <c r="I18"/>
      <c r="J18"/>
      <c r="K18"/>
      <c r="L18"/>
      <c r="M18"/>
      <c r="N18"/>
    </row>
    <row r="19" spans="1:21" ht="18" thickTop="1" thickBot="1" x14ac:dyDescent="0.35">
      <c r="A19" s="2"/>
      <c r="C19"/>
      <c r="D19"/>
      <c r="E19"/>
      <c r="F19"/>
      <c r="G19"/>
      <c r="H19"/>
      <c r="I19"/>
      <c r="J19"/>
      <c r="K19"/>
      <c r="L19"/>
      <c r="M19"/>
      <c r="N19"/>
      <c r="T19" s="37" t="s">
        <v>55</v>
      </c>
      <c r="U19" s="16">
        <f>(U17-U16)</f>
        <v>0.21954743903593774</v>
      </c>
    </row>
    <row r="20" spans="1:21" ht="18" thickTop="1" thickBot="1" x14ac:dyDescent="0.35">
      <c r="A20" s="9" t="s">
        <v>3</v>
      </c>
      <c r="C20"/>
      <c r="D20"/>
      <c r="E20"/>
      <c r="F20"/>
      <c r="G20"/>
      <c r="H20"/>
      <c r="I20"/>
      <c r="J20"/>
      <c r="K20"/>
      <c r="L20"/>
      <c r="M20"/>
      <c r="N20"/>
      <c r="T20" s="37" t="s">
        <v>13</v>
      </c>
      <c r="U20" s="16">
        <f>(100-U16)/(100-D31)</f>
        <v>1</v>
      </c>
    </row>
    <row r="21" spans="1:21" ht="17.25" thickTop="1" x14ac:dyDescent="0.3">
      <c r="A21" s="2"/>
      <c r="C21"/>
      <c r="D21"/>
      <c r="E21"/>
      <c r="F21"/>
      <c r="G21"/>
      <c r="H21"/>
      <c r="I21"/>
      <c r="J21"/>
      <c r="K21"/>
      <c r="L21"/>
      <c r="M21"/>
      <c r="N21"/>
      <c r="T21" s="37" t="s">
        <v>112</v>
      </c>
      <c r="U21" s="16">
        <f>U19/U20</f>
        <v>0.21954743903593774</v>
      </c>
    </row>
    <row r="22" spans="1:21" ht="16.5" x14ac:dyDescent="0.3">
      <c r="A22" s="2"/>
      <c r="C22"/>
      <c r="D22"/>
      <c r="E22"/>
      <c r="F22"/>
      <c r="G22"/>
      <c r="H22"/>
      <c r="I22"/>
      <c r="J22"/>
      <c r="K22"/>
      <c r="L22"/>
      <c r="M22"/>
      <c r="N22"/>
    </row>
    <row r="23" spans="1:21" ht="16.5" x14ac:dyDescent="0.3">
      <c r="A23" s="2"/>
      <c r="C23"/>
      <c r="D23"/>
      <c r="E23"/>
      <c r="F23"/>
      <c r="G23"/>
      <c r="H23"/>
      <c r="I23"/>
      <c r="J23"/>
      <c r="K23"/>
      <c r="L23"/>
      <c r="M23"/>
      <c r="N23"/>
    </row>
    <row r="24" spans="1:21" x14ac:dyDescent="0.3">
      <c r="A24" s="2"/>
    </row>
    <row r="25" spans="1:21" x14ac:dyDescent="0.3">
      <c r="A25" s="2"/>
    </row>
    <row r="26" spans="1:21" x14ac:dyDescent="0.3">
      <c r="A26" s="2"/>
    </row>
    <row r="27" spans="1:21" x14ac:dyDescent="0.3">
      <c r="A27" s="2"/>
    </row>
    <row r="28" spans="1:21" x14ac:dyDescent="0.3">
      <c r="A28" s="2"/>
      <c r="D28" s="1" t="s">
        <v>281</v>
      </c>
      <c r="E28" s="1" t="s">
        <v>286</v>
      </c>
      <c r="F28" s="1" t="s">
        <v>287</v>
      </c>
      <c r="G28" s="1" t="s">
        <v>55</v>
      </c>
    </row>
    <row r="29" spans="1:21" ht="16.5" x14ac:dyDescent="0.3">
      <c r="A29" s="2"/>
      <c r="C29" s="1" t="s">
        <v>285</v>
      </c>
      <c r="D29" s="16">
        <f>i_Adv_Surg</f>
        <v>5.49</v>
      </c>
      <c r="E29" s="16">
        <f>i_Adv_SSI</f>
        <v>90</v>
      </c>
      <c r="F29" s="16">
        <f>$X$10+(($X$11*POWER(E29,$X$12))/(POWER($X$13,$X$12)+POWER(E29,$X$12)))</f>
        <v>5.5999999997516081</v>
      </c>
      <c r="G29" s="16">
        <f>D29/F29</f>
        <v>0.98035714290062737</v>
      </c>
      <c r="Q29" s="1" t="s">
        <v>322</v>
      </c>
    </row>
    <row r="30" spans="1:21" ht="16.5" x14ac:dyDescent="0.3">
      <c r="A30" s="2"/>
      <c r="D30" s="1" t="s">
        <v>288</v>
      </c>
      <c r="E30" s="1" t="s">
        <v>112</v>
      </c>
      <c r="F30" s="1" t="s">
        <v>281</v>
      </c>
      <c r="G30" s="1" t="s">
        <v>282</v>
      </c>
      <c r="K30" t="s">
        <v>281</v>
      </c>
      <c r="L30" s="1" t="s">
        <v>282</v>
      </c>
      <c r="Q30" s="44" t="s">
        <v>281</v>
      </c>
      <c r="R30" s="1" t="s">
        <v>282</v>
      </c>
    </row>
    <row r="31" spans="1:21" ht="16.5" x14ac:dyDescent="0.3">
      <c r="A31" s="2"/>
      <c r="C31" s="1">
        <f>Markov!C26</f>
        <v>0</v>
      </c>
      <c r="D31" s="16">
        <v>0</v>
      </c>
      <c r="E31" s="16">
        <v>0</v>
      </c>
      <c r="F31" s="16">
        <f>E31-G31</f>
        <v>0</v>
      </c>
      <c r="G31" s="16">
        <f>E31*(i_Adv_DSWI/100)</f>
        <v>0</v>
      </c>
      <c r="I31" s="1" t="s">
        <v>93</v>
      </c>
      <c r="J31" s="16">
        <f>i_Eve_Hosp</f>
        <v>8</v>
      </c>
      <c r="K31" s="16">
        <f ca="1">SUM(OFFSET(F31,0,0,J31+1,1))</f>
        <v>9.5016626299974961E-3</v>
      </c>
      <c r="L31" s="16">
        <f ca="1">SUM(OFFSET(G31,0,0,J31+1,1))</f>
        <v>6.53489877084216E-3</v>
      </c>
      <c r="O31" s="1" t="s">
        <v>93</v>
      </c>
      <c r="P31" s="16">
        <f>i_Eve_Hosp</f>
        <v>8</v>
      </c>
      <c r="Q31" s="16"/>
      <c r="R31" s="16"/>
    </row>
    <row r="32" spans="1:21" ht="16.5" x14ac:dyDescent="0.3">
      <c r="A32" s="2"/>
      <c r="C32" s="1">
        <f>Markov!C27</f>
        <v>1</v>
      </c>
      <c r="D32" s="16">
        <f t="shared" ref="D32:D39" si="2">($X$10+(($X$11*POWER(C32,$X$12))/(POWER($X$13,$X$12)+POWER(C32,$X$12))))*$G$29</f>
        <v>0.21523490006442159</v>
      </c>
      <c r="E32" s="16">
        <f>(D32-D31)/100</f>
        <v>2.152349000644216E-3</v>
      </c>
      <c r="F32" s="16">
        <f>E32-G32</f>
        <v>1.275266782881698E-3</v>
      </c>
      <c r="G32" s="16">
        <f t="shared" ref="G32:G63" si="3">(E32)*(i_Adv_DSWI/100)</f>
        <v>8.7708221776251793E-4</v>
      </c>
      <c r="J32" s="1" t="s">
        <v>305</v>
      </c>
      <c r="K32" s="16">
        <f ca="1">((1-EXP(-((-LN(1-K31))/J31)*1)))</f>
        <v>1.1926746252738374E-3</v>
      </c>
      <c r="L32" s="16">
        <f ca="1">((1-EXP(-((-LN(1-L31))/J31)*1)))</f>
        <v>8.192073543118461E-4</v>
      </c>
      <c r="M32" s="1">
        <f ca="1">Markov!I14/L32</f>
        <v>1.3090496589294009</v>
      </c>
      <c r="P32" s="1" t="s">
        <v>305</v>
      </c>
      <c r="Q32" s="16">
        <f ca="1">i_Int_Kend_ssi/((1/K32)-1+i_Int_Kend_ssi)</f>
        <v>8.8285299135640544E-4</v>
      </c>
      <c r="R32" s="16">
        <f ca="1">i_Int_Kend_ssi/((1/L32)-1+i_Int_Kend_ssi)</f>
        <v>6.0634258947098315E-4</v>
      </c>
    </row>
    <row r="33" spans="1:18" ht="16.5" x14ac:dyDescent="0.3">
      <c r="A33" s="2"/>
      <c r="C33" s="1">
        <f>Markov!C28</f>
        <v>2</v>
      </c>
      <c r="D33" s="16">
        <f t="shared" si="2"/>
        <v>0.43945243758941027</v>
      </c>
      <c r="E33" s="16">
        <f t="shared" ref="E33:E96" si="4">(D33-D32)/100</f>
        <v>2.2421753752498871E-3</v>
      </c>
      <c r="F33" s="16">
        <f t="shared" ref="F33:F96" si="5">E33-G33</f>
        <v>1.3284889098355581E-3</v>
      </c>
      <c r="G33" s="16">
        <f t="shared" si="3"/>
        <v>9.1368646541432896E-4</v>
      </c>
      <c r="K33"/>
      <c r="Q33" s="44"/>
    </row>
    <row r="34" spans="1:18" ht="16.5" x14ac:dyDescent="0.3">
      <c r="A34" s="2"/>
      <c r="C34" s="1">
        <f>Markov!C29</f>
        <v>3</v>
      </c>
      <c r="D34" s="16">
        <f t="shared" si="2"/>
        <v>0.65749523386668407</v>
      </c>
      <c r="E34" s="16">
        <f t="shared" si="4"/>
        <v>2.1804279627727378E-3</v>
      </c>
      <c r="F34" s="16">
        <f t="shared" si="5"/>
        <v>1.2919035679428473E-3</v>
      </c>
      <c r="G34" s="16">
        <f t="shared" si="3"/>
        <v>8.8852439482989059E-4</v>
      </c>
      <c r="I34" s="1" t="s">
        <v>306</v>
      </c>
      <c r="J34" s="16">
        <f>91.3-i_Eve_Hosp</f>
        <v>83.3</v>
      </c>
      <c r="K34" s="16">
        <f ca="1">SUM(OFFSET(F31,J31+1,0,ROUND(J34,0),1))</f>
        <v>2.3100679584631245E-2</v>
      </c>
      <c r="L34" s="16">
        <f ca="1">SUM(OFFSET(G31,J31+1,0,J34,1))</f>
        <v>1.5887809165801237E-2</v>
      </c>
      <c r="O34" s="1" t="s">
        <v>306</v>
      </c>
      <c r="P34" s="16">
        <f>91.3-i_Eve_Hosp</f>
        <v>83.3</v>
      </c>
      <c r="Q34" s="16"/>
      <c r="R34" s="16"/>
    </row>
    <row r="35" spans="1:18" ht="16.5" x14ac:dyDescent="0.3">
      <c r="A35" s="2"/>
      <c r="C35" s="1">
        <f>Markov!C30</f>
        <v>4</v>
      </c>
      <c r="D35" s="16">
        <f t="shared" si="2"/>
        <v>0.86646845890926216</v>
      </c>
      <c r="E35" s="16">
        <f t="shared" si="4"/>
        <v>2.0897322504257808E-3</v>
      </c>
      <c r="F35" s="16">
        <f t="shared" si="5"/>
        <v>1.2381663583772751E-3</v>
      </c>
      <c r="G35" s="16">
        <f t="shared" si="3"/>
        <v>8.5156589204850558E-4</v>
      </c>
      <c r="J35" s="1" t="s">
        <v>305</v>
      </c>
      <c r="K35" s="16">
        <f ca="1">((1-EXP(-((-LN(1-K34))/J34)*1)))</f>
        <v>2.8053305593933597E-4</v>
      </c>
      <c r="L35" s="16">
        <f ca="1">((1-EXP(-((-LN(1-L34))/J34)*1)))</f>
        <v>1.9224290376274045E-4</v>
      </c>
      <c r="P35" s="1" t="s">
        <v>305</v>
      </c>
      <c r="Q35" s="16">
        <f ca="1">i_Int_Kend_ssi/((1/K35)-1+i_Int_Kend_ssi)</f>
        <v>2.0760960414784905E-4</v>
      </c>
      <c r="R35" s="16">
        <f ca="1">i_Int_Kend_ssi/((1/L35)-1+i_Int_Kend_ssi)</f>
        <v>1.4226685973092615E-4</v>
      </c>
    </row>
    <row r="36" spans="1:18" ht="16.5" x14ac:dyDescent="0.3">
      <c r="A36" s="2"/>
      <c r="C36" s="1">
        <f>Markov!C31</f>
        <v>5</v>
      </c>
      <c r="D36" s="16">
        <f t="shared" si="2"/>
        <v>1.0655142821560384</v>
      </c>
      <c r="E36" s="16">
        <f t="shared" si="4"/>
        <v>1.9904582324677621E-3</v>
      </c>
      <c r="F36" s="16">
        <f t="shared" si="5"/>
        <v>1.1793465027371492E-3</v>
      </c>
      <c r="G36" s="16">
        <f t="shared" si="3"/>
        <v>8.1111172973061306E-4</v>
      </c>
      <c r="K36"/>
      <c r="Q36" s="44"/>
    </row>
    <row r="37" spans="1:18" ht="16.5" x14ac:dyDescent="0.3">
      <c r="A37" s="2"/>
      <c r="C37" s="1">
        <f>Markov!C32</f>
        <v>6</v>
      </c>
      <c r="D37" s="16">
        <f t="shared" si="2"/>
        <v>1.2545364525203606</v>
      </c>
      <c r="E37" s="16">
        <f t="shared" si="4"/>
        <v>1.8902217036432223E-3</v>
      </c>
      <c r="F37" s="16">
        <f t="shared" si="5"/>
        <v>1.1199563594086093E-3</v>
      </c>
      <c r="G37" s="16">
        <f t="shared" si="3"/>
        <v>7.7026534423461305E-4</v>
      </c>
      <c r="I37" s="1" t="s">
        <v>307</v>
      </c>
      <c r="J37" s="16">
        <f>(i_Set_Time*365.25)-91.3</f>
        <v>273.95</v>
      </c>
      <c r="K37" s="16">
        <f ca="1">SUM(OFFSET(F31,J34+J31+1,0,ROUND(J37/91.3,0),1))</f>
        <v>5.6365151121313892E-3</v>
      </c>
      <c r="L37" s="16">
        <f ca="1">SUM(OFFSET(G31,J34+J31+1,0,ROUND(J37/91.3,0),1))</f>
        <v>3.8765905623519676E-3</v>
      </c>
      <c r="O37" s="1" t="s">
        <v>307</v>
      </c>
      <c r="P37" s="16">
        <f>(i_Set_Time*365.25)-91.3</f>
        <v>273.95</v>
      </c>
      <c r="Q37" s="16"/>
      <c r="R37" s="16"/>
    </row>
    <row r="38" spans="1:18" ht="16.5" x14ac:dyDescent="0.3">
      <c r="A38" s="2"/>
      <c r="C38" s="1">
        <f>Markov!C33</f>
        <v>7</v>
      </c>
      <c r="D38" s="16">
        <f t="shared" si="2"/>
        <v>1.4337810539524287</v>
      </c>
      <c r="E38" s="16">
        <f t="shared" si="4"/>
        <v>1.792446014320681E-3</v>
      </c>
      <c r="F38" s="16">
        <f t="shared" si="5"/>
        <v>1.0620242634850035E-3</v>
      </c>
      <c r="G38" s="16">
        <f t="shared" si="3"/>
        <v>7.3042175083567746E-4</v>
      </c>
      <c r="J38" s="1" t="s">
        <v>305</v>
      </c>
      <c r="K38" s="16">
        <f ca="1">((1-EXP(-((-LN(1-K37))/J37)*91.3)))</f>
        <v>1.8820362608800156E-3</v>
      </c>
      <c r="L38" s="16">
        <f ca="1">((1-EXP(-((-LN(1-L37))/J37)*91.3)))</f>
        <v>1.2936342342849683E-3</v>
      </c>
      <c r="P38" s="1" t="s">
        <v>305</v>
      </c>
      <c r="Q38" s="16">
        <f ca="1">i_Int_Kend_ssi/((1/K38)-1+i_Int_Kend_ssi)</f>
        <v>1.3933886591265252E-3</v>
      </c>
      <c r="R38" s="16">
        <f ca="1">i_Int_Kend_ssi/((1/L38)-1+i_Int_Kend_ssi)</f>
        <v>9.5761142108941706E-4</v>
      </c>
    </row>
    <row r="39" spans="1:18" ht="16.5" x14ac:dyDescent="0.3">
      <c r="A39" s="2"/>
      <c r="C39" s="1">
        <f>Markov!C34</f>
        <v>8</v>
      </c>
      <c r="D39" s="16">
        <f t="shared" si="2"/>
        <v>1.6036561400839655</v>
      </c>
      <c r="E39" s="16">
        <f t="shared" si="4"/>
        <v>1.6987508613153679E-3</v>
      </c>
      <c r="F39" s="16">
        <f t="shared" si="5"/>
        <v>1.0065098853293554E-3</v>
      </c>
      <c r="G39" s="16">
        <f t="shared" si="3"/>
        <v>6.9224097598601239E-4</v>
      </c>
      <c r="K39"/>
    </row>
    <row r="40" spans="1:18" ht="16.5" x14ac:dyDescent="0.3">
      <c r="A40" s="2"/>
      <c r="C40" s="1">
        <f>Markov!C35</f>
        <v>9</v>
      </c>
      <c r="D40" s="16">
        <f t="shared" ref="D40:D103" si="6">($X$10+(($X$11*POWER(C40,$X$12))/(POWER($X$13,$X$12)+POWER(C40,$X$12))))*$G$29</f>
        <v>1.7646428582094111</v>
      </c>
      <c r="E40" s="16">
        <f t="shared" si="4"/>
        <v>1.6098671812544562E-3</v>
      </c>
      <c r="F40" s="16">
        <f t="shared" si="5"/>
        <v>9.5384630489326531E-4</v>
      </c>
      <c r="G40" s="16">
        <f t="shared" si="3"/>
        <v>6.5602087636119086E-4</v>
      </c>
      <c r="K40"/>
      <c r="R40" s="1">
        <f>i_Int_Kend_ssi</f>
        <v>0.74</v>
      </c>
    </row>
    <row r="41" spans="1:18" ht="16.5" x14ac:dyDescent="0.3">
      <c r="C41" s="1">
        <f>Markov!C36</f>
        <v>10</v>
      </c>
      <c r="D41" s="16">
        <f t="shared" si="6"/>
        <v>1.9172482806485316</v>
      </c>
      <c r="E41" s="16">
        <f t="shared" si="4"/>
        <v>1.5260542243912046E-3</v>
      </c>
      <c r="F41" s="16">
        <f t="shared" si="5"/>
        <v>9.0418712795178879E-4</v>
      </c>
      <c r="G41" s="16">
        <f t="shared" si="3"/>
        <v>6.2186709643941582E-4</v>
      </c>
      <c r="K41"/>
    </row>
    <row r="42" spans="1:18" ht="16.5" x14ac:dyDescent="0.3">
      <c r="C42" s="1">
        <f>Markov!C37</f>
        <v>11</v>
      </c>
      <c r="D42" s="16">
        <f t="shared" si="6"/>
        <v>2.0619794339686788</v>
      </c>
      <c r="E42" s="16">
        <f t="shared" si="4"/>
        <v>1.4473115332014719E-3</v>
      </c>
      <c r="F42" s="16">
        <f t="shared" si="5"/>
        <v>8.575320834218721E-4</v>
      </c>
      <c r="G42" s="16">
        <f t="shared" si="3"/>
        <v>5.8977944977959976E-4</v>
      </c>
      <c r="K42"/>
    </row>
    <row r="43" spans="1:18" ht="16.5" x14ac:dyDescent="0.3">
      <c r="C43" s="1">
        <f>Markov!C38</f>
        <v>12</v>
      </c>
      <c r="D43" s="16">
        <f t="shared" si="6"/>
        <v>2.1993289004329015</v>
      </c>
      <c r="E43" s="16">
        <f t="shared" si="4"/>
        <v>1.3734946646422274E-3</v>
      </c>
      <c r="F43" s="16">
        <f t="shared" si="5"/>
        <v>8.1379558880051981E-4</v>
      </c>
      <c r="G43" s="16">
        <f t="shared" si="3"/>
        <v>5.5969907584170757E-4</v>
      </c>
      <c r="K43"/>
    </row>
    <row r="44" spans="1:18" ht="16.5" x14ac:dyDescent="0.3">
      <c r="C44" s="1">
        <f>Markov!C39</f>
        <v>13</v>
      </c>
      <c r="D44" s="16">
        <f t="shared" si="6"/>
        <v>2.3297670436172013</v>
      </c>
      <c r="E44" s="16">
        <f t="shared" si="4"/>
        <v>1.3043814318429981E-3</v>
      </c>
      <c r="F44" s="16">
        <f t="shared" si="5"/>
        <v>7.7284599836697642E-4</v>
      </c>
      <c r="G44" s="16">
        <f t="shared" si="3"/>
        <v>5.3153543347602165E-4</v>
      </c>
      <c r="K44"/>
    </row>
    <row r="45" spans="1:18" ht="16.5" x14ac:dyDescent="0.3">
      <c r="C45" s="1">
        <f>Markov!C40</f>
        <v>14</v>
      </c>
      <c r="D45" s="16">
        <f t="shared" si="6"/>
        <v>2.4537381417725106</v>
      </c>
      <c r="E45" s="16">
        <f t="shared" si="4"/>
        <v>1.2397109815530927E-3</v>
      </c>
      <c r="F45" s="16">
        <f t="shared" si="5"/>
        <v>7.3452875657020744E-4</v>
      </c>
      <c r="G45" s="16">
        <f t="shared" si="3"/>
        <v>5.0518222498288526E-4</v>
      </c>
      <c r="K45"/>
    </row>
    <row r="46" spans="1:18" ht="16.5" x14ac:dyDescent="0.3">
      <c r="C46" s="1">
        <f>Markov!C41</f>
        <v>15</v>
      </c>
      <c r="D46" s="16">
        <f t="shared" si="6"/>
        <v>2.571658863868429</v>
      </c>
      <c r="E46" s="16">
        <f t="shared" si="4"/>
        <v>1.1792072209591842E-3</v>
      </c>
      <c r="F46" s="16">
        <f t="shared" si="5"/>
        <v>6.9868027841831664E-4</v>
      </c>
      <c r="G46" s="16">
        <f t="shared" si="3"/>
        <v>4.8052694254086751E-4</v>
      </c>
      <c r="K46"/>
    </row>
    <row r="47" spans="1:18" ht="16.5" x14ac:dyDescent="0.3">
      <c r="C47" s="1">
        <f>Markov!C42</f>
        <v>16</v>
      </c>
      <c r="D47" s="16">
        <f t="shared" si="6"/>
        <v>2.6839181540159265</v>
      </c>
      <c r="E47" s="16">
        <f t="shared" si="4"/>
        <v>1.1225929014749747E-3</v>
      </c>
      <c r="F47" s="16">
        <f t="shared" si="5"/>
        <v>6.6513629412392247E-4</v>
      </c>
      <c r="G47" s="16">
        <f t="shared" si="3"/>
        <v>4.5745660735105217E-4</v>
      </c>
      <c r="K47"/>
    </row>
    <row r="48" spans="1:18" ht="16.5" x14ac:dyDescent="0.3">
      <c r="C48" s="1">
        <f>Markov!C43</f>
        <v>17</v>
      </c>
      <c r="D48" s="16">
        <f t="shared" si="6"/>
        <v>2.7908779520353186</v>
      </c>
      <c r="E48" s="16">
        <f t="shared" si="4"/>
        <v>1.0695979801939215E-3</v>
      </c>
      <c r="F48" s="16">
        <f t="shared" si="5"/>
        <v>6.3373680326489859E-4</v>
      </c>
      <c r="G48" s="16">
        <f t="shared" si="3"/>
        <v>4.3586117692902298E-4</v>
      </c>
      <c r="K48"/>
    </row>
    <row r="49" spans="3:11" ht="16.5" x14ac:dyDescent="0.3">
      <c r="C49" s="1">
        <f>Markov!C44</f>
        <v>18</v>
      </c>
      <c r="D49" s="16">
        <f t="shared" si="6"/>
        <v>2.8928743935157648</v>
      </c>
      <c r="E49" s="16">
        <f t="shared" si="4"/>
        <v>1.0199644148044618E-3</v>
      </c>
      <c r="F49" s="16">
        <f t="shared" si="5"/>
        <v>6.0432891577164363E-4</v>
      </c>
      <c r="G49" s="16">
        <f t="shared" si="3"/>
        <v>4.1563549903281813E-4</v>
      </c>
      <c r="K49"/>
    </row>
    <row r="50" spans="3:11" ht="16.5" x14ac:dyDescent="0.3">
      <c r="C50" s="1">
        <f>Markov!C45</f>
        <v>19</v>
      </c>
      <c r="D50" s="16">
        <f t="shared" si="6"/>
        <v>2.9902192648075445</v>
      </c>
      <c r="E50" s="16">
        <f t="shared" si="4"/>
        <v>9.7344871291779708E-4</v>
      </c>
      <c r="F50" s="16">
        <f t="shared" si="5"/>
        <v>5.7676836240379476E-4</v>
      </c>
      <c r="G50" s="16">
        <f t="shared" si="3"/>
        <v>3.9668035051400227E-4</v>
      </c>
      <c r="K50"/>
    </row>
    <row r="51" spans="3:11" ht="16.5" x14ac:dyDescent="0.3">
      <c r="C51" s="1">
        <f>Markov!C46</f>
        <v>20</v>
      </c>
      <c r="D51" s="16">
        <f t="shared" si="6"/>
        <v>3.0832015711548144</v>
      </c>
      <c r="E51" s="16">
        <f t="shared" si="4"/>
        <v>9.2982306347269897E-4</v>
      </c>
      <c r="F51" s="16">
        <f t="shared" si="5"/>
        <v>5.509201651075742E-4</v>
      </c>
      <c r="G51" s="16">
        <f t="shared" si="3"/>
        <v>3.7890289836512483E-4</v>
      </c>
      <c r="K51"/>
    </row>
    <row r="52" spans="3:11" ht="16.5" x14ac:dyDescent="0.3">
      <c r="C52" s="1">
        <f>Markov!C47</f>
        <v>21</v>
      </c>
      <c r="D52" s="16">
        <f t="shared" si="6"/>
        <v>3.1720891289219439</v>
      </c>
      <c r="E52" s="16">
        <f t="shared" si="4"/>
        <v>8.8887557767129536E-4</v>
      </c>
      <c r="F52" s="16">
        <f t="shared" si="5"/>
        <v>5.2665877977024246E-4</v>
      </c>
      <c r="G52" s="16">
        <f t="shared" si="3"/>
        <v>3.6221679790105285E-4</v>
      </c>
      <c r="K52"/>
    </row>
    <row r="53" spans="3:11" ht="16.5" x14ac:dyDescent="0.3">
      <c r="C53" s="1">
        <f>Markov!C48</f>
        <v>22</v>
      </c>
      <c r="D53" s="16">
        <f t="shared" si="6"/>
        <v>3.2571301268933981</v>
      </c>
      <c r="E53" s="16">
        <f t="shared" si="4"/>
        <v>8.5040997971454148E-4</v>
      </c>
      <c r="F53" s="16">
        <f t="shared" si="5"/>
        <v>5.0386791298086589E-4</v>
      </c>
      <c r="G53" s="16">
        <f t="shared" si="3"/>
        <v>3.4654206673367564E-4</v>
      </c>
      <c r="K53"/>
    </row>
    <row r="54" spans="3:11" ht="16.5" x14ac:dyDescent="0.3">
      <c r="C54" s="1">
        <f>Markov!C49</f>
        <v>23</v>
      </c>
      <c r="D54" s="16">
        <f t="shared" si="6"/>
        <v>3.3385546237499466</v>
      </c>
      <c r="E54" s="16">
        <f t="shared" si="4"/>
        <v>8.1424496856548508E-4</v>
      </c>
      <c r="F54" s="16">
        <f t="shared" si="5"/>
        <v>4.8244014387504994E-4</v>
      </c>
      <c r="G54" s="16">
        <f t="shared" si="3"/>
        <v>3.3180482469043513E-4</v>
      </c>
      <c r="K54"/>
    </row>
    <row r="55" spans="3:11" ht="16.5" x14ac:dyDescent="0.3">
      <c r="C55" s="1">
        <f>Markov!C50</f>
        <v>24</v>
      </c>
      <c r="D55" s="16">
        <f t="shared" si="6"/>
        <v>3.416575963254723</v>
      </c>
      <c r="E55" s="16">
        <f t="shared" si="4"/>
        <v>7.8021339504776412E-4</v>
      </c>
      <c r="F55" s="16">
        <f t="shared" si="5"/>
        <v>4.6227643656580024E-4</v>
      </c>
      <c r="G55" s="16">
        <f t="shared" si="3"/>
        <v>3.1793695848196388E-4</v>
      </c>
      <c r="K55"/>
    </row>
    <row r="56" spans="3:11" ht="16.5" x14ac:dyDescent="0.3">
      <c r="C56" s="1">
        <f>Markov!C51</f>
        <v>25</v>
      </c>
      <c r="D56" s="16">
        <f t="shared" si="6"/>
        <v>3.4913920980798241</v>
      </c>
      <c r="E56" s="16">
        <f t="shared" si="4"/>
        <v>7.4816134825101072E-4</v>
      </c>
      <c r="F56" s="16">
        <f t="shared" si="5"/>
        <v>4.4328559883872386E-4</v>
      </c>
      <c r="G56" s="16">
        <f t="shared" si="3"/>
        <v>3.0487574941228686E-4</v>
      </c>
      <c r="K56"/>
    </row>
    <row r="57" spans="3:11" ht="16.5" x14ac:dyDescent="0.3">
      <c r="C57" s="1">
        <f>Markov!C52</f>
        <v>26</v>
      </c>
      <c r="D57" s="16">
        <f t="shared" si="6"/>
        <v>3.5631868192760527</v>
      </c>
      <c r="E57" s="16">
        <f t="shared" si="4"/>
        <v>7.1794721196228651E-4</v>
      </c>
      <c r="F57" s="16">
        <f t="shared" si="5"/>
        <v>4.2538372308765479E-4</v>
      </c>
      <c r="G57" s="16">
        <f t="shared" si="3"/>
        <v>2.9256348887463172E-4</v>
      </c>
      <c r="K57"/>
    </row>
    <row r="58" spans="3:11" ht="16.5" x14ac:dyDescent="0.3">
      <c r="C58" s="1">
        <f>Markov!C53</f>
        <v>27</v>
      </c>
      <c r="D58" s="16">
        <f t="shared" si="6"/>
        <v>3.632130892248878</v>
      </c>
      <c r="E58" s="16">
        <f t="shared" si="4"/>
        <v>6.8944072972825237E-4</v>
      </c>
      <c r="F58" s="16">
        <f t="shared" si="5"/>
        <v>4.0849363236398952E-4</v>
      </c>
      <c r="G58" s="16">
        <f t="shared" si="3"/>
        <v>2.8094709736426284E-4</v>
      </c>
      <c r="K58"/>
    </row>
    <row r="59" spans="3:11" ht="16.5" x14ac:dyDescent="0.3">
      <c r="C59" s="1">
        <f>Markov!C54</f>
        <v>28</v>
      </c>
      <c r="D59" s="16">
        <f t="shared" si="6"/>
        <v>3.6983831024883442</v>
      </c>
      <c r="E59" s="16">
        <f t="shared" si="4"/>
        <v>6.6252210239466254E-4</v>
      </c>
      <c r="F59" s="16">
        <f t="shared" si="5"/>
        <v>3.9254434566883756E-4</v>
      </c>
      <c r="G59" s="16">
        <f t="shared" si="3"/>
        <v>2.6997775672582498E-4</v>
      </c>
      <c r="K59"/>
    </row>
    <row r="60" spans="3:11" ht="16.5" x14ac:dyDescent="0.3">
      <c r="C60" s="1">
        <f>Markov!C55</f>
        <v>29</v>
      </c>
      <c r="D60" s="16">
        <f t="shared" si="6"/>
        <v>3.7620912156998325</v>
      </c>
      <c r="E60" s="16">
        <f t="shared" si="4"/>
        <v>6.3708113211488279E-4</v>
      </c>
      <c r="F60" s="16">
        <f t="shared" si="5"/>
        <v>3.7747057077806807E-4</v>
      </c>
      <c r="G60" s="16">
        <f t="shared" si="3"/>
        <v>2.5961056133681472E-4</v>
      </c>
      <c r="K60"/>
    </row>
    <row r="61" spans="3:11" ht="16.5" x14ac:dyDescent="0.3">
      <c r="C61" s="1">
        <f>Markov!C56</f>
        <v>30</v>
      </c>
      <c r="D61" s="16">
        <f t="shared" si="6"/>
        <v>3.823392857726239</v>
      </c>
      <c r="E61" s="16">
        <f t="shared" si="4"/>
        <v>6.1301642026406538E-4</v>
      </c>
      <c r="F61" s="16">
        <f t="shared" si="5"/>
        <v>3.6321222900645878E-4</v>
      </c>
      <c r="G61" s="16">
        <f t="shared" si="3"/>
        <v>2.498041912576066E-4</v>
      </c>
      <c r="K61"/>
    </row>
    <row r="62" spans="3:11" ht="16.5" x14ac:dyDescent="0.3">
      <c r="C62" s="1">
        <f>Markov!C57</f>
        <v>31</v>
      </c>
      <c r="D62" s="16">
        <f t="shared" si="6"/>
        <v>3.8824163199630917</v>
      </c>
      <c r="E62" s="16">
        <f t="shared" si="4"/>
        <v>5.9023462236852621E-4</v>
      </c>
      <c r="F62" s="16">
        <f t="shared" si="5"/>
        <v>3.497140137533518E-4</v>
      </c>
      <c r="G62" s="16">
        <f t="shared" si="3"/>
        <v>2.4052060861517441E-4</v>
      </c>
      <c r="K62"/>
    </row>
    <row r="63" spans="3:11" ht="16.5" x14ac:dyDescent="0.3">
      <c r="C63" s="1">
        <f>Markov!C58</f>
        <v>32</v>
      </c>
      <c r="D63" s="16">
        <f t="shared" si="6"/>
        <v>3.9392812959977492</v>
      </c>
      <c r="E63" s="16">
        <f t="shared" si="4"/>
        <v>5.686497603465757E-4</v>
      </c>
      <c r="F63" s="16">
        <f t="shared" si="5"/>
        <v>3.3692498300534612E-4</v>
      </c>
      <c r="G63" s="16">
        <f t="shared" si="3"/>
        <v>2.3172477734122957E-4</v>
      </c>
      <c r="K63"/>
    </row>
    <row r="64" spans="3:11" ht="16.5" x14ac:dyDescent="0.3">
      <c r="C64" s="1">
        <f>Markov!C59</f>
        <v>33</v>
      </c>
      <c r="D64" s="16">
        <f t="shared" si="6"/>
        <v>3.9940995550551879</v>
      </c>
      <c r="E64" s="16">
        <f t="shared" si="4"/>
        <v>5.4818259057438641E-4</v>
      </c>
      <c r="F64" s="16">
        <f t="shared" si="5"/>
        <v>3.24798184915324E-4</v>
      </c>
      <c r="G64" s="16">
        <f t="shared" ref="G64:G95" si="7">(E64)*(i_Adv_DSWI/100)</f>
        <v>2.2338440565906244E-4</v>
      </c>
      <c r="K64"/>
    </row>
    <row r="65" spans="3:11" ht="16.5" x14ac:dyDescent="0.3">
      <c r="C65" s="1">
        <f>Markov!C60</f>
        <v>34</v>
      </c>
      <c r="D65" s="16">
        <f t="shared" si="6"/>
        <v>4.0469755575755233</v>
      </c>
      <c r="E65" s="16">
        <f t="shared" si="4"/>
        <v>5.2876002520335424E-4</v>
      </c>
      <c r="F65" s="16">
        <f t="shared" si="5"/>
        <v>3.1329031493298738E-4</v>
      </c>
      <c r="G65" s="16">
        <f t="shared" si="7"/>
        <v>2.1546971027036683E-4</v>
      </c>
      <c r="K65"/>
    </row>
    <row r="66" spans="3:11" ht="16.5" x14ac:dyDescent="0.3">
      <c r="C66" s="1">
        <f>Markov!C61</f>
        <v>35</v>
      </c>
      <c r="D66" s="16">
        <f t="shared" si="6"/>
        <v>4.0980070179299677</v>
      </c>
      <c r="E66" s="16">
        <f t="shared" si="4"/>
        <v>5.1031460354444391E-4</v>
      </c>
      <c r="F66" s="16">
        <f t="shared" si="5"/>
        <v>3.0236140260008306E-4</v>
      </c>
      <c r="G66" s="16">
        <f t="shared" si="7"/>
        <v>2.0795320094436087E-4</v>
      </c>
      <c r="K66"/>
    </row>
    <row r="67" spans="3:11" ht="16.5" x14ac:dyDescent="0.3">
      <c r="C67" s="1">
        <f>Markov!C62</f>
        <v>36</v>
      </c>
      <c r="D67" s="16">
        <f t="shared" si="6"/>
        <v>4.1472854189338006</v>
      </c>
      <c r="E67" s="16">
        <f t="shared" si="4"/>
        <v>4.9278401003832956E-4</v>
      </c>
      <c r="F67" s="16">
        <f t="shared" si="5"/>
        <v>2.9197452594771026E-4</v>
      </c>
      <c r="G67" s="16">
        <f t="shared" si="7"/>
        <v>2.0080948409061927E-4</v>
      </c>
      <c r="K67"/>
    </row>
    <row r="68" spans="3:11" ht="16.5" x14ac:dyDescent="0.3">
      <c r="C68" s="1">
        <f>Markov!C63</f>
        <v>37</v>
      </c>
      <c r="D68" s="16">
        <f t="shared" si="6"/>
        <v>4.1948964824582804</v>
      </c>
      <c r="E68" s="16">
        <f t="shared" si="4"/>
        <v>4.7611063524479749E-4</v>
      </c>
      <c r="F68" s="16">
        <f t="shared" si="5"/>
        <v>2.8209555138254249E-4</v>
      </c>
      <c r="G68" s="16">
        <f t="shared" si="7"/>
        <v>1.9401508386225497E-4</v>
      </c>
      <c r="K68"/>
    </row>
    <row r="69" spans="3:11" ht="16.5" x14ac:dyDescent="0.3">
      <c r="C69" s="1">
        <f>Markov!C64</f>
        <v>38</v>
      </c>
      <c r="D69" s="16">
        <f t="shared" si="6"/>
        <v>4.2409206000918687</v>
      </c>
      <c r="E69" s="16">
        <f t="shared" si="4"/>
        <v>4.602411763358827E-4</v>
      </c>
      <c r="F69" s="16">
        <f t="shared" si="5"/>
        <v>2.7269289697901054E-4</v>
      </c>
      <c r="G69" s="16">
        <f t="shared" si="7"/>
        <v>1.8754827935687219E-4</v>
      </c>
      <c r="K69"/>
    </row>
    <row r="70" spans="3:11" ht="16.5" x14ac:dyDescent="0.3">
      <c r="C70" s="1">
        <f>Markov!C65</f>
        <v>39</v>
      </c>
      <c r="D70" s="16">
        <f t="shared" si="6"/>
        <v>4.285433227463078</v>
      </c>
      <c r="E70" s="16">
        <f t="shared" si="4"/>
        <v>4.4512627371209315E-4</v>
      </c>
      <c r="F70" s="16">
        <f t="shared" si="5"/>
        <v>2.637373171744152E-4</v>
      </c>
      <c r="G70" s="16">
        <f t="shared" si="7"/>
        <v>1.8138895653767794E-4</v>
      </c>
      <c r="K70"/>
    </row>
    <row r="71" spans="3:11" ht="16.5" x14ac:dyDescent="0.3">
      <c r="C71" s="1">
        <f>Markov!C66</f>
        <v>40</v>
      </c>
      <c r="D71" s="16">
        <f t="shared" si="6"/>
        <v>4.3285052455179196</v>
      </c>
      <c r="E71" s="16">
        <f t="shared" si="4"/>
        <v>4.3072018054841622E-4</v>
      </c>
      <c r="F71" s="16">
        <f t="shared" si="5"/>
        <v>2.5520170697493664E-4</v>
      </c>
      <c r="G71" s="16">
        <f t="shared" si="7"/>
        <v>1.7551847357347961E-4</v>
      </c>
      <c r="K71"/>
    </row>
    <row r="72" spans="3:11" ht="16.5" x14ac:dyDescent="0.3">
      <c r="C72" s="1">
        <f>Markov!C67</f>
        <v>41</v>
      </c>
      <c r="D72" s="16">
        <f t="shared" si="6"/>
        <v>4.3702032917467699</v>
      </c>
      <c r="E72" s="16">
        <f t="shared" si="4"/>
        <v>4.1698046228850317E-4</v>
      </c>
      <c r="F72" s="16">
        <f t="shared" si="5"/>
        <v>2.4706092390593815E-4</v>
      </c>
      <c r="G72" s="16">
        <f t="shared" si="7"/>
        <v>1.6991953838256502E-4</v>
      </c>
      <c r="K72"/>
    </row>
    <row r="73" spans="3:11" ht="16.5" x14ac:dyDescent="0.3">
      <c r="C73" s="1">
        <f>Markov!C68</f>
        <v>42</v>
      </c>
      <c r="D73" s="16">
        <f t="shared" si="6"/>
        <v>4.4105900640798401</v>
      </c>
      <c r="E73" s="16">
        <f t="shared" si="4"/>
        <v>4.03867723330702E-4</v>
      </c>
      <c r="F73" s="16">
        <f t="shared" si="5"/>
        <v>2.3929162607344096E-4</v>
      </c>
      <c r="G73" s="16">
        <f t="shared" si="7"/>
        <v>1.6457609725726105E-4</v>
      </c>
      <c r="K73"/>
    </row>
    <row r="74" spans="3:11" ht="16.5" x14ac:dyDescent="0.3">
      <c r="C74" s="1">
        <f>Markov!C69</f>
        <v>43</v>
      </c>
      <c r="D74" s="16">
        <f t="shared" si="6"/>
        <v>4.4497245999170687</v>
      </c>
      <c r="E74" s="16">
        <f t="shared" si="4"/>
        <v>3.9134535837228592E-4</v>
      </c>
      <c r="F74" s="16">
        <f t="shared" si="5"/>
        <v>2.3187212483557942E-4</v>
      </c>
      <c r="G74" s="16">
        <f t="shared" si="7"/>
        <v>1.594732335367065E-4</v>
      </c>
      <c r="K74"/>
    </row>
    <row r="75" spans="3:11" ht="16.5" x14ac:dyDescent="0.3">
      <c r="C75" s="1">
        <f>Markov!C70</f>
        <v>44</v>
      </c>
      <c r="D75" s="16">
        <f t="shared" si="6"/>
        <v>4.4876625325267554</v>
      </c>
      <c r="E75" s="16">
        <f t="shared" si="4"/>
        <v>3.7937932609686696E-4</v>
      </c>
      <c r="F75" s="16">
        <f t="shared" si="5"/>
        <v>2.2478225071239369E-4</v>
      </c>
      <c r="G75" s="16">
        <f t="shared" si="7"/>
        <v>1.5459707538447326E-4</v>
      </c>
      <c r="K75"/>
    </row>
    <row r="76" spans="3:11" ht="16.5" x14ac:dyDescent="0.3">
      <c r="C76" s="1">
        <f>Markov!C71</f>
        <v>45</v>
      </c>
      <c r="D76" s="16">
        <f t="shared" si="6"/>
        <v>4.5244563268363969</v>
      </c>
      <c r="E76" s="16">
        <f t="shared" si="4"/>
        <v>3.6793794309641469E-4</v>
      </c>
      <c r="F76" s="16">
        <f t="shared" si="5"/>
        <v>2.1800323128462571E-4</v>
      </c>
      <c r="G76" s="16">
        <f t="shared" si="7"/>
        <v>1.4993471181178899E-4</v>
      </c>
      <c r="K76"/>
    </row>
    <row r="77" spans="3:11" ht="16.5" x14ac:dyDescent="0.3">
      <c r="C77" s="1">
        <f>Markov!C72</f>
        <v>46</v>
      </c>
      <c r="D77" s="16">
        <f t="shared" si="6"/>
        <v>4.5601554964477931</v>
      </c>
      <c r="E77" s="16">
        <f t="shared" si="4"/>
        <v>3.5699169611396185E-4</v>
      </c>
      <c r="F77" s="16">
        <f t="shared" si="5"/>
        <v>2.1151757994752242E-4</v>
      </c>
      <c r="G77" s="16">
        <f t="shared" si="7"/>
        <v>1.4547411616643943E-4</v>
      </c>
      <c r="K77"/>
    </row>
    <row r="78" spans="3:11" ht="16.5" x14ac:dyDescent="0.3">
      <c r="C78" s="1">
        <f>Markov!C73</f>
        <v>47</v>
      </c>
      <c r="D78" s="16">
        <f t="shared" si="6"/>
        <v>4.5948068035350076</v>
      </c>
      <c r="E78" s="16">
        <f t="shared" si="4"/>
        <v>3.4651307087214535E-4</v>
      </c>
      <c r="F78" s="16">
        <f t="shared" si="5"/>
        <v>2.0530899449174614E-4</v>
      </c>
      <c r="G78" s="16">
        <f t="shared" si="7"/>
        <v>1.4120407638039921E-4</v>
      </c>
      <c r="K78"/>
    </row>
    <row r="79" spans="3:11" ht="16.5" x14ac:dyDescent="0.3">
      <c r="C79" s="1">
        <f>Markov!C74</f>
        <v>48</v>
      </c>
      <c r="D79" s="16">
        <f t="shared" si="6"/>
        <v>4.6284544431269659</v>
      </c>
      <c r="E79" s="16">
        <f t="shared" si="4"/>
        <v>3.3647639591958265E-4</v>
      </c>
      <c r="F79" s="16">
        <f t="shared" si="5"/>
        <v>1.9936226458235274E-4</v>
      </c>
      <c r="G79" s="16">
        <f t="shared" si="7"/>
        <v>1.3711413133722991E-4</v>
      </c>
      <c r="K79"/>
    </row>
    <row r="80" spans="3:11" ht="16.5" x14ac:dyDescent="0.3">
      <c r="C80" s="1">
        <f>Markov!C75</f>
        <v>49</v>
      </c>
      <c r="D80" s="16">
        <f t="shared" si="6"/>
        <v>4.6611402131346855</v>
      </c>
      <c r="E80" s="16">
        <f t="shared" si="4"/>
        <v>3.2685770007719663E-4</v>
      </c>
      <c r="F80" s="16">
        <f t="shared" si="5"/>
        <v>1.9366318729573901E-4</v>
      </c>
      <c r="G80" s="16">
        <f t="shared" si="7"/>
        <v>1.3319451278145762E-4</v>
      </c>
      <c r="K80"/>
    </row>
    <row r="81" spans="3:11" ht="16.5" x14ac:dyDescent="0.3">
      <c r="C81" s="1">
        <f>Markov!C76</f>
        <v>50</v>
      </c>
      <c r="D81" s="16">
        <f t="shared" si="6"/>
        <v>4.6929036713552748</v>
      </c>
      <c r="E81" s="16">
        <f t="shared" si="4"/>
        <v>3.1763458220589234E-4</v>
      </c>
      <c r="F81" s="16">
        <f t="shared" si="5"/>
        <v>1.8819848995699123E-4</v>
      </c>
      <c r="G81" s="16">
        <f t="shared" si="7"/>
        <v>1.2943609224890112E-4</v>
      </c>
      <c r="K81"/>
    </row>
    <row r="82" spans="3:11" ht="16.5" x14ac:dyDescent="0.3">
      <c r="C82" s="1">
        <f>Markov!C77</f>
        <v>51</v>
      </c>
      <c r="D82" s="16">
        <f t="shared" si="6"/>
        <v>4.7237822805693366</v>
      </c>
      <c r="E82" s="16">
        <f t="shared" si="4"/>
        <v>3.0878609214061824E-4</v>
      </c>
      <c r="F82" s="16">
        <f t="shared" si="5"/>
        <v>1.8295575959331631E-4</v>
      </c>
      <c r="G82" s="16">
        <f t="shared" si="7"/>
        <v>1.2583033254730193E-4</v>
      </c>
      <c r="K82"/>
    </row>
    <row r="83" spans="3:11" ht="16.5" x14ac:dyDescent="0.3">
      <c r="C83" s="1">
        <f>Markov!C78</f>
        <v>52</v>
      </c>
      <c r="D83" s="16">
        <f t="shared" si="6"/>
        <v>4.7538115427443843</v>
      </c>
      <c r="E83" s="16">
        <f t="shared" si="4"/>
        <v>3.0029262175047756E-4</v>
      </c>
      <c r="F83" s="16">
        <f t="shared" si="5"/>
        <v>1.7792337838715798E-4</v>
      </c>
      <c r="G83" s="16">
        <f t="shared" si="7"/>
        <v>1.2236924336331959E-4</v>
      </c>
      <c r="K83"/>
    </row>
    <row r="84" spans="3:11" ht="16.5" x14ac:dyDescent="0.3">
      <c r="C84" s="1">
        <f>Markov!C79</f>
        <v>53</v>
      </c>
      <c r="D84" s="16">
        <f t="shared" si="6"/>
        <v>4.783025123262922</v>
      </c>
      <c r="E84" s="16">
        <f t="shared" si="4"/>
        <v>2.9213580518537617E-4</v>
      </c>
      <c r="F84" s="16">
        <f t="shared" si="5"/>
        <v>1.7309046457233539E-4</v>
      </c>
      <c r="G84" s="16">
        <f t="shared" si="7"/>
        <v>1.1904534061304078E-4</v>
      </c>
      <c r="K84"/>
    </row>
    <row r="85" spans="3:11" ht="16.5" x14ac:dyDescent="0.3">
      <c r="C85" s="1">
        <f>Markov!C80</f>
        <v>54</v>
      </c>
      <c r="D85" s="16">
        <f t="shared" si="6"/>
        <v>4.8114549660092196</v>
      </c>
      <c r="E85" s="16">
        <f t="shared" si="4"/>
        <v>2.8429842746297674E-4</v>
      </c>
      <c r="F85" s="16">
        <f t="shared" si="5"/>
        <v>1.6844681827181374E-4</v>
      </c>
      <c r="G85" s="16">
        <f t="shared" si="7"/>
        <v>1.1585160919116301E-4</v>
      </c>
      <c r="K85"/>
    </row>
    <row r="86" spans="3:11" ht="16.5" x14ac:dyDescent="0.3">
      <c r="C86" s="1">
        <f>Markov!C81</f>
        <v>55</v>
      </c>
      <c r="D86" s="16">
        <f t="shared" si="6"/>
        <v>4.8391314000723957</v>
      </c>
      <c r="E86" s="16">
        <f t="shared" si="4"/>
        <v>2.7676434063176101E-4</v>
      </c>
      <c r="F86" s="16">
        <f t="shared" si="5"/>
        <v>1.639828718243184E-4</v>
      </c>
      <c r="G86" s="16">
        <f t="shared" si="7"/>
        <v>1.127814688074426E-4</v>
      </c>
      <c r="K86"/>
    </row>
    <row r="87" spans="3:11" ht="16.5" x14ac:dyDescent="0.3">
      <c r="C87" s="1">
        <f>Markov!C82</f>
        <v>56</v>
      </c>
      <c r="D87" s="16">
        <f t="shared" si="6"/>
        <v>4.8660832387545101</v>
      </c>
      <c r="E87" s="16">
        <f t="shared" si="4"/>
        <v>2.695183868211437E-4</v>
      </c>
      <c r="F87" s="16">
        <f t="shared" si="5"/>
        <v>1.5968964419152764E-4</v>
      </c>
      <c r="G87" s="16">
        <f t="shared" si="7"/>
        <v>1.0982874262961605E-4</v>
      </c>
      <c r="K87"/>
    </row>
    <row r="88" spans="3:11" ht="16.5" x14ac:dyDescent="0.3">
      <c r="C88" s="1">
        <f>Markov!C83</f>
        <v>57</v>
      </c>
      <c r="D88" s="16">
        <f t="shared" si="6"/>
        <v>4.8923378715101675</v>
      </c>
      <c r="E88" s="16">
        <f t="shared" si="4"/>
        <v>2.6254632755657426E-4</v>
      </c>
      <c r="F88" s="16">
        <f t="shared" si="5"/>
        <v>1.5555869907727025E-4</v>
      </c>
      <c r="G88" s="16">
        <f t="shared" si="7"/>
        <v>1.0698762847930401E-4</v>
      </c>
      <c r="K88"/>
    </row>
    <row r="89" spans="3:11" ht="16.5" x14ac:dyDescent="0.3">
      <c r="C89" s="1">
        <f>Markov!C84</f>
        <v>58</v>
      </c>
      <c r="D89" s="16">
        <f t="shared" si="6"/>
        <v>4.9179213493879486</v>
      </c>
      <c r="E89" s="16">
        <f t="shared" si="4"/>
        <v>2.5583477877781034E-4</v>
      </c>
      <c r="F89" s="16">
        <f t="shared" si="5"/>
        <v>1.5158210642585263E-4</v>
      </c>
      <c r="G89" s="16">
        <f t="shared" si="7"/>
        <v>1.0425267235195771E-4</v>
      </c>
      <c r="K89"/>
    </row>
    <row r="90" spans="3:11" ht="16.5" x14ac:dyDescent="0.3">
      <c r="C90" s="1">
        <f>Markov!C85</f>
        <v>59</v>
      </c>
      <c r="D90" s="16">
        <f t="shared" si="6"/>
        <v>4.9428584644932121</v>
      </c>
      <c r="E90" s="16">
        <f t="shared" si="4"/>
        <v>2.4937115105263532E-4</v>
      </c>
      <c r="F90" s="16">
        <f t="shared" si="5"/>
        <v>1.4775240699868645E-4</v>
      </c>
      <c r="G90" s="16">
        <f t="shared" si="7"/>
        <v>1.0161874405394888E-4</v>
      </c>
      <c r="K90"/>
    </row>
    <row r="91" spans="3:11" ht="16.5" x14ac:dyDescent="0.3">
      <c r="C91" s="1">
        <f>Markov!C86</f>
        <v>60</v>
      </c>
      <c r="D91" s="16">
        <f t="shared" si="6"/>
        <v>4.9671728239459583</v>
      </c>
      <c r="E91" s="16">
        <f t="shared" si="4"/>
        <v>2.4314359452746182E-4</v>
      </c>
      <c r="F91" s="16">
        <f t="shared" si="5"/>
        <v>1.4406257975752113E-4</v>
      </c>
      <c r="G91" s="16">
        <f t="shared" si="7"/>
        <v>9.9081014769940691E-5</v>
      </c>
      <c r="K91"/>
    </row>
    <row r="92" spans="3:11" ht="16.5" x14ac:dyDescent="0.3">
      <c r="C92" s="1">
        <f>Markov!C87</f>
        <v>61</v>
      </c>
      <c r="D92" s="16">
        <f t="shared" si="6"/>
        <v>4.9908869187659182</v>
      </c>
      <c r="E92" s="16">
        <f t="shared" si="4"/>
        <v>2.3714094819959897E-4</v>
      </c>
      <c r="F92" s="16">
        <f t="shared" si="5"/>
        <v>1.4050601180826239E-4</v>
      </c>
      <c r="G92" s="16">
        <f t="shared" si="7"/>
        <v>9.6634936391336578E-5</v>
      </c>
      <c r="K92"/>
    </row>
    <row r="93" spans="3:11" ht="16.5" x14ac:dyDescent="0.3">
      <c r="C93" s="1">
        <f>Markov!C88</f>
        <v>62</v>
      </c>
      <c r="D93" s="16">
        <f t="shared" si="6"/>
        <v>5.0140221880794691</v>
      </c>
      <c r="E93" s="16">
        <f t="shared" si="4"/>
        <v>2.3135269313550921E-4</v>
      </c>
      <c r="F93" s="16">
        <f t="shared" si="5"/>
        <v>1.3707647068278921E-4</v>
      </c>
      <c r="G93" s="16">
        <f t="shared" si="7"/>
        <v>9.4276222452719998E-5</v>
      </c>
      <c r="K93"/>
    </row>
    <row r="94" spans="3:11" ht="16.5" x14ac:dyDescent="0.3">
      <c r="C94" s="1">
        <f>Markov!C89</f>
        <v>63</v>
      </c>
      <c r="D94" s="16">
        <f t="shared" si="6"/>
        <v>5.036599079008961</v>
      </c>
      <c r="E94" s="16">
        <f t="shared" si="4"/>
        <v>2.2576890929491887E-4</v>
      </c>
      <c r="F94" s="16">
        <f t="shared" si="5"/>
        <v>1.3376807875723943E-4</v>
      </c>
      <c r="G94" s="16">
        <f t="shared" si="7"/>
        <v>9.2000830537679429E-5</v>
      </c>
      <c r="K94"/>
    </row>
    <row r="95" spans="3:11" ht="16.5" x14ac:dyDescent="0.3">
      <c r="C95" s="1">
        <f>Markov!C90</f>
        <v>64</v>
      </c>
      <c r="D95" s="16">
        <f t="shared" si="6"/>
        <v>5.0586371025742052</v>
      </c>
      <c r="E95" s="16">
        <f t="shared" si="4"/>
        <v>2.2038023565244203E-4</v>
      </c>
      <c r="F95" s="16">
        <f t="shared" si="5"/>
        <v>1.3057528962407192E-4</v>
      </c>
      <c r="G95" s="16">
        <f t="shared" si="7"/>
        <v>8.9804946028370126E-5</v>
      </c>
      <c r="K95"/>
    </row>
    <row r="96" spans="3:11" ht="16.5" x14ac:dyDescent="0.3">
      <c r="C96" s="1">
        <f>Markov!C91</f>
        <v>65</v>
      </c>
      <c r="D96" s="16">
        <f t="shared" si="6"/>
        <v>5.0801548859078887</v>
      </c>
      <c r="E96" s="16">
        <f t="shared" si="4"/>
        <v>2.1517783333683483E-4</v>
      </c>
      <c r="F96" s="16">
        <f t="shared" si="5"/>
        <v>1.2749286625207465E-4</v>
      </c>
      <c r="G96" s="16">
        <f t="shared" ref="G96:G127" si="8">(E96)*(i_Adv_DSWI/100)</f>
        <v>8.7684967084760183E-5</v>
      </c>
      <c r="K96"/>
    </row>
    <row r="97" spans="3:11" ht="16.5" x14ac:dyDescent="0.3">
      <c r="C97" s="1">
        <f>Markov!C92</f>
        <v>66</v>
      </c>
      <c r="D97" s="16">
        <f t="shared" si="6"/>
        <v>5.1011702210613263</v>
      </c>
      <c r="E97" s="16">
        <f t="shared" ref="E97:E141" si="9">(D97-D96)/100</f>
        <v>2.1015335153437675E-4</v>
      </c>
      <c r="F97" s="16">
        <f t="shared" ref="F97:F141" si="10">E97-G97</f>
        <v>1.2451586078411823E-4</v>
      </c>
      <c r="G97" s="16">
        <f t="shared" si="8"/>
        <v>8.5637490750258526E-5</v>
      </c>
      <c r="K97"/>
    </row>
    <row r="98" spans="3:11" ht="16.5" x14ac:dyDescent="0.3">
      <c r="C98" s="1">
        <f>Markov!C93</f>
        <v>67</v>
      </c>
      <c r="D98" s="16">
        <f t="shared" si="6"/>
        <v>5.1217001106538911</v>
      </c>
      <c r="E98" s="16">
        <f t="shared" si="9"/>
        <v>2.0529889592564742E-4</v>
      </c>
      <c r="F98" s="16">
        <f t="shared" si="10"/>
        <v>1.216395958359461E-4</v>
      </c>
      <c r="G98" s="16">
        <f t="shared" si="8"/>
        <v>8.3659300089701318E-5</v>
      </c>
      <c r="K98"/>
    </row>
    <row r="99" spans="3:11" ht="16.5" x14ac:dyDescent="0.3">
      <c r="C99" s="1">
        <f>Markov!C94</f>
        <v>68</v>
      </c>
      <c r="D99" s="16">
        <f t="shared" si="6"/>
        <v>5.1417608105984867</v>
      </c>
      <c r="E99" s="16">
        <f t="shared" si="9"/>
        <v>2.0060699944595583E-4</v>
      </c>
      <c r="F99" s="16">
        <f t="shared" si="10"/>
        <v>1.1885964717172884E-4</v>
      </c>
      <c r="G99" s="16">
        <f t="shared" si="8"/>
        <v>8.1747352274226989E-5</v>
      </c>
      <c r="K99"/>
    </row>
    <row r="100" spans="3:11" ht="16.5" x14ac:dyDescent="0.3">
      <c r="C100" s="1">
        <f>Markov!C95</f>
        <v>69</v>
      </c>
      <c r="D100" s="16">
        <f t="shared" si="6"/>
        <v>5.1613678701164378</v>
      </c>
      <c r="E100" s="16">
        <f t="shared" si="9"/>
        <v>1.9607059517951164E-4</v>
      </c>
      <c r="F100" s="16">
        <f t="shared" si="10"/>
        <v>1.1617182764386065E-4</v>
      </c>
      <c r="G100" s="16">
        <f t="shared" si="8"/>
        <v>7.9898767535650989E-5</v>
      </c>
      <c r="K100"/>
    </row>
    <row r="101" spans="3:11" ht="16.5" x14ac:dyDescent="0.3">
      <c r="C101" s="1">
        <f>Markov!C96</f>
        <v>70</v>
      </c>
      <c r="D101" s="16">
        <f t="shared" si="6"/>
        <v>5.1805361692377332</v>
      </c>
      <c r="E101" s="16">
        <f t="shared" si="9"/>
        <v>1.9168299121295363E-4</v>
      </c>
      <c r="F101" s="16">
        <f t="shared" si="10"/>
        <v>1.1357217229367503E-4</v>
      </c>
      <c r="G101" s="16">
        <f t="shared" si="8"/>
        <v>7.8110818919278603E-5</v>
      </c>
      <c r="K101"/>
    </row>
    <row r="102" spans="3:11" ht="16.5" x14ac:dyDescent="0.3">
      <c r="C102" s="1">
        <f>Markov!C97</f>
        <v>71</v>
      </c>
      <c r="D102" s="16">
        <f t="shared" si="6"/>
        <v>5.19927995396682</v>
      </c>
      <c r="E102" s="16">
        <f t="shared" si="9"/>
        <v>1.8743784729086777E-4</v>
      </c>
      <c r="F102" s="16">
        <f t="shared" si="10"/>
        <v>1.1105692451983916E-4</v>
      </c>
      <c r="G102" s="16">
        <f t="shared" si="8"/>
        <v>7.6380922771028612E-5</v>
      </c>
      <c r="K102"/>
    </row>
    <row r="103" spans="3:11" ht="16.5" x14ac:dyDescent="0.3">
      <c r="C103" s="1">
        <f>Markov!C98</f>
        <v>72</v>
      </c>
      <c r="D103" s="16">
        <f t="shared" si="6"/>
        <v>5.2176128692797104</v>
      </c>
      <c r="E103" s="16">
        <f t="shared" si="9"/>
        <v>1.8332915312890385E-4</v>
      </c>
      <c r="F103" s="16">
        <f t="shared" si="10"/>
        <v>1.0862252322887554E-4</v>
      </c>
      <c r="G103" s="16">
        <f t="shared" si="8"/>
        <v>7.4706629900028309E-5</v>
      </c>
      <c r="K103"/>
    </row>
    <row r="104" spans="3:11" ht="16.5" x14ac:dyDescent="0.3">
      <c r="C104" s="1">
        <f>Markov!C99</f>
        <v>73</v>
      </c>
      <c r="D104" s="16">
        <f t="shared" ref="D104:D141" si="11">($X$10+(($X$11*POWER(C104,$X$12))/(POWER($X$13,$X$12)+POWER(C104,$X$12))))*$G$29</f>
        <v>5.2355479901050188</v>
      </c>
      <c r="E104" s="16">
        <f t="shared" si="9"/>
        <v>1.793512082530846E-4</v>
      </c>
      <c r="F104" s="16">
        <f t="shared" si="10"/>
        <v>1.0626559088995264E-4</v>
      </c>
      <c r="G104" s="16">
        <f t="shared" si="8"/>
        <v>7.3085617363131966E-5</v>
      </c>
      <c r="K104"/>
    </row>
    <row r="105" spans="3:11" ht="16.5" x14ac:dyDescent="0.3">
      <c r="C105" s="1">
        <f>Markov!C100</f>
        <v>74</v>
      </c>
      <c r="D105" s="16">
        <f t="shared" si="11"/>
        <v>5.2530978504295716</v>
      </c>
      <c r="E105" s="16">
        <f t="shared" si="9"/>
        <v>1.7549860324552746E-4</v>
      </c>
      <c r="F105" s="16">
        <f t="shared" si="10"/>
        <v>1.0398292242297502E-4</v>
      </c>
      <c r="G105" s="16">
        <f t="shared" si="8"/>
        <v>7.1515680822552437E-5</v>
      </c>
      <c r="K105"/>
    </row>
    <row r="106" spans="3:11" ht="16.5" x14ac:dyDescent="0.3">
      <c r="C106" s="1">
        <f>Markov!C101</f>
        <v>75</v>
      </c>
      <c r="D106" s="16">
        <f t="shared" si="11"/>
        <v>5.2702744706582214</v>
      </c>
      <c r="E106" s="16">
        <f t="shared" si="9"/>
        <v>1.7176620228649851E-4</v>
      </c>
      <c r="F106" s="16">
        <f t="shared" si="10"/>
        <v>1.0177147485475037E-4</v>
      </c>
      <c r="G106" s="16">
        <f t="shared" si="8"/>
        <v>6.9994727431748146E-5</v>
      </c>
      <c r="K106"/>
    </row>
    <row r="107" spans="3:11" ht="16.5" x14ac:dyDescent="0.3">
      <c r="C107" s="1">
        <f>Markov!C102</f>
        <v>76</v>
      </c>
      <c r="D107" s="16">
        <f t="shared" si="11"/>
        <v>5.2870893833475305</v>
      </c>
      <c r="E107" s="16">
        <f t="shared" si="9"/>
        <v>1.6814912689309126E-4</v>
      </c>
      <c r="F107" s="16">
        <f t="shared" si="10"/>
        <v>9.9628357684156574E-5</v>
      </c>
      <c r="G107" s="16">
        <f t="shared" si="8"/>
        <v>6.8520769208934681E-5</v>
      </c>
      <c r="K107"/>
    </row>
    <row r="108" spans="3:11" ht="16.5" x14ac:dyDescent="0.3">
      <c r="C108" s="1">
        <f>Markov!C103</f>
        <v>77</v>
      </c>
      <c r="D108" s="16">
        <f t="shared" si="11"/>
        <v>5.3035536574237572</v>
      </c>
      <c r="E108" s="16">
        <f t="shared" si="9"/>
        <v>1.6464274076226636E-4</v>
      </c>
      <c r="F108" s="16">
        <f t="shared" si="10"/>
        <v>9.7550823901642819E-5</v>
      </c>
      <c r="G108" s="16">
        <f t="shared" si="8"/>
        <v>6.7091916860623541E-5</v>
      </c>
      <c r="K108"/>
    </row>
    <row r="109" spans="3:11" ht="16.5" x14ac:dyDescent="0.3">
      <c r="C109" s="1">
        <f>Markov!C104</f>
        <v>78</v>
      </c>
      <c r="D109" s="16">
        <f t="shared" si="11"/>
        <v>5.3196779209872336</v>
      </c>
      <c r="E109" s="16">
        <f t="shared" si="9"/>
        <v>1.6124263563476403E-4</v>
      </c>
      <c r="F109" s="16">
        <f t="shared" si="10"/>
        <v>9.5536261613597689E-5</v>
      </c>
      <c r="G109" s="16">
        <f t="shared" si="8"/>
        <v>6.5706374021166344E-5</v>
      </c>
      <c r="K109"/>
    </row>
    <row r="110" spans="3:11" ht="16.5" x14ac:dyDescent="0.3">
      <c r="C110" s="1">
        <f>Markov!C105</f>
        <v>79</v>
      </c>
      <c r="D110" s="16">
        <f t="shared" si="11"/>
        <v>5.3354723827974917</v>
      </c>
      <c r="E110" s="16">
        <f t="shared" si="9"/>
        <v>1.5794461810258119E-4</v>
      </c>
      <c r="F110" s="16">
        <f t="shared" si="10"/>
        <v>9.3582186225779358E-5</v>
      </c>
      <c r="G110" s="16">
        <f t="shared" si="8"/>
        <v>6.4362431876801836E-5</v>
      </c>
      <c r="K110"/>
    </row>
    <row r="111" spans="3:11" ht="16.5" x14ac:dyDescent="0.3">
      <c r="C111" s="1">
        <f>Markov!C106</f>
        <v>80</v>
      </c>
      <c r="D111" s="16">
        <f t="shared" si="11"/>
        <v>5.3509468525264534</v>
      </c>
      <c r="E111" s="16">
        <f t="shared" si="9"/>
        <v>1.5474469728961714E-4</v>
      </c>
      <c r="F111" s="16">
        <f t="shared" si="10"/>
        <v>9.168623314409816E-5</v>
      </c>
      <c r="G111" s="16">
        <f t="shared" si="8"/>
        <v>6.3058464145518981E-5</v>
      </c>
      <c r="K111"/>
    </row>
    <row r="112" spans="3:11" ht="16.5" x14ac:dyDescent="0.3">
      <c r="C112" s="1">
        <f>Markov!C107</f>
        <v>81</v>
      </c>
      <c r="D112" s="16">
        <f t="shared" si="11"/>
        <v>5.3661107598605087</v>
      </c>
      <c r="E112" s="16">
        <f t="shared" si="9"/>
        <v>1.5163907334055259E-4</v>
      </c>
      <c r="F112" s="16">
        <f t="shared" si="10"/>
        <v>8.9846150954277419E-5</v>
      </c>
      <c r="G112" s="16">
        <f t="shared" si="8"/>
        <v>6.1792922386275169E-5</v>
      </c>
      <c r="K112"/>
    </row>
    <row r="113" spans="3:11" ht="16.5" x14ac:dyDescent="0.3">
      <c r="C113" s="1">
        <f>Markov!C108</f>
        <v>82</v>
      </c>
      <c r="D113" s="16">
        <f t="shared" si="11"/>
        <v>5.3809731725263985</v>
      </c>
      <c r="E113" s="16">
        <f t="shared" si="9"/>
        <v>1.4862412665889835E-4</v>
      </c>
      <c r="F113" s="16">
        <f t="shared" si="10"/>
        <v>8.8059795045397279E-5</v>
      </c>
      <c r="G113" s="16">
        <f t="shared" si="8"/>
        <v>6.0564331613501075E-5</v>
      </c>
      <c r="K113"/>
    </row>
    <row r="114" spans="3:11" ht="16.5" x14ac:dyDescent="0.3">
      <c r="C114" s="1">
        <f>Markov!C109</f>
        <v>83</v>
      </c>
      <c r="D114" s="16">
        <f t="shared" si="11"/>
        <v>5.3955428133103114</v>
      </c>
      <c r="E114" s="16">
        <f t="shared" si="9"/>
        <v>1.4569640783912874E-4</v>
      </c>
      <c r="F114" s="16">
        <f t="shared" si="10"/>
        <v>8.6325121644683785E-5</v>
      </c>
      <c r="G114" s="16">
        <f t="shared" si="8"/>
        <v>5.9371286194444958E-5</v>
      </c>
      <c r="K114"/>
    </row>
    <row r="115" spans="3:11" ht="16.5" x14ac:dyDescent="0.3">
      <c r="C115" s="1">
        <f>Markov!C110</f>
        <v>84</v>
      </c>
      <c r="D115" s="16">
        <f t="shared" si="11"/>
        <v>5.4098280761345885</v>
      </c>
      <c r="E115" s="16">
        <f t="shared" si="9"/>
        <v>1.4285262824277113E-4</v>
      </c>
      <c r="F115" s="16">
        <f t="shared" si="10"/>
        <v>8.4640182233841897E-5</v>
      </c>
      <c r="G115" s="16">
        <f t="shared" si="8"/>
        <v>5.8212446008929229E-5</v>
      </c>
      <c r="K115"/>
    </row>
    <row r="116" spans="3:11" ht="16.5" x14ac:dyDescent="0.3">
      <c r="C116" s="1">
        <f>Markov!C111</f>
        <v>85</v>
      </c>
      <c r="D116" s="16">
        <f t="shared" si="11"/>
        <v>5.4238370412518568</v>
      </c>
      <c r="E116" s="16">
        <f t="shared" si="9"/>
        <v>1.4008965117268346E-4</v>
      </c>
      <c r="F116" s="16">
        <f t="shared" si="10"/>
        <v>8.3003118319814956E-5</v>
      </c>
      <c r="G116" s="16">
        <f t="shared" si="8"/>
        <v>5.7086532852868507E-5</v>
      </c>
      <c r="K116"/>
    </row>
    <row r="117" spans="3:11" ht="16.5" x14ac:dyDescent="0.3">
      <c r="C117" s="1">
        <f>Markov!C112</f>
        <v>86</v>
      </c>
      <c r="D117" s="16">
        <f t="shared" si="11"/>
        <v>5.4375774896120541</v>
      </c>
      <c r="E117" s="16">
        <f t="shared" si="9"/>
        <v>1.3740448360197277E-4</v>
      </c>
      <c r="F117" s="16">
        <f t="shared" si="10"/>
        <v>8.1412156534168873E-5</v>
      </c>
      <c r="G117" s="16">
        <f t="shared" si="8"/>
        <v>5.59923270678039E-5</v>
      </c>
      <c r="K117"/>
    </row>
    <row r="118" spans="3:11" ht="16.5" x14ac:dyDescent="0.3">
      <c r="C118" s="1">
        <f>Markov!C113</f>
        <v>87</v>
      </c>
      <c r="D118" s="16">
        <f t="shared" si="11"/>
        <v>5.4510569164540232</v>
      </c>
      <c r="E118" s="16">
        <f t="shared" si="9"/>
        <v>1.3479426841969122E-4</v>
      </c>
      <c r="F118" s="16">
        <f t="shared" si="10"/>
        <v>7.9865604038667048E-5</v>
      </c>
      <c r="G118" s="16">
        <f t="shared" si="8"/>
        <v>5.4928664381024168E-5</v>
      </c>
      <c r="K118"/>
    </row>
    <row r="119" spans="3:11" ht="16.5" x14ac:dyDescent="0.3">
      <c r="C119" s="1">
        <f>Markov!C114</f>
        <v>88</v>
      </c>
      <c r="D119" s="16">
        <f t="shared" si="11"/>
        <v>5.464282544169583</v>
      </c>
      <c r="E119" s="16">
        <f t="shared" si="9"/>
        <v>1.3225627715559795E-4</v>
      </c>
      <c r="F119" s="16">
        <f t="shared" si="10"/>
        <v>7.8361844214691796E-5</v>
      </c>
      <c r="G119" s="16">
        <f t="shared" si="8"/>
        <v>5.3894432940906164E-5</v>
      </c>
      <c r="K119"/>
    </row>
    <row r="120" spans="3:11" ht="16.5" x14ac:dyDescent="0.3">
      <c r="C120" s="1">
        <f>Markov!C115</f>
        <v>89</v>
      </c>
      <c r="D120" s="16">
        <f t="shared" si="11"/>
        <v>5.477261334484802</v>
      </c>
      <c r="E120" s="16">
        <f t="shared" si="9"/>
        <v>1.297879031521898E-4</v>
      </c>
      <c r="F120" s="16">
        <f t="shared" si="10"/>
        <v>7.6899332617672456E-5</v>
      </c>
      <c r="G120" s="16">
        <f t="shared" si="8"/>
        <v>5.2888570534517341E-5</v>
      </c>
      <c r="K120"/>
    </row>
    <row r="121" spans="3:11" ht="16.5" x14ac:dyDescent="0.3">
      <c r="C121" s="1">
        <f>Markov!C116</f>
        <v>90</v>
      </c>
      <c r="D121" s="16">
        <f t="shared" si="11"/>
        <v>5.49</v>
      </c>
      <c r="E121" s="16">
        <f t="shared" si="9"/>
        <v>1.2738665515198198E-4</v>
      </c>
      <c r="F121" s="16">
        <f t="shared" si="10"/>
        <v>7.5476593177549337E-5</v>
      </c>
      <c r="G121" s="16">
        <f t="shared" si="8"/>
        <v>5.1910061974432655E-5</v>
      </c>
      <c r="K121"/>
    </row>
    <row r="122" spans="3:11" ht="16.5" x14ac:dyDescent="0.3">
      <c r="C122" s="1">
        <f>Markov!C117</f>
        <v>91</v>
      </c>
      <c r="D122" s="16">
        <f t="shared" si="11"/>
        <v>5.5025050151272126</v>
      </c>
      <c r="E122" s="16">
        <f t="shared" si="9"/>
        <v>1.250501512721236E-4</v>
      </c>
      <c r="F122" s="16">
        <f t="shared" si="10"/>
        <v>7.4092214628733238E-5</v>
      </c>
      <c r="G122" s="16">
        <f t="shared" si="8"/>
        <v>5.0957936643390364E-5</v>
      </c>
      <c r="K122"/>
    </row>
    <row r="123" spans="3:11" ht="16.5" x14ac:dyDescent="0.3">
      <c r="C123" s="1">
        <f>Markov!C118</f>
        <v>182.3</v>
      </c>
      <c r="D123" s="16">
        <f t="shared" si="11"/>
        <v>6.1148939510334896</v>
      </c>
      <c r="E123" s="16">
        <f t="shared" si="9"/>
        <v>6.1238893590627704E-3</v>
      </c>
      <c r="F123" s="16">
        <f t="shared" si="10"/>
        <v>3.6284044452446918E-3</v>
      </c>
      <c r="G123" s="16">
        <f t="shared" si="8"/>
        <v>2.4954849138180786E-3</v>
      </c>
      <c r="K123"/>
    </row>
    <row r="124" spans="3:11" ht="16.5" x14ac:dyDescent="0.3">
      <c r="C124" s="1">
        <f>Markov!C119</f>
        <v>273.60000000000002</v>
      </c>
      <c r="D124" s="16">
        <f t="shared" si="11"/>
        <v>6.3389622248812261</v>
      </c>
      <c r="E124" s="16">
        <f t="shared" si="9"/>
        <v>2.2406827384773642E-3</v>
      </c>
      <c r="F124" s="16">
        <f t="shared" si="10"/>
        <v>1.3276045225478384E-3</v>
      </c>
      <c r="G124" s="16">
        <f t="shared" si="8"/>
        <v>9.1307821592952589E-4</v>
      </c>
      <c r="K124"/>
    </row>
    <row r="125" spans="3:11" ht="16.5" x14ac:dyDescent="0.3">
      <c r="C125" s="1">
        <f>Markov!C120</f>
        <v>364.90000000000003</v>
      </c>
      <c r="D125" s="16">
        <f t="shared" si="11"/>
        <v>6.4538155825755483</v>
      </c>
      <c r="E125" s="16">
        <f t="shared" si="9"/>
        <v>1.1485335769432226E-3</v>
      </c>
      <c r="F125" s="16">
        <f t="shared" si="10"/>
        <v>6.8050614433885943E-4</v>
      </c>
      <c r="G125" s="16">
        <f t="shared" si="8"/>
        <v>4.6802743260436318E-4</v>
      </c>
      <c r="K125"/>
    </row>
    <row r="126" spans="3:11" ht="16.5" x14ac:dyDescent="0.3">
      <c r="C126" s="1">
        <f>Markov!C121</f>
        <v>456.20000000000005</v>
      </c>
      <c r="D126" s="16">
        <f t="shared" si="11"/>
        <v>6.5232519752817852</v>
      </c>
      <c r="E126" s="16">
        <f t="shared" si="9"/>
        <v>6.9436392706236918E-4</v>
      </c>
      <c r="F126" s="16">
        <f t="shared" si="10"/>
        <v>4.1141062678445373E-4</v>
      </c>
      <c r="G126" s="16">
        <f t="shared" si="8"/>
        <v>2.8295330027791545E-4</v>
      </c>
      <c r="K126"/>
    </row>
    <row r="127" spans="3:11" ht="16.5" x14ac:dyDescent="0.3">
      <c r="C127" s="1">
        <f>Markov!C122</f>
        <v>547.5</v>
      </c>
      <c r="D127" s="16">
        <f t="shared" si="11"/>
        <v>6.5695982368477157</v>
      </c>
      <c r="E127" s="16">
        <f t="shared" si="9"/>
        <v>4.6346261565930467E-4</v>
      </c>
      <c r="F127" s="16">
        <f t="shared" si="10"/>
        <v>2.7460159977813804E-4</v>
      </c>
      <c r="G127" s="16">
        <f t="shared" si="8"/>
        <v>1.8886101588116663E-4</v>
      </c>
      <c r="K127"/>
    </row>
    <row r="128" spans="3:11" ht="16.5" x14ac:dyDescent="0.3">
      <c r="C128" s="1">
        <f>Markov!C123</f>
        <v>638.79999999999995</v>
      </c>
      <c r="D128" s="16">
        <f t="shared" si="11"/>
        <v>6.6026499295972831</v>
      </c>
      <c r="E128" s="16">
        <f t="shared" si="9"/>
        <v>3.3051692749567428E-4</v>
      </c>
      <c r="F128" s="16">
        <f t="shared" si="10"/>
        <v>1.9583127954118701E-4</v>
      </c>
      <c r="G128" s="16">
        <f t="shared" ref="G128:G141" si="12">(E128)*(i_Adv_DSWI/100)</f>
        <v>1.3468564795448727E-4</v>
      </c>
      <c r="K128"/>
    </row>
    <row r="129" spans="3:11" ht="16.5" x14ac:dyDescent="0.3">
      <c r="C129" s="1">
        <f>Markov!C124</f>
        <v>730.09999999999991</v>
      </c>
      <c r="D129" s="16">
        <f t="shared" si="11"/>
        <v>6.6273665814206604</v>
      </c>
      <c r="E129" s="16">
        <f t="shared" si="9"/>
        <v>2.4716651823377235E-4</v>
      </c>
      <c r="F129" s="16">
        <f t="shared" si="10"/>
        <v>1.4644616205351012E-4</v>
      </c>
      <c r="G129" s="16">
        <f t="shared" si="12"/>
        <v>1.0072035618026223E-4</v>
      </c>
      <c r="K129"/>
    </row>
    <row r="130" spans="3:11" ht="16.5" x14ac:dyDescent="0.3">
      <c r="C130" s="1">
        <f>Markov!C125</f>
        <v>821.39999999999986</v>
      </c>
      <c r="D130" s="16">
        <f t="shared" si="11"/>
        <v>6.6465225924835334</v>
      </c>
      <c r="E130" s="16">
        <f t="shared" si="9"/>
        <v>1.9156011062873012E-4</v>
      </c>
      <c r="F130" s="16">
        <f t="shared" si="10"/>
        <v>1.1349936554752261E-4</v>
      </c>
      <c r="G130" s="16">
        <f t="shared" si="12"/>
        <v>7.8060745081207515E-5</v>
      </c>
      <c r="K130"/>
    </row>
    <row r="131" spans="3:11" ht="16.5" x14ac:dyDescent="0.3">
      <c r="C131" s="1">
        <f>Markov!C126</f>
        <v>912.69999999999982</v>
      </c>
      <c r="D131" s="16">
        <f t="shared" si="11"/>
        <v>6.661788781470384</v>
      </c>
      <c r="E131" s="16">
        <f t="shared" si="9"/>
        <v>1.5266188986850615E-4</v>
      </c>
      <c r="F131" s="16">
        <f t="shared" si="10"/>
        <v>9.04521697470899E-5</v>
      </c>
      <c r="G131" s="16">
        <f t="shared" si="12"/>
        <v>6.2209720121416247E-5</v>
      </c>
      <c r="K131"/>
    </row>
    <row r="132" spans="3:11" ht="16.5" x14ac:dyDescent="0.3">
      <c r="C132" s="1">
        <f>Markov!C127</f>
        <v>1003.9999999999998</v>
      </c>
      <c r="D132" s="16">
        <f t="shared" si="11"/>
        <v>6.6742302569971574</v>
      </c>
      <c r="E132" s="16">
        <f t="shared" si="9"/>
        <v>1.2441475526773439E-4</v>
      </c>
      <c r="F132" s="16">
        <f t="shared" si="10"/>
        <v>7.3715742496132633E-5</v>
      </c>
      <c r="G132" s="16">
        <f t="shared" si="12"/>
        <v>5.0699012771601759E-5</v>
      </c>
      <c r="K132"/>
    </row>
    <row r="133" spans="3:11" ht="16.5" x14ac:dyDescent="0.3">
      <c r="C133" s="1">
        <f>Markov!C128</f>
        <v>1095.2999999999997</v>
      </c>
      <c r="D133" s="16">
        <f t="shared" si="11"/>
        <v>6.6845574448103902</v>
      </c>
      <c r="E133" s="16">
        <f t="shared" si="9"/>
        <v>1.0327187813232718E-4</v>
      </c>
      <c r="F133" s="16">
        <f t="shared" si="10"/>
        <v>6.1188587793403859E-5</v>
      </c>
      <c r="G133" s="16">
        <f t="shared" si="12"/>
        <v>4.2083290338923324E-5</v>
      </c>
      <c r="K133"/>
    </row>
    <row r="134" spans="3:11" ht="16.5" x14ac:dyDescent="0.3">
      <c r="C134" s="1">
        <f>Markov!C129</f>
        <v>1186.5999999999997</v>
      </c>
      <c r="D134" s="16">
        <f t="shared" si="11"/>
        <v>6.6932620166765453</v>
      </c>
      <c r="E134" s="16">
        <f t="shared" si="9"/>
        <v>8.7045718661551416E-5</v>
      </c>
      <c r="F134" s="16">
        <f t="shared" si="10"/>
        <v>5.1574588306969219E-5</v>
      </c>
      <c r="G134" s="16">
        <f t="shared" si="12"/>
        <v>3.5471130354582197E-5</v>
      </c>
      <c r="K134"/>
    </row>
    <row r="135" spans="3:11" ht="16.5" x14ac:dyDescent="0.3">
      <c r="C135" s="1">
        <f>Markov!C130</f>
        <v>1277.8999999999996</v>
      </c>
      <c r="D135" s="16">
        <f t="shared" si="11"/>
        <v>6.7006948557615162</v>
      </c>
      <c r="E135" s="16">
        <f t="shared" si="9"/>
        <v>7.4328390849709433E-5</v>
      </c>
      <c r="F135" s="16">
        <f t="shared" si="10"/>
        <v>4.4039571578452838E-5</v>
      </c>
      <c r="G135" s="16">
        <f t="shared" si="12"/>
        <v>3.0288819271256591E-5</v>
      </c>
      <c r="K135"/>
    </row>
    <row r="136" spans="3:11" ht="16.5" x14ac:dyDescent="0.3">
      <c r="C136" s="1">
        <f>Markov!C131</f>
        <v>1369.1999999999996</v>
      </c>
      <c r="D136" s="16">
        <f t="shared" si="11"/>
        <v>6.7071129504488969</v>
      </c>
      <c r="E136" s="16">
        <f t="shared" si="9"/>
        <v>6.4180946873806371E-5</v>
      </c>
      <c r="F136" s="16">
        <f t="shared" si="10"/>
        <v>3.8027211022730276E-5</v>
      </c>
      <c r="G136" s="16">
        <f t="shared" si="12"/>
        <v>2.6153735851076095E-5</v>
      </c>
      <c r="K136"/>
    </row>
    <row r="137" spans="3:11" ht="16.5" x14ac:dyDescent="0.3">
      <c r="C137" s="1">
        <f>Markov!C132</f>
        <v>1460.4999999999995</v>
      </c>
      <c r="D137" s="16">
        <f t="shared" si="11"/>
        <v>6.7127087472655012</v>
      </c>
      <c r="E137" s="16">
        <f t="shared" si="9"/>
        <v>5.5957968166042704E-5</v>
      </c>
      <c r="F137" s="16">
        <f t="shared" si="10"/>
        <v>3.3155096138380301E-5</v>
      </c>
      <c r="G137" s="16">
        <f t="shared" si="12"/>
        <v>2.28028720276624E-5</v>
      </c>
      <c r="K137"/>
    </row>
    <row r="138" spans="3:11" ht="16.5" x14ac:dyDescent="0.3">
      <c r="C138" s="1">
        <f>Markov!C133</f>
        <v>1551.7999999999995</v>
      </c>
      <c r="D138" s="16">
        <f t="shared" si="11"/>
        <v>6.717629159562402</v>
      </c>
      <c r="E138" s="16">
        <f t="shared" si="9"/>
        <v>4.9204122969008781E-5</v>
      </c>
      <c r="F138" s="16">
        <f t="shared" si="10"/>
        <v>2.9153442859137705E-5</v>
      </c>
      <c r="G138" s="16">
        <f t="shared" si="12"/>
        <v>2.0050680109871076E-5</v>
      </c>
      <c r="K138"/>
    </row>
    <row r="139" spans="3:11" ht="16.5" x14ac:dyDescent="0.3">
      <c r="C139" s="1">
        <f>Markov!C134</f>
        <v>1643.0999999999995</v>
      </c>
      <c r="D139" s="16">
        <f t="shared" si="11"/>
        <v>6.7219882438604994</v>
      </c>
      <c r="E139" s="16">
        <f t="shared" si="9"/>
        <v>4.3590842980973933E-5</v>
      </c>
      <c r="F139" s="16">
        <f t="shared" si="10"/>
        <v>2.5827574466227055E-5</v>
      </c>
      <c r="G139" s="16">
        <f t="shared" si="12"/>
        <v>1.7763268514746878E-5</v>
      </c>
      <c r="K139"/>
    </row>
    <row r="140" spans="3:11" ht="16.5" x14ac:dyDescent="0.3">
      <c r="C140" s="1">
        <f>Markov!C135</f>
        <v>1734.3999999999994</v>
      </c>
      <c r="D140" s="16">
        <f t="shared" si="11"/>
        <v>6.7258758724211818</v>
      </c>
      <c r="E140" s="16">
        <f t="shared" si="9"/>
        <v>3.8876285606823658E-5</v>
      </c>
      <c r="F140" s="16">
        <f t="shared" si="10"/>
        <v>2.3034199222043017E-5</v>
      </c>
      <c r="G140" s="16">
        <f t="shared" si="12"/>
        <v>1.5842086384780641E-5</v>
      </c>
      <c r="K140"/>
    </row>
    <row r="141" spans="3:11" ht="16.5" x14ac:dyDescent="0.3">
      <c r="C141" s="1">
        <f>Markov!C136</f>
        <v>1825.6999999999994</v>
      </c>
      <c r="D141" s="16">
        <f t="shared" si="11"/>
        <v>6.7293638017313668</v>
      </c>
      <c r="E141" s="16">
        <f t="shared" si="9"/>
        <v>3.4879293101850451E-5</v>
      </c>
      <c r="F141" s="16">
        <f t="shared" si="10"/>
        <v>2.0665981162846394E-5</v>
      </c>
      <c r="G141" s="16">
        <f t="shared" si="12"/>
        <v>1.4213311939004057E-5</v>
      </c>
      <c r="K141"/>
    </row>
    <row r="142" spans="3:11" ht="16.5" x14ac:dyDescent="0.3">
      <c r="C142"/>
      <c r="D142"/>
      <c r="E142"/>
      <c r="F142"/>
      <c r="K142"/>
    </row>
    <row r="143" spans="3:11" ht="16.5" x14ac:dyDescent="0.3">
      <c r="C143"/>
      <c r="D143"/>
      <c r="E143"/>
      <c r="F143"/>
    </row>
    <row r="144" spans="3:11" ht="16.5" x14ac:dyDescent="0.3">
      <c r="C144"/>
      <c r="D144"/>
      <c r="E144"/>
      <c r="F144" s="139"/>
      <c r="G144" s="139"/>
      <c r="H144" s="139"/>
    </row>
    <row r="145" spans="3:6" ht="16.5" x14ac:dyDescent="0.3">
      <c r="C145"/>
      <c r="D145"/>
      <c r="E145"/>
      <c r="F145"/>
    </row>
    <row r="146" spans="3:6" ht="16.5" x14ac:dyDescent="0.3">
      <c r="C146"/>
      <c r="D146"/>
      <c r="E146"/>
      <c r="F146"/>
    </row>
    <row r="147" spans="3:6" ht="16.5" x14ac:dyDescent="0.3">
      <c r="C147"/>
      <c r="D147"/>
      <c r="E147"/>
      <c r="F147"/>
    </row>
    <row r="148" spans="3:6" ht="16.5" x14ac:dyDescent="0.3">
      <c r="C148"/>
      <c r="D148"/>
      <c r="E148"/>
      <c r="F148"/>
    </row>
    <row r="149" spans="3:6" ht="16.5" x14ac:dyDescent="0.3">
      <c r="C149"/>
      <c r="D149"/>
      <c r="E149"/>
      <c r="F149"/>
    </row>
    <row r="150" spans="3:6" ht="16.5" x14ac:dyDescent="0.3">
      <c r="C150"/>
      <c r="D150"/>
      <c r="E150"/>
      <c r="F150"/>
    </row>
    <row r="151" spans="3:6" ht="16.5" x14ac:dyDescent="0.3">
      <c r="C151"/>
      <c r="D151"/>
      <c r="E151"/>
      <c r="F151"/>
    </row>
    <row r="152" spans="3:6" ht="16.5" x14ac:dyDescent="0.3">
      <c r="C152"/>
      <c r="D152"/>
      <c r="E152"/>
      <c r="F152"/>
    </row>
    <row r="153" spans="3:6" ht="16.5" x14ac:dyDescent="0.3">
      <c r="C153"/>
      <c r="D153"/>
      <c r="E153"/>
      <c r="F153"/>
    </row>
    <row r="154" spans="3:6" ht="16.5" x14ac:dyDescent="0.3">
      <c r="C154"/>
      <c r="D154"/>
      <c r="E154"/>
      <c r="F154"/>
    </row>
    <row r="155" spans="3:6" ht="16.5" x14ac:dyDescent="0.3">
      <c r="C155"/>
      <c r="D155"/>
      <c r="E155"/>
      <c r="F155"/>
    </row>
    <row r="156" spans="3:6" ht="16.5" x14ac:dyDescent="0.3">
      <c r="C156"/>
      <c r="D156"/>
      <c r="E156"/>
      <c r="F156"/>
    </row>
    <row r="157" spans="3:6" ht="16.5" x14ac:dyDescent="0.3">
      <c r="C157"/>
      <c r="D157"/>
      <c r="E157"/>
      <c r="F157"/>
    </row>
    <row r="158" spans="3:6" ht="16.5" x14ac:dyDescent="0.3">
      <c r="C158"/>
      <c r="D158"/>
      <c r="E158"/>
      <c r="F158"/>
    </row>
    <row r="159" spans="3:6" ht="16.5" x14ac:dyDescent="0.3">
      <c r="C159"/>
      <c r="D159"/>
      <c r="E159"/>
      <c r="F159"/>
    </row>
    <row r="160" spans="3:6" ht="16.5" x14ac:dyDescent="0.3">
      <c r="C160"/>
      <c r="D160"/>
      <c r="E160"/>
      <c r="F160"/>
    </row>
    <row r="161" spans="3:6" ht="16.5" x14ac:dyDescent="0.3">
      <c r="C161"/>
      <c r="D161"/>
      <c r="E161"/>
      <c r="F161"/>
    </row>
    <row r="162" spans="3:6" ht="16.5" x14ac:dyDescent="0.3">
      <c r="C162"/>
      <c r="D162"/>
      <c r="E162"/>
      <c r="F162"/>
    </row>
    <row r="163" spans="3:6" ht="16.5" x14ac:dyDescent="0.3">
      <c r="C163"/>
      <c r="D163"/>
      <c r="E163"/>
      <c r="F163"/>
    </row>
    <row r="164" spans="3:6" ht="16.5" x14ac:dyDescent="0.3">
      <c r="C164"/>
      <c r="D164"/>
      <c r="E164"/>
      <c r="F164"/>
    </row>
    <row r="165" spans="3:6" ht="16.5" x14ac:dyDescent="0.3">
      <c r="C165"/>
      <c r="D165"/>
      <c r="E165"/>
      <c r="F165"/>
    </row>
    <row r="166" spans="3:6" ht="16.5" x14ac:dyDescent="0.3">
      <c r="C166"/>
      <c r="D166"/>
      <c r="E166"/>
      <c r="F166"/>
    </row>
    <row r="167" spans="3:6" ht="16.5" x14ac:dyDescent="0.3">
      <c r="C167"/>
      <c r="D167"/>
      <c r="E167"/>
      <c r="F167"/>
    </row>
    <row r="168" spans="3:6" ht="16.5" x14ac:dyDescent="0.3">
      <c r="C168"/>
      <c r="D168"/>
      <c r="E168"/>
      <c r="F168"/>
    </row>
    <row r="169" spans="3:6" ht="16.5" x14ac:dyDescent="0.3">
      <c r="C169"/>
      <c r="D169"/>
      <c r="E169"/>
      <c r="F169"/>
    </row>
    <row r="170" spans="3:6" ht="16.5" x14ac:dyDescent="0.3">
      <c r="C170"/>
      <c r="D170"/>
      <c r="E170"/>
      <c r="F170"/>
    </row>
    <row r="171" spans="3:6" ht="16.5" x14ac:dyDescent="0.3">
      <c r="C171"/>
      <c r="D171"/>
      <c r="E171"/>
      <c r="F171"/>
    </row>
    <row r="172" spans="3:6" ht="16.5" x14ac:dyDescent="0.3">
      <c r="C172"/>
      <c r="D172"/>
      <c r="E172"/>
      <c r="F172"/>
    </row>
    <row r="173" spans="3:6" ht="16.5" x14ac:dyDescent="0.3">
      <c r="C173"/>
      <c r="D173"/>
      <c r="E173"/>
      <c r="F173"/>
    </row>
    <row r="174" spans="3:6" ht="16.5" x14ac:dyDescent="0.3">
      <c r="C174"/>
      <c r="D174"/>
      <c r="E174"/>
      <c r="F174"/>
    </row>
    <row r="175" spans="3:6" ht="16.5" x14ac:dyDescent="0.3">
      <c r="C175"/>
      <c r="D175"/>
      <c r="E175"/>
      <c r="F175"/>
    </row>
    <row r="176" spans="3:6" ht="16.5" x14ac:dyDescent="0.3">
      <c r="C176"/>
      <c r="D176"/>
      <c r="E176"/>
      <c r="F176"/>
    </row>
    <row r="177" spans="3:6" ht="16.5" x14ac:dyDescent="0.3">
      <c r="C177"/>
      <c r="D177"/>
      <c r="E177"/>
      <c r="F177"/>
    </row>
    <row r="178" spans="3:6" ht="16.5" x14ac:dyDescent="0.3">
      <c r="C178"/>
      <c r="D178"/>
      <c r="E178"/>
      <c r="F178"/>
    </row>
    <row r="179" spans="3:6" ht="16.5" x14ac:dyDescent="0.3">
      <c r="C179"/>
      <c r="D179"/>
      <c r="E179"/>
      <c r="F179"/>
    </row>
    <row r="180" spans="3:6" ht="16.5" x14ac:dyDescent="0.3">
      <c r="C180"/>
      <c r="D180"/>
      <c r="E180"/>
      <c r="F180"/>
    </row>
    <row r="181" spans="3:6" ht="16.5" x14ac:dyDescent="0.3">
      <c r="C181"/>
      <c r="D181"/>
      <c r="E181"/>
      <c r="F181"/>
    </row>
    <row r="182" spans="3:6" ht="16.5" x14ac:dyDescent="0.3">
      <c r="C182"/>
      <c r="D182"/>
      <c r="E182"/>
      <c r="F182"/>
    </row>
    <row r="183" spans="3:6" ht="16.5" x14ac:dyDescent="0.3">
      <c r="C183"/>
      <c r="D183"/>
      <c r="E183"/>
      <c r="F183"/>
    </row>
    <row r="184" spans="3:6" ht="16.5" x14ac:dyDescent="0.3">
      <c r="C184"/>
      <c r="D184"/>
      <c r="E184"/>
      <c r="F184"/>
    </row>
    <row r="185" spans="3:6" ht="16.5" x14ac:dyDescent="0.3">
      <c r="C185"/>
      <c r="D185"/>
      <c r="E185"/>
      <c r="F185"/>
    </row>
    <row r="186" spans="3:6" ht="16.5" x14ac:dyDescent="0.3">
      <c r="C186"/>
      <c r="D186"/>
      <c r="E186"/>
      <c r="F186"/>
    </row>
    <row r="187" spans="3:6" ht="16.5" x14ac:dyDescent="0.3">
      <c r="C187"/>
      <c r="D187"/>
      <c r="E187"/>
      <c r="F187"/>
    </row>
    <row r="188" spans="3:6" ht="16.5" x14ac:dyDescent="0.3">
      <c r="C188"/>
      <c r="D188"/>
      <c r="E188"/>
      <c r="F188"/>
    </row>
    <row r="189" spans="3:6" ht="16.5" x14ac:dyDescent="0.3">
      <c r="C189"/>
      <c r="D189"/>
      <c r="E189"/>
      <c r="F189"/>
    </row>
    <row r="190" spans="3:6" ht="16.5" x14ac:dyDescent="0.3">
      <c r="C190"/>
      <c r="D190"/>
      <c r="E190"/>
      <c r="F190"/>
    </row>
    <row r="191" spans="3:6" ht="16.5" x14ac:dyDescent="0.3">
      <c r="C191"/>
      <c r="D191"/>
      <c r="E191"/>
      <c r="F191"/>
    </row>
    <row r="192" spans="3:6" ht="16.5" x14ac:dyDescent="0.3">
      <c r="C192"/>
      <c r="D192"/>
      <c r="E192"/>
      <c r="F192"/>
    </row>
    <row r="193" spans="3:6" ht="16.5" x14ac:dyDescent="0.3">
      <c r="C193"/>
      <c r="D193"/>
      <c r="E193"/>
      <c r="F193"/>
    </row>
    <row r="194" spans="3:6" ht="16.5" x14ac:dyDescent="0.3">
      <c r="C194"/>
      <c r="D194"/>
      <c r="E194"/>
      <c r="F194"/>
    </row>
    <row r="195" spans="3:6" ht="16.5" x14ac:dyDescent="0.3">
      <c r="C195"/>
      <c r="D195"/>
      <c r="E195"/>
      <c r="F195"/>
    </row>
    <row r="196" spans="3:6" ht="16.5" x14ac:dyDescent="0.3">
      <c r="C196"/>
      <c r="D196"/>
      <c r="E196"/>
      <c r="F196"/>
    </row>
    <row r="197" spans="3:6" ht="16.5" x14ac:dyDescent="0.3">
      <c r="C197"/>
      <c r="D197"/>
      <c r="E197"/>
      <c r="F197"/>
    </row>
    <row r="198" spans="3:6" ht="16.5" x14ac:dyDescent="0.3">
      <c r="C198"/>
      <c r="D198"/>
      <c r="E198"/>
      <c r="F198"/>
    </row>
    <row r="199" spans="3:6" ht="16.5" x14ac:dyDescent="0.3">
      <c r="C199"/>
      <c r="D199"/>
      <c r="E199"/>
      <c r="F199"/>
    </row>
    <row r="200" spans="3:6" ht="16.5" x14ac:dyDescent="0.3">
      <c r="C200"/>
      <c r="D200"/>
      <c r="E200"/>
      <c r="F200"/>
    </row>
    <row r="201" spans="3:6" ht="16.5" x14ac:dyDescent="0.3">
      <c r="C201"/>
      <c r="D201"/>
      <c r="E201"/>
      <c r="F201"/>
    </row>
    <row r="202" spans="3:6" ht="16.5" x14ac:dyDescent="0.3">
      <c r="C202"/>
      <c r="D202"/>
      <c r="E202"/>
      <c r="F202"/>
    </row>
    <row r="203" spans="3:6" ht="16.5" x14ac:dyDescent="0.3">
      <c r="C203"/>
      <c r="D203"/>
      <c r="E203"/>
      <c r="F203"/>
    </row>
    <row r="204" spans="3:6" ht="16.5" x14ac:dyDescent="0.3">
      <c r="C204"/>
      <c r="D204"/>
      <c r="E204"/>
      <c r="F204"/>
    </row>
    <row r="205" spans="3:6" ht="16.5" x14ac:dyDescent="0.3">
      <c r="C205"/>
      <c r="D205"/>
      <c r="E205"/>
      <c r="F205"/>
    </row>
    <row r="206" spans="3:6" ht="16.5" x14ac:dyDescent="0.3">
      <c r="C206"/>
      <c r="D206"/>
      <c r="E206"/>
      <c r="F206"/>
    </row>
    <row r="207" spans="3:6" ht="16.5" x14ac:dyDescent="0.3">
      <c r="C207"/>
      <c r="D207"/>
      <c r="E207"/>
      <c r="F207"/>
    </row>
    <row r="208" spans="3:6" ht="16.5" x14ac:dyDescent="0.3">
      <c r="C208"/>
      <c r="D208"/>
      <c r="E208"/>
      <c r="F208"/>
    </row>
    <row r="209" spans="3:6" ht="16.5" x14ac:dyDescent="0.3">
      <c r="C209"/>
      <c r="D209"/>
      <c r="E209"/>
      <c r="F209"/>
    </row>
    <row r="210" spans="3:6" ht="16.5" x14ac:dyDescent="0.3">
      <c r="C210"/>
      <c r="D210"/>
      <c r="E210"/>
      <c r="F210"/>
    </row>
    <row r="211" spans="3:6" ht="16.5" x14ac:dyDescent="0.3">
      <c r="C211"/>
      <c r="D211"/>
      <c r="E211"/>
      <c r="F211"/>
    </row>
    <row r="212" spans="3:6" ht="16.5" x14ac:dyDescent="0.3">
      <c r="C212"/>
      <c r="D212"/>
      <c r="E212"/>
      <c r="F212"/>
    </row>
    <row r="213" spans="3:6" ht="16.5" x14ac:dyDescent="0.3">
      <c r="C213"/>
      <c r="D213"/>
      <c r="E213"/>
      <c r="F213"/>
    </row>
    <row r="214" spans="3:6" ht="16.5" x14ac:dyDescent="0.3">
      <c r="C214"/>
      <c r="D214"/>
      <c r="E214"/>
      <c r="F214"/>
    </row>
    <row r="215" spans="3:6" ht="16.5" x14ac:dyDescent="0.3">
      <c r="C215"/>
      <c r="D215"/>
      <c r="E215"/>
      <c r="F215"/>
    </row>
    <row r="216" spans="3:6" ht="16.5" x14ac:dyDescent="0.3">
      <c r="C216"/>
      <c r="D216"/>
      <c r="E216"/>
      <c r="F216"/>
    </row>
    <row r="217" spans="3:6" ht="16.5" x14ac:dyDescent="0.3">
      <c r="C217"/>
      <c r="D217"/>
      <c r="E217"/>
      <c r="F217"/>
    </row>
    <row r="218" spans="3:6" ht="16.5" x14ac:dyDescent="0.3">
      <c r="C218"/>
      <c r="D218"/>
      <c r="E218"/>
      <c r="F218"/>
    </row>
    <row r="219" spans="3:6" ht="16.5" x14ac:dyDescent="0.3">
      <c r="C219"/>
      <c r="D219"/>
      <c r="E219"/>
      <c r="F219"/>
    </row>
    <row r="220" spans="3:6" ht="16.5" x14ac:dyDescent="0.3">
      <c r="C220"/>
      <c r="D220"/>
      <c r="E220"/>
      <c r="F220"/>
    </row>
    <row r="221" spans="3:6" ht="16.5" x14ac:dyDescent="0.3">
      <c r="C221"/>
      <c r="D221"/>
      <c r="E221"/>
      <c r="F221"/>
    </row>
    <row r="222" spans="3:6" ht="16.5" x14ac:dyDescent="0.3">
      <c r="C222"/>
      <c r="D222"/>
      <c r="E222"/>
      <c r="F222"/>
    </row>
    <row r="223" spans="3:6" ht="16.5" x14ac:dyDescent="0.3">
      <c r="C223"/>
      <c r="D223"/>
      <c r="E223"/>
      <c r="F223"/>
    </row>
    <row r="224" spans="3:6" ht="16.5" x14ac:dyDescent="0.3">
      <c r="C224"/>
      <c r="D224"/>
      <c r="E224"/>
      <c r="F224"/>
    </row>
    <row r="225" spans="3:6" ht="16.5" x14ac:dyDescent="0.3">
      <c r="C225"/>
      <c r="D225"/>
      <c r="E225"/>
      <c r="F225"/>
    </row>
    <row r="226" spans="3:6" ht="16.5" x14ac:dyDescent="0.3">
      <c r="C226"/>
      <c r="D226"/>
      <c r="E226"/>
      <c r="F226"/>
    </row>
    <row r="227" spans="3:6" ht="16.5" x14ac:dyDescent="0.3">
      <c r="C227"/>
      <c r="D227"/>
      <c r="E227"/>
      <c r="F227"/>
    </row>
    <row r="228" spans="3:6" ht="16.5" x14ac:dyDescent="0.3">
      <c r="C228"/>
      <c r="D228"/>
      <c r="E228"/>
      <c r="F228"/>
    </row>
    <row r="229" spans="3:6" ht="16.5" x14ac:dyDescent="0.3">
      <c r="C229"/>
      <c r="D229"/>
      <c r="E229"/>
      <c r="F229"/>
    </row>
    <row r="230" spans="3:6" ht="16.5" x14ac:dyDescent="0.3">
      <c r="C230"/>
      <c r="D230"/>
      <c r="E230"/>
      <c r="F230"/>
    </row>
    <row r="231" spans="3:6" ht="16.5" x14ac:dyDescent="0.3">
      <c r="C231"/>
      <c r="D231"/>
      <c r="E231"/>
      <c r="F231"/>
    </row>
    <row r="232" spans="3:6" ht="16.5" x14ac:dyDescent="0.3">
      <c r="C232"/>
      <c r="D232"/>
      <c r="E232"/>
      <c r="F232"/>
    </row>
    <row r="233" spans="3:6" ht="16.5" x14ac:dyDescent="0.3">
      <c r="C233"/>
      <c r="D233"/>
      <c r="E233"/>
      <c r="F233"/>
    </row>
    <row r="234" spans="3:6" ht="16.5" x14ac:dyDescent="0.3">
      <c r="C234"/>
      <c r="D234"/>
      <c r="E234"/>
      <c r="F234"/>
    </row>
    <row r="235" spans="3:6" ht="16.5" x14ac:dyDescent="0.3">
      <c r="C235"/>
      <c r="D235"/>
      <c r="E235"/>
      <c r="F235"/>
    </row>
    <row r="236" spans="3:6" ht="16.5" x14ac:dyDescent="0.3">
      <c r="C236"/>
      <c r="D236"/>
      <c r="E236"/>
      <c r="F236"/>
    </row>
    <row r="237" spans="3:6" ht="16.5" x14ac:dyDescent="0.3">
      <c r="C237"/>
      <c r="D237"/>
      <c r="E237"/>
      <c r="F237"/>
    </row>
    <row r="238" spans="3:6" ht="16.5" x14ac:dyDescent="0.3">
      <c r="C238"/>
      <c r="D238"/>
      <c r="E238"/>
      <c r="F238"/>
    </row>
    <row r="239" spans="3:6" ht="16.5" x14ac:dyDescent="0.3">
      <c r="C239"/>
      <c r="D239"/>
      <c r="E239"/>
      <c r="F239"/>
    </row>
    <row r="240" spans="3:6" ht="16.5" x14ac:dyDescent="0.3">
      <c r="C240"/>
      <c r="D240"/>
      <c r="E240"/>
      <c r="F240"/>
    </row>
    <row r="241" spans="3:6" ht="16.5" x14ac:dyDescent="0.3">
      <c r="C241"/>
      <c r="D241"/>
      <c r="E241"/>
      <c r="F241"/>
    </row>
    <row r="242" spans="3:6" ht="16.5" x14ac:dyDescent="0.3">
      <c r="C242"/>
      <c r="D242"/>
      <c r="E242"/>
      <c r="F242"/>
    </row>
    <row r="243" spans="3:6" ht="16.5" x14ac:dyDescent="0.3">
      <c r="C243"/>
      <c r="D243"/>
      <c r="E243"/>
      <c r="F243"/>
    </row>
    <row r="244" spans="3:6" ht="16.5" x14ac:dyDescent="0.3">
      <c r="C244"/>
      <c r="D244"/>
      <c r="E244"/>
      <c r="F244"/>
    </row>
    <row r="245" spans="3:6" ht="16.5" x14ac:dyDescent="0.3">
      <c r="C245"/>
      <c r="D245"/>
      <c r="E245"/>
      <c r="F245"/>
    </row>
    <row r="246" spans="3:6" ht="16.5" x14ac:dyDescent="0.3">
      <c r="C246"/>
      <c r="D246"/>
      <c r="E246"/>
      <c r="F246"/>
    </row>
    <row r="247" spans="3:6" ht="16.5" x14ac:dyDescent="0.3">
      <c r="C247"/>
      <c r="D247"/>
      <c r="E247"/>
      <c r="F247"/>
    </row>
    <row r="248" spans="3:6" ht="16.5" x14ac:dyDescent="0.3">
      <c r="C248"/>
      <c r="D248"/>
      <c r="E248"/>
      <c r="F248"/>
    </row>
    <row r="249" spans="3:6" ht="16.5" x14ac:dyDescent="0.3">
      <c r="C249"/>
      <c r="D249"/>
      <c r="E249"/>
      <c r="F249"/>
    </row>
    <row r="250" spans="3:6" ht="16.5" x14ac:dyDescent="0.3">
      <c r="C250"/>
      <c r="D250"/>
      <c r="E250"/>
      <c r="F250"/>
    </row>
    <row r="251" spans="3:6" ht="16.5" x14ac:dyDescent="0.3">
      <c r="C251"/>
      <c r="D251"/>
      <c r="E251"/>
      <c r="F251"/>
    </row>
    <row r="252" spans="3:6" ht="16.5" x14ac:dyDescent="0.3">
      <c r="C252"/>
      <c r="D252"/>
      <c r="E252"/>
      <c r="F252"/>
    </row>
    <row r="253" spans="3:6" ht="16.5" x14ac:dyDescent="0.3">
      <c r="C253"/>
      <c r="D253"/>
      <c r="E253"/>
      <c r="F253"/>
    </row>
    <row r="254" spans="3:6" ht="16.5" x14ac:dyDescent="0.3">
      <c r="C254"/>
      <c r="D254"/>
      <c r="E254"/>
      <c r="F254"/>
    </row>
    <row r="255" spans="3:6" ht="16.5" x14ac:dyDescent="0.3">
      <c r="C255"/>
      <c r="D255"/>
      <c r="E255"/>
      <c r="F255"/>
    </row>
    <row r="256" spans="3:6" ht="16.5" x14ac:dyDescent="0.3">
      <c r="C256"/>
      <c r="D256"/>
      <c r="E256"/>
      <c r="F256"/>
    </row>
    <row r="257" spans="3:6" ht="16.5" x14ac:dyDescent="0.3">
      <c r="C257"/>
      <c r="D257"/>
      <c r="E257"/>
      <c r="F257"/>
    </row>
    <row r="258" spans="3:6" ht="16.5" x14ac:dyDescent="0.3">
      <c r="C258"/>
      <c r="D258"/>
      <c r="E258"/>
      <c r="F258"/>
    </row>
    <row r="259" spans="3:6" ht="16.5" x14ac:dyDescent="0.3">
      <c r="C259"/>
      <c r="D259"/>
      <c r="E259"/>
      <c r="F259"/>
    </row>
    <row r="260" spans="3:6" ht="16.5" x14ac:dyDescent="0.3">
      <c r="C260"/>
      <c r="D260"/>
      <c r="E260"/>
      <c r="F260"/>
    </row>
    <row r="261" spans="3:6" ht="16.5" x14ac:dyDescent="0.3">
      <c r="C261"/>
      <c r="D261"/>
      <c r="E261"/>
      <c r="F261"/>
    </row>
    <row r="262" spans="3:6" ht="16.5" x14ac:dyDescent="0.3">
      <c r="C262"/>
      <c r="D262"/>
      <c r="E262"/>
      <c r="F262"/>
    </row>
    <row r="263" spans="3:6" ht="16.5" x14ac:dyDescent="0.3">
      <c r="C263"/>
      <c r="D263"/>
      <c r="E263"/>
      <c r="F263"/>
    </row>
    <row r="264" spans="3:6" ht="16.5" x14ac:dyDescent="0.3">
      <c r="C264"/>
      <c r="D264"/>
      <c r="E264"/>
      <c r="F264"/>
    </row>
    <row r="265" spans="3:6" ht="16.5" x14ac:dyDescent="0.3">
      <c r="C265"/>
      <c r="D265"/>
      <c r="E265"/>
      <c r="F265"/>
    </row>
    <row r="266" spans="3:6" ht="16.5" x14ac:dyDescent="0.3">
      <c r="C266"/>
      <c r="D266"/>
      <c r="E266"/>
      <c r="F266"/>
    </row>
    <row r="267" spans="3:6" ht="16.5" x14ac:dyDescent="0.3">
      <c r="C267"/>
      <c r="D267"/>
      <c r="E267"/>
      <c r="F267"/>
    </row>
    <row r="268" spans="3:6" ht="16.5" x14ac:dyDescent="0.3">
      <c r="C268"/>
      <c r="D268"/>
      <c r="E268"/>
      <c r="F268"/>
    </row>
    <row r="269" spans="3:6" ht="16.5" x14ac:dyDescent="0.3">
      <c r="C269"/>
      <c r="D269"/>
      <c r="E269"/>
      <c r="F269"/>
    </row>
    <row r="270" spans="3:6" ht="16.5" x14ac:dyDescent="0.3">
      <c r="C270"/>
      <c r="D270"/>
      <c r="E270"/>
      <c r="F270"/>
    </row>
    <row r="271" spans="3:6" ht="16.5" x14ac:dyDescent="0.3">
      <c r="C271"/>
      <c r="D271"/>
      <c r="E271"/>
      <c r="F271"/>
    </row>
    <row r="272" spans="3:6" ht="16.5" x14ac:dyDescent="0.3">
      <c r="C272"/>
      <c r="D272"/>
      <c r="E272"/>
      <c r="F272"/>
    </row>
    <row r="273" spans="1:7" ht="16.5" x14ac:dyDescent="0.3">
      <c r="C273"/>
      <c r="D273"/>
      <c r="E273"/>
      <c r="F273"/>
    </row>
    <row r="274" spans="1:7" ht="16.5" x14ac:dyDescent="0.3">
      <c r="C274"/>
      <c r="D274"/>
      <c r="E274"/>
      <c r="F274"/>
    </row>
    <row r="275" spans="1:7" ht="16.5" x14ac:dyDescent="0.3">
      <c r="C275"/>
      <c r="D275"/>
      <c r="E275"/>
      <c r="F275"/>
    </row>
    <row r="276" spans="1:7" ht="16.5" x14ac:dyDescent="0.3">
      <c r="C276"/>
      <c r="D276"/>
      <c r="E276"/>
      <c r="F276"/>
    </row>
    <row r="277" spans="1:7" ht="16.5" x14ac:dyDescent="0.3">
      <c r="C277"/>
      <c r="D277"/>
      <c r="E277"/>
      <c r="F277"/>
    </row>
    <row r="278" spans="1:7" ht="16.5" x14ac:dyDescent="0.3">
      <c r="C278"/>
      <c r="D278"/>
      <c r="E278"/>
      <c r="F278"/>
    </row>
    <row r="279" spans="1:7" ht="16.5" x14ac:dyDescent="0.3">
      <c r="A279"/>
      <c r="B279"/>
      <c r="C279"/>
      <c r="D279"/>
      <c r="E279"/>
      <c r="F279"/>
      <c r="G279"/>
    </row>
    <row r="280" spans="1:7" ht="16.5" x14ac:dyDescent="0.3">
      <c r="A280"/>
      <c r="B280"/>
      <c r="C280"/>
      <c r="D280"/>
      <c r="E280"/>
      <c r="F280"/>
      <c r="G280"/>
    </row>
    <row r="281" spans="1:7" ht="16.5" x14ac:dyDescent="0.3">
      <c r="A281"/>
      <c r="B281"/>
      <c r="C281"/>
      <c r="D281"/>
      <c r="E281"/>
      <c r="F281"/>
      <c r="G281"/>
    </row>
    <row r="282" spans="1:7" ht="16.5" x14ac:dyDescent="0.3">
      <c r="A282"/>
      <c r="B282"/>
      <c r="C282"/>
      <c r="D282"/>
      <c r="E282"/>
      <c r="F282"/>
      <c r="G282"/>
    </row>
    <row r="283" spans="1:7" ht="16.5" x14ac:dyDescent="0.3">
      <c r="A283"/>
      <c r="B283"/>
      <c r="C283"/>
      <c r="D283"/>
      <c r="E283"/>
      <c r="F283"/>
      <c r="G283"/>
    </row>
    <row r="284" spans="1:7" ht="16.5" x14ac:dyDescent="0.3">
      <c r="A284"/>
      <c r="B284"/>
      <c r="C284"/>
      <c r="D284"/>
      <c r="E284"/>
      <c r="F284"/>
      <c r="G284"/>
    </row>
    <row r="285" spans="1:7" ht="16.5" x14ac:dyDescent="0.3">
      <c r="A285"/>
      <c r="B285"/>
      <c r="C285"/>
      <c r="D285"/>
      <c r="E285"/>
      <c r="F285"/>
      <c r="G285"/>
    </row>
    <row r="286" spans="1:7" ht="16.5" x14ac:dyDescent="0.3">
      <c r="A286"/>
      <c r="B286"/>
      <c r="C286"/>
      <c r="D286"/>
      <c r="E286"/>
      <c r="F286"/>
      <c r="G286"/>
    </row>
    <row r="287" spans="1:7" ht="16.5" x14ac:dyDescent="0.3">
      <c r="A287"/>
      <c r="B287"/>
      <c r="C287"/>
      <c r="D287"/>
      <c r="E287"/>
      <c r="F287"/>
      <c r="G287"/>
    </row>
    <row r="288" spans="1:7" ht="16.5" x14ac:dyDescent="0.3">
      <c r="A288"/>
      <c r="B288"/>
      <c r="C288"/>
      <c r="D288"/>
      <c r="E288"/>
      <c r="F288"/>
      <c r="G288"/>
    </row>
    <row r="289" spans="1:7" ht="16.5" x14ac:dyDescent="0.3">
      <c r="A289"/>
      <c r="B289"/>
      <c r="C289"/>
      <c r="D289"/>
      <c r="E289"/>
      <c r="F289"/>
      <c r="G289"/>
    </row>
    <row r="290" spans="1:7" ht="16.5" x14ac:dyDescent="0.3">
      <c r="A290"/>
      <c r="B290"/>
      <c r="C290"/>
      <c r="D290"/>
      <c r="E290"/>
      <c r="F290"/>
      <c r="G290"/>
    </row>
    <row r="291" spans="1:7" ht="16.5" x14ac:dyDescent="0.3">
      <c r="A291"/>
      <c r="B291"/>
      <c r="C291"/>
      <c r="D291"/>
      <c r="E291"/>
      <c r="F291"/>
      <c r="G291"/>
    </row>
    <row r="292" spans="1:7" ht="16.5" x14ac:dyDescent="0.3">
      <c r="A292"/>
      <c r="B292"/>
      <c r="C292"/>
      <c r="D292"/>
      <c r="E292"/>
      <c r="F292"/>
      <c r="G292"/>
    </row>
    <row r="293" spans="1:7" ht="16.5" x14ac:dyDescent="0.3">
      <c r="A293"/>
      <c r="B293"/>
      <c r="C293"/>
      <c r="D293"/>
      <c r="E293"/>
      <c r="F293"/>
      <c r="G293"/>
    </row>
    <row r="294" spans="1:7" ht="16.5" x14ac:dyDescent="0.3">
      <c r="A294"/>
      <c r="B294"/>
      <c r="C294"/>
      <c r="D294"/>
      <c r="E294"/>
      <c r="F294"/>
      <c r="G294"/>
    </row>
    <row r="295" spans="1:7" ht="16.5" x14ac:dyDescent="0.3">
      <c r="A295"/>
      <c r="B295"/>
      <c r="C295"/>
      <c r="D295"/>
      <c r="E295"/>
      <c r="F295"/>
      <c r="G295"/>
    </row>
    <row r="296" spans="1:7" ht="16.5" x14ac:dyDescent="0.3">
      <c r="A296"/>
      <c r="B296"/>
      <c r="C296"/>
      <c r="D296"/>
      <c r="E296"/>
      <c r="F296"/>
      <c r="G296"/>
    </row>
    <row r="297" spans="1:7" ht="16.5" x14ac:dyDescent="0.3">
      <c r="A297"/>
      <c r="B297"/>
      <c r="C297"/>
      <c r="D297"/>
      <c r="E297"/>
      <c r="F297"/>
      <c r="G297"/>
    </row>
    <row r="298" spans="1:7" ht="16.5" x14ac:dyDescent="0.3">
      <c r="A298"/>
      <c r="B298"/>
      <c r="C298"/>
      <c r="D298"/>
      <c r="E298"/>
      <c r="F298"/>
      <c r="G298"/>
    </row>
    <row r="299" spans="1:7" ht="16.5" x14ac:dyDescent="0.3">
      <c r="A299"/>
      <c r="B299"/>
      <c r="C299"/>
      <c r="D299"/>
      <c r="E299"/>
      <c r="F299"/>
      <c r="G299"/>
    </row>
    <row r="300" spans="1:7" ht="16.5" x14ac:dyDescent="0.3">
      <c r="A300"/>
      <c r="B300"/>
      <c r="C300"/>
      <c r="D300"/>
      <c r="E300"/>
      <c r="F300"/>
      <c r="G300"/>
    </row>
    <row r="301" spans="1:7" ht="16.5" x14ac:dyDescent="0.3">
      <c r="A301"/>
      <c r="B301"/>
      <c r="C301"/>
      <c r="D301"/>
      <c r="E301"/>
      <c r="F301"/>
      <c r="G301"/>
    </row>
    <row r="302" spans="1:7" ht="16.5" x14ac:dyDescent="0.3">
      <c r="A302"/>
      <c r="B302"/>
      <c r="C302"/>
      <c r="D302"/>
      <c r="E302"/>
      <c r="F302"/>
      <c r="G302"/>
    </row>
    <row r="303" spans="1:7" ht="16.5" x14ac:dyDescent="0.3">
      <c r="A303"/>
      <c r="B303"/>
      <c r="C303"/>
      <c r="D303"/>
      <c r="E303"/>
      <c r="F303"/>
      <c r="G303"/>
    </row>
    <row r="304" spans="1:7" ht="16.5" x14ac:dyDescent="0.3">
      <c r="A304"/>
      <c r="B304"/>
      <c r="C304"/>
      <c r="D304"/>
      <c r="E304"/>
      <c r="F304"/>
      <c r="G304"/>
    </row>
    <row r="305" spans="1:7" ht="16.5" x14ac:dyDescent="0.3">
      <c r="A305"/>
      <c r="B305"/>
      <c r="C305"/>
      <c r="D305"/>
      <c r="E305"/>
      <c r="F305"/>
      <c r="G305"/>
    </row>
    <row r="306" spans="1:7" ht="16.5" x14ac:dyDescent="0.3">
      <c r="A306"/>
      <c r="B306"/>
      <c r="C306"/>
      <c r="D306"/>
      <c r="E306"/>
      <c r="F306"/>
      <c r="G306"/>
    </row>
    <row r="307" spans="1:7" ht="16.5" x14ac:dyDescent="0.3">
      <c r="A307"/>
      <c r="B307"/>
      <c r="C307"/>
      <c r="D307"/>
      <c r="E307"/>
      <c r="F307"/>
      <c r="G307"/>
    </row>
    <row r="308" spans="1:7" ht="16.5" x14ac:dyDescent="0.3">
      <c r="A308"/>
      <c r="B308"/>
      <c r="C308"/>
      <c r="D308"/>
      <c r="E308"/>
      <c r="F308"/>
      <c r="G308"/>
    </row>
    <row r="309" spans="1:7" ht="16.5" x14ac:dyDescent="0.3">
      <c r="A309"/>
      <c r="B309"/>
      <c r="C309"/>
      <c r="D309"/>
      <c r="E309"/>
      <c r="F309"/>
      <c r="G309"/>
    </row>
    <row r="310" spans="1:7" ht="16.5" x14ac:dyDescent="0.3">
      <c r="A310"/>
      <c r="B310"/>
      <c r="C310"/>
      <c r="D310"/>
      <c r="E310"/>
      <c r="F310"/>
      <c r="G310"/>
    </row>
    <row r="311" spans="1:7" ht="16.5" x14ac:dyDescent="0.3">
      <c r="A311"/>
      <c r="B311"/>
      <c r="C311"/>
      <c r="D311"/>
      <c r="E311"/>
      <c r="F311"/>
      <c r="G311"/>
    </row>
    <row r="312" spans="1:7" ht="16.5" x14ac:dyDescent="0.3">
      <c r="A312"/>
      <c r="B312"/>
      <c r="C312"/>
      <c r="D312"/>
      <c r="E312"/>
      <c r="F312"/>
      <c r="G312"/>
    </row>
    <row r="313" spans="1:7" ht="16.5" x14ac:dyDescent="0.3">
      <c r="A313"/>
      <c r="B313"/>
      <c r="C313"/>
      <c r="D313"/>
      <c r="E313"/>
      <c r="F313"/>
      <c r="G313"/>
    </row>
    <row r="314" spans="1:7" ht="16.5" x14ac:dyDescent="0.3">
      <c r="A314"/>
      <c r="B314"/>
      <c r="C314"/>
      <c r="D314"/>
      <c r="E314"/>
      <c r="F314"/>
      <c r="G314"/>
    </row>
    <row r="315" spans="1:7" ht="16.5" x14ac:dyDescent="0.3">
      <c r="A315"/>
      <c r="B315"/>
      <c r="C315"/>
      <c r="D315"/>
      <c r="E315"/>
      <c r="F315"/>
      <c r="G315"/>
    </row>
    <row r="316" spans="1:7" ht="16.5" x14ac:dyDescent="0.3">
      <c r="A316"/>
      <c r="B316"/>
      <c r="C316"/>
      <c r="D316"/>
      <c r="E316"/>
      <c r="F316"/>
      <c r="G316"/>
    </row>
    <row r="317" spans="1:7" ht="16.5" x14ac:dyDescent="0.3">
      <c r="A317"/>
      <c r="B317"/>
      <c r="C317"/>
      <c r="D317"/>
      <c r="E317"/>
      <c r="F317"/>
      <c r="G317"/>
    </row>
    <row r="318" spans="1:7" ht="16.5" x14ac:dyDescent="0.3">
      <c r="A318"/>
      <c r="B318"/>
      <c r="C318"/>
      <c r="D318"/>
      <c r="E318"/>
      <c r="F318"/>
      <c r="G318"/>
    </row>
    <row r="319" spans="1:7" ht="16.5" x14ac:dyDescent="0.3">
      <c r="A319"/>
      <c r="B319"/>
      <c r="C319"/>
      <c r="D319"/>
      <c r="E319"/>
      <c r="F319"/>
      <c r="G319"/>
    </row>
    <row r="320" spans="1:7" ht="16.5" x14ac:dyDescent="0.3">
      <c r="A320"/>
      <c r="B320"/>
      <c r="C320"/>
      <c r="D320"/>
      <c r="E320"/>
      <c r="F320"/>
      <c r="G320"/>
    </row>
    <row r="321" spans="1:7" ht="16.5" x14ac:dyDescent="0.3">
      <c r="A321"/>
      <c r="B321"/>
      <c r="C321"/>
      <c r="D321"/>
      <c r="E321"/>
      <c r="F321"/>
      <c r="G321"/>
    </row>
    <row r="322" spans="1:7" ht="16.5" x14ac:dyDescent="0.3">
      <c r="A322"/>
      <c r="B322"/>
      <c r="C322"/>
      <c r="D322"/>
      <c r="E322"/>
      <c r="F322"/>
      <c r="G322"/>
    </row>
    <row r="323" spans="1:7" ht="16.5" x14ac:dyDescent="0.3">
      <c r="A323"/>
      <c r="B323"/>
      <c r="C323"/>
      <c r="D323"/>
      <c r="E323"/>
      <c r="F323"/>
      <c r="G323"/>
    </row>
    <row r="324" spans="1:7" ht="16.5" x14ac:dyDescent="0.3">
      <c r="A324"/>
      <c r="B324"/>
      <c r="C324"/>
      <c r="D324"/>
      <c r="E324"/>
      <c r="F324"/>
      <c r="G324"/>
    </row>
    <row r="325" spans="1:7" ht="16.5" x14ac:dyDescent="0.3">
      <c r="A325"/>
      <c r="B325"/>
      <c r="C325"/>
      <c r="D325"/>
      <c r="E325"/>
      <c r="F325"/>
      <c r="G325"/>
    </row>
    <row r="326" spans="1:7" ht="16.5" x14ac:dyDescent="0.3">
      <c r="A326"/>
      <c r="B326"/>
      <c r="C326"/>
      <c r="D326"/>
      <c r="E326"/>
      <c r="F326"/>
      <c r="G326"/>
    </row>
    <row r="327" spans="1:7" ht="16.5" x14ac:dyDescent="0.3">
      <c r="A327"/>
      <c r="B327"/>
      <c r="C327"/>
      <c r="D327"/>
      <c r="E327"/>
      <c r="F327"/>
      <c r="G327"/>
    </row>
    <row r="328" spans="1:7" ht="16.5" x14ac:dyDescent="0.3">
      <c r="A328"/>
      <c r="B328"/>
      <c r="C328"/>
      <c r="D328"/>
      <c r="E328"/>
      <c r="F328"/>
      <c r="G328"/>
    </row>
    <row r="329" spans="1:7" ht="16.5" x14ac:dyDescent="0.3">
      <c r="A329"/>
      <c r="B329"/>
      <c r="C329"/>
      <c r="D329"/>
      <c r="E329"/>
      <c r="F329"/>
      <c r="G329"/>
    </row>
    <row r="330" spans="1:7" ht="16.5" x14ac:dyDescent="0.3">
      <c r="A330"/>
      <c r="B330"/>
      <c r="C330"/>
      <c r="D330"/>
      <c r="E330"/>
      <c r="F330"/>
      <c r="G330"/>
    </row>
    <row r="331" spans="1:7" ht="16.5" x14ac:dyDescent="0.3">
      <c r="A331"/>
      <c r="B331"/>
      <c r="C331"/>
      <c r="D331"/>
      <c r="E331"/>
      <c r="F331"/>
      <c r="G331"/>
    </row>
    <row r="332" spans="1:7" ht="16.5" x14ac:dyDescent="0.3">
      <c r="A332"/>
      <c r="B332"/>
      <c r="C332"/>
      <c r="D332"/>
      <c r="E332"/>
      <c r="F332"/>
      <c r="G332"/>
    </row>
    <row r="333" spans="1:7" ht="16.5" x14ac:dyDescent="0.3">
      <c r="A333"/>
      <c r="B333"/>
      <c r="C333"/>
      <c r="D333"/>
      <c r="E333"/>
      <c r="F333"/>
      <c r="G333"/>
    </row>
    <row r="334" spans="1:7" ht="16.5" x14ac:dyDescent="0.3">
      <c r="A334"/>
      <c r="B334"/>
      <c r="C334"/>
      <c r="D334"/>
      <c r="E334"/>
      <c r="F334"/>
      <c r="G334"/>
    </row>
    <row r="335" spans="1:7" ht="16.5" x14ac:dyDescent="0.3">
      <c r="A335"/>
      <c r="B335"/>
      <c r="C335"/>
      <c r="D335"/>
      <c r="E335"/>
      <c r="F335"/>
      <c r="G335"/>
    </row>
    <row r="336" spans="1:7" ht="16.5" x14ac:dyDescent="0.3">
      <c r="A336"/>
      <c r="B336"/>
      <c r="C336"/>
      <c r="D336"/>
      <c r="E336"/>
      <c r="F336"/>
      <c r="G336"/>
    </row>
    <row r="337" spans="1:7" ht="16.5" x14ac:dyDescent="0.3">
      <c r="A337"/>
      <c r="B337"/>
      <c r="C337"/>
      <c r="D337"/>
      <c r="E337"/>
      <c r="F337"/>
      <c r="G337"/>
    </row>
    <row r="338" spans="1:7" ht="16.5" x14ac:dyDescent="0.3">
      <c r="A338"/>
      <c r="B338"/>
      <c r="C338"/>
      <c r="D338"/>
      <c r="E338"/>
      <c r="F338"/>
      <c r="G338"/>
    </row>
    <row r="339" spans="1:7" ht="16.5" x14ac:dyDescent="0.3">
      <c r="A339"/>
      <c r="B339"/>
      <c r="C339"/>
      <c r="D339"/>
      <c r="E339"/>
      <c r="F339"/>
      <c r="G339"/>
    </row>
    <row r="340" spans="1:7" ht="16.5" x14ac:dyDescent="0.3">
      <c r="A340"/>
      <c r="B340"/>
      <c r="C340"/>
      <c r="D340"/>
      <c r="E340"/>
      <c r="F340"/>
      <c r="G340"/>
    </row>
    <row r="341" spans="1:7" ht="16.5" x14ac:dyDescent="0.3">
      <c r="A341"/>
      <c r="B341"/>
      <c r="C341"/>
      <c r="D341"/>
      <c r="E341"/>
      <c r="F341"/>
      <c r="G341"/>
    </row>
    <row r="342" spans="1:7" ht="16.5" x14ac:dyDescent="0.3">
      <c r="A342"/>
      <c r="B342"/>
      <c r="C342"/>
      <c r="D342"/>
      <c r="E342"/>
      <c r="F342"/>
      <c r="G342"/>
    </row>
    <row r="343" spans="1:7" ht="16.5" x14ac:dyDescent="0.3">
      <c r="A343"/>
      <c r="B343"/>
      <c r="C343"/>
      <c r="D343"/>
      <c r="E343"/>
      <c r="F343"/>
      <c r="G343"/>
    </row>
    <row r="344" spans="1:7" ht="16.5" x14ac:dyDescent="0.3">
      <c r="A344"/>
      <c r="B344"/>
      <c r="C344"/>
      <c r="D344"/>
      <c r="E344"/>
      <c r="F344"/>
      <c r="G344"/>
    </row>
    <row r="345" spans="1:7" ht="16.5" x14ac:dyDescent="0.3">
      <c r="A345"/>
      <c r="B345"/>
      <c r="C345"/>
      <c r="D345"/>
      <c r="E345"/>
      <c r="F345"/>
      <c r="G345"/>
    </row>
    <row r="346" spans="1:7" ht="16.5" x14ac:dyDescent="0.3">
      <c r="A346"/>
      <c r="B346"/>
      <c r="C346"/>
      <c r="D346"/>
      <c r="E346"/>
      <c r="F346"/>
      <c r="G346"/>
    </row>
    <row r="347" spans="1:7" ht="16.5" x14ac:dyDescent="0.3">
      <c r="A347"/>
      <c r="B347"/>
      <c r="C347"/>
      <c r="D347"/>
      <c r="E347"/>
      <c r="F347"/>
      <c r="G347"/>
    </row>
    <row r="348" spans="1:7" ht="16.5" x14ac:dyDescent="0.3">
      <c r="A348"/>
      <c r="B348"/>
      <c r="C348"/>
      <c r="D348"/>
      <c r="E348"/>
      <c r="F348"/>
      <c r="G348"/>
    </row>
    <row r="349" spans="1:7" ht="16.5" x14ac:dyDescent="0.3">
      <c r="A349"/>
      <c r="B349"/>
      <c r="C349"/>
      <c r="D349"/>
      <c r="E349"/>
      <c r="F349"/>
      <c r="G349"/>
    </row>
    <row r="350" spans="1:7" ht="16.5" x14ac:dyDescent="0.3">
      <c r="A350"/>
      <c r="B350"/>
      <c r="C350"/>
      <c r="D350"/>
      <c r="E350"/>
      <c r="F350"/>
      <c r="G350"/>
    </row>
    <row r="351" spans="1:7" ht="16.5" x14ac:dyDescent="0.3">
      <c r="A351"/>
      <c r="B351"/>
      <c r="C351"/>
      <c r="D351"/>
      <c r="E351"/>
      <c r="F351"/>
      <c r="G351"/>
    </row>
    <row r="352" spans="1:7" ht="16.5" x14ac:dyDescent="0.3">
      <c r="A352"/>
      <c r="B352"/>
      <c r="C352"/>
      <c r="D352"/>
      <c r="E352"/>
      <c r="F352"/>
      <c r="G352"/>
    </row>
    <row r="353" spans="1:7" ht="16.5" x14ac:dyDescent="0.3">
      <c r="A353"/>
      <c r="B353"/>
      <c r="C353"/>
      <c r="D353"/>
      <c r="E353"/>
      <c r="F353"/>
      <c r="G353"/>
    </row>
    <row r="354" spans="1:7" ht="16.5" x14ac:dyDescent="0.3">
      <c r="A354"/>
      <c r="B354"/>
      <c r="C354"/>
      <c r="D354"/>
      <c r="E354"/>
      <c r="F354"/>
      <c r="G354"/>
    </row>
    <row r="355" spans="1:7" ht="16.5" x14ac:dyDescent="0.3">
      <c r="A355"/>
      <c r="B355"/>
      <c r="C355"/>
      <c r="D355"/>
      <c r="E355"/>
      <c r="F355"/>
      <c r="G355"/>
    </row>
    <row r="356" spans="1:7" ht="16.5" x14ac:dyDescent="0.3">
      <c r="A356"/>
      <c r="B356"/>
      <c r="C356"/>
      <c r="D356"/>
      <c r="E356"/>
      <c r="F356"/>
      <c r="G356"/>
    </row>
    <row r="357" spans="1:7" ht="16.5" x14ac:dyDescent="0.3">
      <c r="A357"/>
      <c r="B357"/>
      <c r="C357"/>
      <c r="D357"/>
      <c r="E357"/>
      <c r="F357"/>
      <c r="G357"/>
    </row>
    <row r="358" spans="1:7" ht="16.5" x14ac:dyDescent="0.3">
      <c r="A358"/>
      <c r="B358"/>
      <c r="C358"/>
      <c r="D358"/>
      <c r="E358"/>
      <c r="F358"/>
      <c r="G358"/>
    </row>
    <row r="359" spans="1:7" ht="16.5" x14ac:dyDescent="0.3">
      <c r="A359"/>
      <c r="B359"/>
      <c r="C359"/>
      <c r="D359"/>
      <c r="E359"/>
      <c r="F359"/>
      <c r="G359"/>
    </row>
    <row r="360" spans="1:7" ht="16.5" x14ac:dyDescent="0.3">
      <c r="A360"/>
      <c r="B360"/>
      <c r="C360"/>
      <c r="D360"/>
      <c r="E360"/>
      <c r="F360"/>
      <c r="G360"/>
    </row>
    <row r="361" spans="1:7" ht="16.5" x14ac:dyDescent="0.3">
      <c r="A361"/>
      <c r="B361"/>
      <c r="C361"/>
      <c r="D361"/>
      <c r="E361"/>
      <c r="F361"/>
      <c r="G361"/>
    </row>
    <row r="362" spans="1:7" ht="16.5" x14ac:dyDescent="0.3">
      <c r="A362"/>
      <c r="B362"/>
      <c r="C362"/>
      <c r="D362"/>
      <c r="E362"/>
      <c r="F362"/>
      <c r="G362"/>
    </row>
    <row r="363" spans="1:7" ht="16.5" x14ac:dyDescent="0.3">
      <c r="A363"/>
      <c r="B363"/>
      <c r="C363"/>
      <c r="D363"/>
      <c r="E363"/>
      <c r="F363"/>
      <c r="G363"/>
    </row>
    <row r="364" spans="1:7" ht="16.5" x14ac:dyDescent="0.3">
      <c r="A364"/>
      <c r="B364"/>
      <c r="C364"/>
      <c r="D364"/>
      <c r="E364"/>
      <c r="F364"/>
      <c r="G364"/>
    </row>
    <row r="365" spans="1:7" ht="16.5" x14ac:dyDescent="0.3">
      <c r="A365"/>
      <c r="B365"/>
      <c r="C365"/>
      <c r="D365"/>
      <c r="E365"/>
      <c r="F365"/>
      <c r="G365"/>
    </row>
    <row r="366" spans="1:7" ht="16.5" x14ac:dyDescent="0.3">
      <c r="A366"/>
      <c r="B366"/>
      <c r="C366"/>
      <c r="D366"/>
      <c r="E366"/>
      <c r="F366"/>
      <c r="G366"/>
    </row>
    <row r="367" spans="1:7" ht="16.5" x14ac:dyDescent="0.3">
      <c r="A367"/>
      <c r="B367"/>
      <c r="C367"/>
      <c r="D367"/>
      <c r="E367"/>
      <c r="F367"/>
      <c r="G367"/>
    </row>
    <row r="368" spans="1:7" ht="16.5" x14ac:dyDescent="0.3">
      <c r="A368"/>
      <c r="B368"/>
      <c r="C368"/>
      <c r="D368"/>
      <c r="E368"/>
      <c r="F368"/>
      <c r="G368"/>
    </row>
    <row r="369" spans="1:7" ht="16.5" x14ac:dyDescent="0.3">
      <c r="A369"/>
      <c r="B369"/>
      <c r="C369"/>
      <c r="D369"/>
      <c r="E369"/>
      <c r="F369"/>
      <c r="G369"/>
    </row>
    <row r="370" spans="1:7" ht="16.5" x14ac:dyDescent="0.3">
      <c r="A370"/>
      <c r="B370"/>
      <c r="C370"/>
      <c r="D370"/>
      <c r="E370"/>
      <c r="F370"/>
      <c r="G370"/>
    </row>
    <row r="371" spans="1:7" ht="16.5" x14ac:dyDescent="0.3">
      <c r="A371"/>
      <c r="B371"/>
      <c r="C371"/>
      <c r="D371"/>
      <c r="E371"/>
      <c r="F371"/>
      <c r="G371"/>
    </row>
    <row r="372" spans="1:7" ht="16.5" x14ac:dyDescent="0.3">
      <c r="A372"/>
      <c r="B372"/>
      <c r="C372"/>
      <c r="D372"/>
      <c r="E372"/>
      <c r="F372"/>
      <c r="G372"/>
    </row>
    <row r="373" spans="1:7" ht="16.5" x14ac:dyDescent="0.3">
      <c r="A373"/>
      <c r="B373"/>
      <c r="C373"/>
      <c r="D373"/>
      <c r="E373"/>
      <c r="F373"/>
      <c r="G373"/>
    </row>
    <row r="374" spans="1:7" ht="16.5" x14ac:dyDescent="0.3">
      <c r="A374"/>
      <c r="B374"/>
      <c r="C374"/>
      <c r="D374"/>
      <c r="E374"/>
      <c r="F374"/>
      <c r="G374"/>
    </row>
    <row r="375" spans="1:7" ht="16.5" x14ac:dyDescent="0.3">
      <c r="A375"/>
      <c r="B375"/>
      <c r="C375"/>
      <c r="D375"/>
      <c r="E375"/>
      <c r="F375"/>
      <c r="G375"/>
    </row>
    <row r="376" spans="1:7" ht="16.5" x14ac:dyDescent="0.3">
      <c r="A376"/>
      <c r="B376"/>
      <c r="C376"/>
      <c r="D376"/>
      <c r="E376"/>
      <c r="F376"/>
      <c r="G376"/>
    </row>
    <row r="377" spans="1:7" ht="16.5" x14ac:dyDescent="0.3">
      <c r="A377"/>
      <c r="B377"/>
      <c r="C377"/>
      <c r="D377"/>
      <c r="E377"/>
      <c r="F377"/>
      <c r="G377"/>
    </row>
    <row r="378" spans="1:7" ht="16.5" x14ac:dyDescent="0.3">
      <c r="A378"/>
      <c r="B378"/>
      <c r="C378"/>
      <c r="D378"/>
      <c r="E378"/>
      <c r="F378"/>
      <c r="G378"/>
    </row>
    <row r="379" spans="1:7" ht="16.5" x14ac:dyDescent="0.3">
      <c r="A379"/>
      <c r="B379"/>
      <c r="C379"/>
      <c r="D379"/>
      <c r="E379"/>
      <c r="F379"/>
      <c r="G379"/>
    </row>
    <row r="380" spans="1:7" ht="16.5" x14ac:dyDescent="0.3">
      <c r="A380"/>
      <c r="B380"/>
      <c r="C380"/>
      <c r="D380"/>
      <c r="E380"/>
      <c r="F380"/>
      <c r="G380"/>
    </row>
    <row r="381" spans="1:7" ht="16.5" x14ac:dyDescent="0.3">
      <c r="A381"/>
      <c r="B381"/>
      <c r="C381"/>
      <c r="D381"/>
      <c r="E381"/>
      <c r="F381"/>
      <c r="G381"/>
    </row>
    <row r="382" spans="1:7" ht="16.5" x14ac:dyDescent="0.3">
      <c r="A382"/>
      <c r="B382"/>
      <c r="C382"/>
      <c r="D382"/>
      <c r="E382"/>
      <c r="F382"/>
      <c r="G382"/>
    </row>
    <row r="383" spans="1:7" ht="16.5" x14ac:dyDescent="0.3">
      <c r="A383"/>
      <c r="B383"/>
      <c r="C383"/>
      <c r="D383"/>
      <c r="E383"/>
      <c r="F383"/>
      <c r="G383"/>
    </row>
    <row r="384" spans="1:7" ht="16.5" x14ac:dyDescent="0.3">
      <c r="A384"/>
      <c r="B384"/>
      <c r="C384"/>
      <c r="D384"/>
      <c r="E384"/>
      <c r="F384"/>
      <c r="G384"/>
    </row>
    <row r="385" spans="1:7" ht="16.5" x14ac:dyDescent="0.3">
      <c r="A385"/>
      <c r="B385"/>
      <c r="C385"/>
      <c r="D385"/>
      <c r="E385"/>
      <c r="F385"/>
      <c r="G385"/>
    </row>
    <row r="386" spans="1:7" ht="16.5" x14ac:dyDescent="0.3">
      <c r="A386"/>
      <c r="B386"/>
      <c r="C386"/>
      <c r="D386"/>
      <c r="E386"/>
      <c r="F386"/>
      <c r="G386"/>
    </row>
    <row r="387" spans="1:7" ht="16.5" x14ac:dyDescent="0.3">
      <c r="A387"/>
      <c r="B387"/>
      <c r="C387"/>
      <c r="D387"/>
      <c r="E387"/>
      <c r="F387"/>
      <c r="G387"/>
    </row>
    <row r="388" spans="1:7" ht="16.5" x14ac:dyDescent="0.3">
      <c r="A388"/>
      <c r="B388"/>
      <c r="C388"/>
      <c r="D388"/>
      <c r="E388"/>
      <c r="F388"/>
      <c r="G388"/>
    </row>
    <row r="389" spans="1:7" ht="16.5" x14ac:dyDescent="0.3">
      <c r="A389"/>
      <c r="B389"/>
      <c r="C389"/>
      <c r="D389"/>
      <c r="E389"/>
      <c r="F389"/>
      <c r="G389"/>
    </row>
    <row r="390" spans="1:7" ht="16.5" x14ac:dyDescent="0.3">
      <c r="A390"/>
      <c r="B390"/>
      <c r="C390"/>
      <c r="D390"/>
      <c r="E390"/>
      <c r="F390"/>
      <c r="G390"/>
    </row>
    <row r="391" spans="1:7" ht="16.5" x14ac:dyDescent="0.3">
      <c r="A391"/>
      <c r="B391"/>
      <c r="C391"/>
      <c r="D391"/>
      <c r="E391"/>
      <c r="F391"/>
      <c r="G391"/>
    </row>
    <row r="392" spans="1:7" ht="16.5" x14ac:dyDescent="0.3">
      <c r="A392"/>
      <c r="B392"/>
      <c r="C392"/>
      <c r="D392"/>
      <c r="E392"/>
      <c r="F392"/>
      <c r="G392"/>
    </row>
    <row r="393" spans="1:7" ht="16.5" x14ac:dyDescent="0.3">
      <c r="A393"/>
      <c r="B393"/>
      <c r="C393"/>
      <c r="D393"/>
      <c r="E393"/>
      <c r="F393"/>
      <c r="G393"/>
    </row>
    <row r="394" spans="1:7" ht="16.5" x14ac:dyDescent="0.3">
      <c r="A394"/>
      <c r="B394"/>
      <c r="C394"/>
      <c r="D394"/>
      <c r="E394"/>
      <c r="F394"/>
      <c r="G394"/>
    </row>
    <row r="395" spans="1:7" ht="16.5" x14ac:dyDescent="0.3">
      <c r="A395"/>
      <c r="B395"/>
      <c r="C395"/>
      <c r="D395"/>
      <c r="E395"/>
      <c r="F395"/>
      <c r="G395"/>
    </row>
    <row r="396" spans="1:7" ht="16.5" x14ac:dyDescent="0.3">
      <c r="A396"/>
      <c r="B396"/>
      <c r="C396"/>
      <c r="D396"/>
      <c r="E396"/>
      <c r="F396"/>
      <c r="G396"/>
    </row>
    <row r="397" spans="1:7" ht="16.5" x14ac:dyDescent="0.3">
      <c r="A397"/>
      <c r="B397"/>
      <c r="C397"/>
      <c r="D397"/>
      <c r="E397"/>
      <c r="F397"/>
      <c r="G397"/>
    </row>
  </sheetData>
  <mergeCells count="3">
    <mergeCell ref="C1:U1"/>
    <mergeCell ref="C2:U2"/>
    <mergeCell ref="F4:V4"/>
  </mergeCells>
  <hyperlinks>
    <hyperlink ref="A6" location="Home!A1" display="Home" xr:uid="{00000000-0004-0000-0F00-000000000000}"/>
    <hyperlink ref="A8" location="Setup!A1" display="Model set up" xr:uid="{00000000-0004-0000-0F00-000001000000}"/>
    <hyperlink ref="A10" location="Population!A1" display="Population" xr:uid="{00000000-0004-0000-0F00-000002000000}"/>
  </hyperlinks>
  <pageMargins left="0.7" right="0.7" top="0.75" bottom="0.75" header="0.3" footer="0.3"/>
  <pageSetup paperSize="9" orientation="portrait" horizontalDpi="4294967293" verticalDpi="300"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2E418B38-65D9-4A69-8102-A5C090FEF47C}">
            <xm:f>NOT(ISERROR(SEARCH($C$4,A6)))</xm:f>
            <xm:f>$C$4</xm:f>
            <x14:dxf>
              <font>
                <b val="0"/>
                <i val="0"/>
                <strike val="0"/>
                <color theme="0"/>
              </font>
              <fill>
                <patternFill>
                  <bgColor theme="5"/>
                </patternFill>
              </fill>
            </x14:dxf>
          </x14:cfRule>
          <xm:sqref>A6:A11 A17:A41</xm:sqref>
        </x14:conditionalFormatting>
        <x14:conditionalFormatting xmlns:xm="http://schemas.microsoft.com/office/excel/2006/main">
          <x14:cfRule type="containsText" priority="1" operator="containsText" id="{F5FEC13F-2BD2-49A9-880C-E7D7E5D408A1}">
            <xm:f>NOT(ISERROR(SEARCH($C$4,A12)))</xm:f>
            <xm:f>$C$4</xm:f>
            <x14:dxf>
              <font>
                <b val="0"/>
                <i val="0"/>
                <strike val="0"/>
                <color theme="0"/>
              </font>
              <fill>
                <patternFill>
                  <bgColor theme="5"/>
                </patternFill>
              </fill>
            </x14:dxf>
          </x14:cfRule>
          <xm:sqref>A12:A16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rgb="FFC00000"/>
  </sheetPr>
  <dimension ref="A1:AU315"/>
  <sheetViews>
    <sheetView topLeftCell="A9" zoomScale="70" zoomScaleNormal="70" workbookViewId="0">
      <selection activeCell="J11" sqref="J11:J14"/>
    </sheetView>
  </sheetViews>
  <sheetFormatPr defaultColWidth="8.625" defaultRowHeight="15" x14ac:dyDescent="0.3"/>
  <cols>
    <col min="1" max="1" width="21" style="1" customWidth="1"/>
    <col min="2" max="2" width="8.625" style="1"/>
    <col min="3" max="3" width="14.125" style="1" customWidth="1"/>
    <col min="4" max="4" width="25" style="1" customWidth="1"/>
    <col min="5" max="11" width="17.375" style="1" customWidth="1"/>
    <col min="12" max="12" width="15.75" style="1" bestFit="1" customWidth="1"/>
    <col min="13" max="13" width="13.875" style="1" bestFit="1" customWidth="1"/>
    <col min="14" max="14" width="10.5" style="1" bestFit="1" customWidth="1"/>
    <col min="15" max="15" width="19.875" style="1" customWidth="1"/>
    <col min="16" max="16" width="13.875" style="1" bestFit="1" customWidth="1"/>
    <col min="17" max="17" width="15.75" style="1" bestFit="1" customWidth="1"/>
    <col min="18" max="18" width="13.875" style="1" bestFit="1" customWidth="1"/>
    <col min="19" max="19" width="8.625" style="1"/>
    <col min="20" max="20" width="12.75" style="1" bestFit="1" customWidth="1"/>
    <col min="21" max="21" width="8.625" style="1"/>
    <col min="22" max="22" width="15.75" style="1" bestFit="1" customWidth="1"/>
    <col min="23" max="23" width="12" style="1" bestFit="1" customWidth="1"/>
    <col min="24" max="24" width="10.625" style="1" bestFit="1" customWidth="1"/>
    <col min="25" max="29" width="8.625" style="1"/>
    <col min="30" max="31" width="12" style="1" bestFit="1" customWidth="1"/>
    <col min="32" max="32" width="15.75" style="1" bestFit="1" customWidth="1"/>
    <col min="33" max="33" width="13.875" style="1" bestFit="1" customWidth="1"/>
    <col min="34" max="34" width="12.75" style="1" customWidth="1"/>
    <col min="35" max="38" width="8.625" style="1"/>
    <col min="39" max="39" width="12.75" style="1" customWidth="1"/>
    <col min="40" max="40" width="9.5" style="1" bestFit="1" customWidth="1"/>
    <col min="41" max="41" width="15" style="1" customWidth="1"/>
    <col min="42" max="42" width="13.25" style="1" customWidth="1"/>
    <col min="43" max="47" width="17.125" style="1" customWidth="1"/>
    <col min="48" max="16384" width="8.625" style="1"/>
  </cols>
  <sheetData>
    <row r="1" spans="1:34"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147"/>
      <c r="W1" s="4"/>
      <c r="X1" s="4"/>
      <c r="Y1" s="4"/>
      <c r="Z1" s="4"/>
      <c r="AA1" s="4"/>
    </row>
    <row r="2" spans="1:34"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148"/>
      <c r="W2" s="6"/>
      <c r="X2" s="6"/>
      <c r="Y2" s="6"/>
      <c r="Z2" s="6"/>
      <c r="AA2" s="6"/>
    </row>
    <row r="3" spans="1:34" ht="17.25" thickTop="1" x14ac:dyDescent="0.3">
      <c r="A3" s="2"/>
      <c r="B3" s="25"/>
      <c r="C3" s="25"/>
      <c r="D3" s="36"/>
      <c r="E3" s="25"/>
      <c r="F3" s="25"/>
      <c r="G3" s="25"/>
      <c r="H3" s="25"/>
      <c r="I3" s="25"/>
      <c r="J3" s="25"/>
      <c r="K3" s="25"/>
      <c r="L3" s="25"/>
      <c r="M3" s="25"/>
      <c r="N3" s="25"/>
      <c r="O3" s="25"/>
      <c r="P3" s="25"/>
      <c r="Q3" s="25"/>
      <c r="R3" s="25"/>
      <c r="S3" s="25"/>
      <c r="T3" s="25"/>
      <c r="U3" s="25"/>
      <c r="V3" s="25"/>
      <c r="W3" s="25"/>
      <c r="X3" s="25"/>
      <c r="Y3" s="25"/>
      <c r="Z3" s="25"/>
      <c r="AA3" s="25"/>
    </row>
    <row r="4" spans="1:34" ht="21" customHeight="1" x14ac:dyDescent="0.3">
      <c r="A4" s="7" t="s">
        <v>0</v>
      </c>
      <c r="B4" s="8"/>
      <c r="C4" s="10" t="s">
        <v>81</v>
      </c>
      <c r="D4" s="10"/>
      <c r="E4" s="10"/>
      <c r="F4" s="10"/>
      <c r="G4" s="145" t="s">
        <v>82</v>
      </c>
      <c r="H4" s="145"/>
      <c r="I4" s="145"/>
      <c r="J4" s="145"/>
      <c r="K4" s="145"/>
      <c r="L4" s="145"/>
      <c r="M4" s="145"/>
      <c r="N4" s="145"/>
      <c r="O4" s="145"/>
      <c r="P4" s="145"/>
      <c r="Q4" s="145"/>
      <c r="R4" s="145"/>
      <c r="S4" s="145"/>
      <c r="T4" s="145"/>
      <c r="U4" s="145"/>
      <c r="V4" s="145"/>
      <c r="W4" s="145"/>
      <c r="X4" s="8"/>
      <c r="Y4" s="8"/>
      <c r="Z4" s="8"/>
      <c r="AA4" s="8"/>
    </row>
    <row r="5" spans="1:34" ht="17.25" thickBot="1" x14ac:dyDescent="0.35">
      <c r="A5" s="2"/>
      <c r="B5" s="25"/>
      <c r="C5" s="25"/>
      <c r="D5" s="36"/>
      <c r="E5" s="25"/>
      <c r="F5" s="25"/>
      <c r="G5" s="25"/>
      <c r="H5" s="25"/>
      <c r="I5" s="25"/>
      <c r="J5" s="25"/>
      <c r="K5" s="25"/>
      <c r="L5" s="25"/>
      <c r="M5" s="25"/>
      <c r="N5" s="25"/>
      <c r="O5" s="25"/>
      <c r="P5" s="25"/>
      <c r="Q5" s="25"/>
      <c r="R5" s="25"/>
      <c r="S5" s="25"/>
      <c r="T5" s="25"/>
      <c r="U5" s="25"/>
      <c r="V5" s="25"/>
      <c r="W5" s="25"/>
      <c r="X5" s="25"/>
      <c r="Y5" s="25"/>
      <c r="Z5" s="25"/>
      <c r="AA5" s="25"/>
    </row>
    <row r="6" spans="1:34" ht="18" thickTop="1" thickBot="1" x14ac:dyDescent="0.35">
      <c r="A6" s="26" t="s">
        <v>1</v>
      </c>
      <c r="C6" s="12" t="s">
        <v>289</v>
      </c>
      <c r="D6" s="16">
        <v>1</v>
      </c>
      <c r="E6"/>
      <c r="F6"/>
      <c r="G6"/>
      <c r="H6"/>
      <c r="I6" t="s">
        <v>292</v>
      </c>
      <c r="J6"/>
      <c r="K6"/>
      <c r="L6"/>
      <c r="M6"/>
      <c r="U6" s="12" t="s">
        <v>289</v>
      </c>
      <c r="V6" s="16">
        <v>90</v>
      </c>
      <c r="W6" s="44"/>
      <c r="X6" s="44" t="s">
        <v>304</v>
      </c>
      <c r="Y6" s="44"/>
      <c r="Z6" s="44"/>
      <c r="AA6" s="44"/>
      <c r="AB6" s="44"/>
    </row>
    <row r="7" spans="1:34" ht="18" thickTop="1" thickBot="1" x14ac:dyDescent="0.35">
      <c r="A7" s="2"/>
      <c r="C7" s="25"/>
      <c r="D7" s="36"/>
      <c r="E7"/>
      <c r="F7"/>
      <c r="G7"/>
      <c r="H7" t="s">
        <v>263</v>
      </c>
      <c r="I7"/>
      <c r="J7"/>
      <c r="K7"/>
      <c r="L7"/>
      <c r="M7"/>
      <c r="N7" s="25"/>
      <c r="O7" s="25"/>
      <c r="U7" s="44"/>
      <c r="V7" s="44"/>
      <c r="W7" s="44" t="s">
        <v>263</v>
      </c>
      <c r="X7" s="44"/>
      <c r="Y7" s="44"/>
      <c r="Z7" s="44"/>
      <c r="AA7" s="44"/>
      <c r="AB7" s="44"/>
      <c r="AC7" s="44"/>
      <c r="AD7" s="44"/>
    </row>
    <row r="8" spans="1:34" ht="18" thickTop="1" thickBot="1" x14ac:dyDescent="0.35">
      <c r="A8" s="26" t="s">
        <v>12</v>
      </c>
      <c r="C8" s="25"/>
      <c r="D8" s="36"/>
      <c r="E8" s="25"/>
      <c r="F8" s="25"/>
      <c r="G8" s="25"/>
      <c r="H8" s="36" t="s">
        <v>166</v>
      </c>
      <c r="I8" s="36" t="s">
        <v>181</v>
      </c>
      <c r="J8" s="36" t="s">
        <v>182</v>
      </c>
      <c r="K8" s="36" t="s">
        <v>272</v>
      </c>
      <c r="L8" s="1" t="s">
        <v>281</v>
      </c>
      <c r="M8" s="1" t="s">
        <v>282</v>
      </c>
      <c r="N8" s="36" t="s">
        <v>183</v>
      </c>
      <c r="O8" s="36" t="s">
        <v>1</v>
      </c>
      <c r="P8" s="36" t="s">
        <v>184</v>
      </c>
      <c r="Q8" s="36" t="s">
        <v>186</v>
      </c>
      <c r="R8" s="36" t="s">
        <v>187</v>
      </c>
      <c r="S8" s="36" t="s">
        <v>185</v>
      </c>
      <c r="T8" s="36"/>
      <c r="U8" s="44"/>
      <c r="V8" s="44"/>
      <c r="W8" s="44" t="s">
        <v>166</v>
      </c>
      <c r="X8" s="44" t="s">
        <v>181</v>
      </c>
      <c r="Y8" s="44" t="s">
        <v>182</v>
      </c>
      <c r="Z8" s="44" t="s">
        <v>272</v>
      </c>
      <c r="AA8" s="1" t="s">
        <v>281</v>
      </c>
      <c r="AB8" s="1" t="s">
        <v>282</v>
      </c>
      <c r="AC8" s="44" t="s">
        <v>183</v>
      </c>
      <c r="AD8" s="44" t="s">
        <v>1</v>
      </c>
      <c r="AE8" s="44" t="s">
        <v>184</v>
      </c>
      <c r="AF8" s="44" t="s">
        <v>186</v>
      </c>
      <c r="AG8" s="44" t="s">
        <v>187</v>
      </c>
      <c r="AH8" s="44" t="s">
        <v>185</v>
      </c>
    </row>
    <row r="9" spans="1:34" ht="18" thickTop="1" thickBot="1" x14ac:dyDescent="0.35">
      <c r="A9" s="2"/>
      <c r="C9" s="44" t="s">
        <v>310</v>
      </c>
      <c r="D9" s="16">
        <f>i_Pop_Obes/100</f>
        <v>0.35</v>
      </c>
      <c r="E9" s="25"/>
      <c r="F9" s="25" t="s">
        <v>264</v>
      </c>
      <c r="G9" s="25" t="s">
        <v>166</v>
      </c>
      <c r="H9" s="14">
        <v>0</v>
      </c>
      <c r="I9" s="14">
        <f>((1-EXP(-((-LN(1-i_Eve_Reop/100))/365.25)*1)))</f>
        <v>1.4042352610710296E-4</v>
      </c>
      <c r="J9" s="14">
        <f t="shared" ref="J9:P9" si="0">((1-EXP(-((-LN(1-i_Eve_Reop/100))/365.25)*1)))</f>
        <v>1.4042352610710296E-4</v>
      </c>
      <c r="K9" s="14">
        <f t="shared" si="0"/>
        <v>1.4042352610710296E-4</v>
      </c>
      <c r="L9" s="14">
        <f t="shared" si="0"/>
        <v>1.4042352610710296E-4</v>
      </c>
      <c r="M9" s="14">
        <f t="shared" si="0"/>
        <v>1.4042352610710296E-4</v>
      </c>
      <c r="N9" s="14">
        <f t="shared" si="0"/>
        <v>1.4042352610710296E-4</v>
      </c>
      <c r="O9" s="14">
        <f t="shared" si="0"/>
        <v>1.4042352610710296E-4</v>
      </c>
      <c r="P9" s="14">
        <f t="shared" si="0"/>
        <v>1.4042352610710296E-4</v>
      </c>
      <c r="Q9" s="14">
        <v>0</v>
      </c>
      <c r="R9" s="14">
        <v>0</v>
      </c>
      <c r="S9" s="14">
        <v>0</v>
      </c>
      <c r="U9" s="44" t="s">
        <v>264</v>
      </c>
      <c r="V9" s="44" t="s">
        <v>166</v>
      </c>
      <c r="W9" s="14">
        <v>0</v>
      </c>
      <c r="X9" s="14">
        <v>0</v>
      </c>
      <c r="Y9" s="14">
        <v>0</v>
      </c>
      <c r="Z9" s="14">
        <v>0</v>
      </c>
      <c r="AA9" s="14">
        <v>0</v>
      </c>
      <c r="AB9" s="14">
        <v>0</v>
      </c>
      <c r="AC9" s="14">
        <v>0</v>
      </c>
      <c r="AD9" s="14">
        <v>0</v>
      </c>
      <c r="AE9" s="14">
        <v>0</v>
      </c>
      <c r="AF9" s="14">
        <v>0</v>
      </c>
      <c r="AG9" s="14">
        <v>0</v>
      </c>
      <c r="AH9" s="14">
        <v>0</v>
      </c>
    </row>
    <row r="10" spans="1:34" ht="18" thickTop="1" thickBot="1" x14ac:dyDescent="0.35">
      <c r="A10" s="26" t="s">
        <v>13</v>
      </c>
      <c r="C10" s="44" t="s">
        <v>311</v>
      </c>
      <c r="D10" s="16">
        <f>i_Pop_Morb/100</f>
        <v>0.06</v>
      </c>
      <c r="E10" s="25" t="s">
        <v>16</v>
      </c>
      <c r="F10" s="25"/>
      <c r="G10" s="25" t="s">
        <v>181</v>
      </c>
      <c r="H10" s="14">
        <f>1-H11-H20</f>
        <v>0.88381554155006925</v>
      </c>
      <c r="I10" s="14">
        <f ca="1">MAX(0,1-I9-I12-I20-I13-I14)</f>
        <v>5.4107699886486796E-3</v>
      </c>
      <c r="J10" s="14">
        <v>0</v>
      </c>
      <c r="K10" s="14">
        <v>0</v>
      </c>
      <c r="L10" s="14">
        <v>0</v>
      </c>
      <c r="M10" s="14">
        <v>0</v>
      </c>
      <c r="N10" s="14">
        <v>0</v>
      </c>
      <c r="O10" s="14">
        <v>0</v>
      </c>
      <c r="P10" s="14">
        <v>0</v>
      </c>
      <c r="Q10" s="14">
        <v>0</v>
      </c>
      <c r="R10" s="14">
        <v>0</v>
      </c>
      <c r="S10" s="14">
        <v>0</v>
      </c>
      <c r="U10" s="44"/>
      <c r="V10" s="44" t="s">
        <v>181</v>
      </c>
      <c r="W10" s="14">
        <v>0</v>
      </c>
      <c r="X10" s="14">
        <v>0</v>
      </c>
      <c r="Y10" s="14">
        <v>0</v>
      </c>
      <c r="Z10" s="14">
        <v>0</v>
      </c>
      <c r="AA10" s="14">
        <v>0</v>
      </c>
      <c r="AB10" s="14">
        <v>0</v>
      </c>
      <c r="AC10" s="14">
        <v>0</v>
      </c>
      <c r="AD10" s="14">
        <v>0</v>
      </c>
      <c r="AE10" s="14">
        <v>0</v>
      </c>
      <c r="AF10" s="14">
        <v>0</v>
      </c>
      <c r="AG10" s="14">
        <v>0</v>
      </c>
      <c r="AH10" s="14">
        <v>0</v>
      </c>
    </row>
    <row r="11" spans="1:34" ht="18" thickTop="1" thickBot="1" x14ac:dyDescent="0.35">
      <c r="A11" s="2"/>
      <c r="C11" s="44" t="s">
        <v>314</v>
      </c>
      <c r="D11" s="16">
        <f>IF(i_Ris_Risk="Obese",D9+D10,D10)</f>
        <v>0.06</v>
      </c>
      <c r="E11" s="44" t="s">
        <v>16</v>
      </c>
      <c r="F11" s="25"/>
      <c r="G11" s="25" t="s">
        <v>182</v>
      </c>
      <c r="H11" s="14">
        <f>(i_Eve_Prol/100*(1-$D$11))+((i_Ris_Prol/((1/(i_Eve_Prol/100))-1+i_Ris_Prol))*$D$11)</f>
        <v>0.1098525526740797</v>
      </c>
      <c r="I11" s="14">
        <v>0</v>
      </c>
      <c r="J11" s="14">
        <f ca="1">1-J9-J12-J20-J13-J14</f>
        <v>0.61183179875042981</v>
      </c>
      <c r="K11" s="14">
        <v>0</v>
      </c>
      <c r="L11" s="14">
        <v>0</v>
      </c>
      <c r="M11" s="14">
        <v>0</v>
      </c>
      <c r="N11" s="14">
        <v>0</v>
      </c>
      <c r="O11" s="14">
        <v>0</v>
      </c>
      <c r="P11" s="14">
        <v>0</v>
      </c>
      <c r="Q11" s="14">
        <v>0</v>
      </c>
      <c r="R11" s="14">
        <v>0</v>
      </c>
      <c r="S11" s="14">
        <v>0</v>
      </c>
      <c r="U11" s="44"/>
      <c r="V11" s="44" t="s">
        <v>182</v>
      </c>
      <c r="W11" s="14">
        <v>0</v>
      </c>
      <c r="X11" s="14">
        <v>0</v>
      </c>
      <c r="Y11" s="14">
        <v>0</v>
      </c>
      <c r="Z11" s="14">
        <v>0</v>
      </c>
      <c r="AA11" s="14">
        <v>0</v>
      </c>
      <c r="AB11" s="14">
        <v>0</v>
      </c>
      <c r="AC11" s="14">
        <v>0</v>
      </c>
      <c r="AD11" s="14">
        <v>0</v>
      </c>
      <c r="AE11" s="14">
        <v>0</v>
      </c>
      <c r="AF11" s="14">
        <v>0</v>
      </c>
      <c r="AG11" s="14">
        <v>0</v>
      </c>
      <c r="AH11" s="14">
        <v>0</v>
      </c>
    </row>
    <row r="12" spans="1:34" ht="18" thickTop="1" thickBot="1" x14ac:dyDescent="0.35">
      <c r="A12" s="26" t="s">
        <v>22</v>
      </c>
      <c r="C12" s="44" t="s">
        <v>86</v>
      </c>
      <c r="D12" s="16">
        <f>IF(D13&gt;i_Pop_Diab/100,0,(i_Pop_Diab/100)-D13)</f>
        <v>0.41300000000000003</v>
      </c>
      <c r="E12" s="44" t="s">
        <v>16</v>
      </c>
      <c r="F12" s="25"/>
      <c r="G12" s="25" t="s">
        <v>272</v>
      </c>
      <c r="H12" s="14">
        <v>0</v>
      </c>
      <c r="I12" s="14">
        <f>((1-EXP(-(-LN(1-MIN(0.9,1/i_Eve_Time))/i_Eve_Time)*1)))</f>
        <v>0.99</v>
      </c>
      <c r="J12" s="14">
        <f>1-EXP(-(1/(MAX(0.01,LN(i_Bac_MV_days)))))</f>
        <v>0.38357897123821882</v>
      </c>
      <c r="K12" s="14">
        <f ca="1">1-K9-K15-K20-K13-K14</f>
        <v>4.3017436655315468E-2</v>
      </c>
      <c r="L12" s="14">
        <f>(1-EXP(-(1/POWER(i_Cos_SSI,100/91.3))))/2</f>
        <v>2.8531848275821226E-2</v>
      </c>
      <c r="M12" s="14">
        <f>(1-EXP(-(1/POWER(i_Cos_DSWI,100/91.3))))/2</f>
        <v>1.5155541063384514E-2</v>
      </c>
      <c r="N12" s="14">
        <v>0</v>
      </c>
      <c r="O12" s="14">
        <v>0</v>
      </c>
      <c r="P12" s="14">
        <v>0</v>
      </c>
      <c r="Q12" s="14">
        <v>0</v>
      </c>
      <c r="R12" s="14">
        <v>0</v>
      </c>
      <c r="S12" s="14">
        <v>0</v>
      </c>
      <c r="U12" s="44"/>
      <c r="V12" s="44" t="s">
        <v>272</v>
      </c>
      <c r="W12" s="14">
        <f ca="1">1-W20-W14-W13</f>
        <v>0.99336765483005629</v>
      </c>
      <c r="X12" s="84">
        <f ca="1">1-X20-X13-X14</f>
        <v>0.82458470759214297</v>
      </c>
      <c r="Y12" s="14">
        <f ca="1">1-Y20-Y13-Y14</f>
        <v>0.82458470759214297</v>
      </c>
      <c r="Z12" s="14">
        <v>0</v>
      </c>
      <c r="AA12" s="14">
        <v>0</v>
      </c>
      <c r="AB12" s="14">
        <v>0</v>
      </c>
      <c r="AC12" s="14">
        <v>0</v>
      </c>
      <c r="AD12" s="14">
        <v>0</v>
      </c>
      <c r="AE12" s="14">
        <v>0</v>
      </c>
      <c r="AF12" s="14">
        <v>0</v>
      </c>
      <c r="AG12" s="14">
        <v>0</v>
      </c>
      <c r="AH12" s="14">
        <v>0</v>
      </c>
    </row>
    <row r="13" spans="1:34" ht="18" thickTop="1" thickBot="1" x14ac:dyDescent="0.35">
      <c r="A13" s="2"/>
      <c r="C13" s="32" t="s">
        <v>463</v>
      </c>
      <c r="D13" s="16">
        <f>(D11*(i_Bac_Obes/100))</f>
        <v>3.9E-2</v>
      </c>
      <c r="E13" s="32" t="s">
        <v>16</v>
      </c>
      <c r="F13" s="25"/>
      <c r="G13" s="1" t="s">
        <v>281</v>
      </c>
      <c r="H13" s="14">
        <v>0</v>
      </c>
      <c r="I13" s="14">
        <f ca="1">Calculations!$K$32</f>
        <v>1.1926746252738374E-3</v>
      </c>
      <c r="J13" s="14">
        <f ca="1">Calculations!$K$32</f>
        <v>1.1926746252738374E-3</v>
      </c>
      <c r="K13" s="14">
        <f ca="1">Calculations!$K$32</f>
        <v>1.1926746252738374E-3</v>
      </c>
      <c r="L13" s="14">
        <f>1-L9-L15-L20-L12</f>
        <v>0.94061213117003439</v>
      </c>
      <c r="M13" s="14">
        <v>0</v>
      </c>
      <c r="N13" s="14">
        <f ca="1">Calculations!$K$32</f>
        <v>1.1926746252738374E-3</v>
      </c>
      <c r="O13" s="14">
        <v>0</v>
      </c>
      <c r="P13" s="14">
        <v>0</v>
      </c>
      <c r="Q13" s="14">
        <v>0</v>
      </c>
      <c r="R13" s="14">
        <v>0</v>
      </c>
      <c r="S13" s="14">
        <v>0</v>
      </c>
      <c r="U13" s="44"/>
      <c r="V13" s="1" t="s">
        <v>281</v>
      </c>
      <c r="W13" s="14">
        <f ca="1">Calculations!$K$35</f>
        <v>2.8053305593933597E-4</v>
      </c>
      <c r="X13" s="14">
        <f ca="1">Calculations!$K$35</f>
        <v>2.8053305593933597E-4</v>
      </c>
      <c r="Y13" s="14">
        <f ca="1">Calculations!$K$35</f>
        <v>2.8053305593933597E-4</v>
      </c>
      <c r="Z13" s="14">
        <f ca="1">Calculations!$K$35</f>
        <v>2.8053305593933597E-4</v>
      </c>
      <c r="AA13" s="14">
        <v>0</v>
      </c>
      <c r="AB13" s="14">
        <v>0</v>
      </c>
      <c r="AC13" s="14">
        <v>0</v>
      </c>
      <c r="AD13" s="14">
        <v>0</v>
      </c>
      <c r="AE13" s="14">
        <v>0</v>
      </c>
      <c r="AF13" s="14">
        <v>0</v>
      </c>
      <c r="AG13" s="14">
        <v>0</v>
      </c>
      <c r="AH13" s="14">
        <v>0</v>
      </c>
    </row>
    <row r="14" spans="1:34" ht="18" thickTop="1" thickBot="1" x14ac:dyDescent="0.35">
      <c r="A14" s="26" t="s">
        <v>23</v>
      </c>
      <c r="C14" s="25"/>
      <c r="D14" s="139"/>
      <c r="E14" s="25"/>
      <c r="F14" s="25"/>
      <c r="G14" s="1" t="s">
        <v>282</v>
      </c>
      <c r="H14" s="14">
        <v>0</v>
      </c>
      <c r="I14" s="14">
        <f ca="1">(((Calculations!$L$32*(1-$D$11))+((i_Ris_DSWI/((1/Calculations!$L$32)-1+i_Ris_DSWI))*$D$11))/2)+(((Calculations!$L$32*(1-$D$12))+((i_Ris_Diab/((1/Calculations!$L$32)-1+i_Ris_Diab))*$D$12))/2)</f>
        <v>1.0723831077543791E-3</v>
      </c>
      <c r="J14" s="14">
        <f ca="1">(((Calculations!$L$32*(1-$D$11))+((i_Ris_DSWI/((1/Calculations!$L$32)-1+i_Ris_DSWI))*$D$11))/2)+(((Calculations!$L$32*(1-$D$12))+((i_Ris_Diab/((1/Calculations!$L$32)-1+i_Ris_Diab))*$D$12))/2)</f>
        <v>1.0723831077543791E-3</v>
      </c>
      <c r="K14" s="14">
        <f ca="1">(((Calculations!$L$32*(1-$D$11))+((i_Ris_DSWI/((1/Calculations!$L$32)-1+i_Ris_DSWI))*$D$11))/2)+(((Calculations!$L$32*(1-$D$12))+((i_Ris_Diab/((1/Calculations!$L$32)-1+i_Ris_Diab))*$D$12))/2)</f>
        <v>1.0723831077543791E-3</v>
      </c>
      <c r="L14" s="14">
        <v>0</v>
      </c>
      <c r="M14" s="14">
        <f>1-M9-M15-M20-M12</f>
        <v>0.9673647455949077</v>
      </c>
      <c r="N14" s="14">
        <f ca="1">(((Calculations!$L$32*(1-$D$11))+((i_Ris_DSWI/((1/Calculations!$L$32)-1+i_Ris_DSWI))*$D$11))/2)+(((Calculations!$L$32*(1-$D$12))+((i_Ris_Diab/((1/Calculations!$L$32)-1+i_Ris_Diab))*$D$12))/2)</f>
        <v>1.0723831077543791E-3</v>
      </c>
      <c r="O14" s="14">
        <v>0</v>
      </c>
      <c r="P14" s="14">
        <v>0</v>
      </c>
      <c r="Q14" s="14">
        <v>0</v>
      </c>
      <c r="R14" s="14">
        <v>0</v>
      </c>
      <c r="S14" s="14">
        <v>0</v>
      </c>
      <c r="U14" s="44"/>
      <c r="V14" s="1" t="s">
        <v>282</v>
      </c>
      <c r="W14" s="14">
        <f ca="1">(((Calculations!$L$35*(1-$D$11))+((i_Ris_DSWI/((1/Calculations!$L$35)-1+i_Ris_DSWI))*$D$11))/2)+(((Calculations!$L$35*(1-$D$12))+((i_Ris_Diab/((1/Calculations!$L$35)-1+i_Ris_Diab))*$D$12))/2)</f>
        <v>2.5181211400443206E-4</v>
      </c>
      <c r="X14" s="14">
        <f ca="1">(((Calculations!$L$35*(1-$D$11))+((i_Ris_DSWI/((1/Calculations!$L$35)-1+i_Ris_DSWI))*$D$11))/2)+(((Calculations!$L$35*(1-$D$12))+((i_Ris_Diab/((1/Calculations!$L$35)-1+i_Ris_Diab))*$D$12))/2)</f>
        <v>2.5181211400443206E-4</v>
      </c>
      <c r="Y14" s="14">
        <f ca="1">(((Calculations!$L$35*(1-$D$11))+((i_Ris_DSWI/((1/Calculations!$L$35)-1+i_Ris_DSWI))*$D$11))/2)+(((Calculations!$L$35*(1-$D$12))+((i_Ris_Diab/((1/Calculations!$L$35)-1+i_Ris_Diab))*$D$12))/2)</f>
        <v>2.5181211400443206E-4</v>
      </c>
      <c r="Z14" s="14">
        <f ca="1">(((Calculations!$L$35*(1-$D$11))+((i_Ris_DSWI/((1/Calculations!$L$35)-1+i_Ris_DSWI))*$D$11))/2)+(((Calculations!$L$35*(1-$D$12))+((i_Ris_Diab/((1/Calculations!$L$35)-1+i_Ris_Diab))*$D$12))/2)</f>
        <v>2.5181211400443206E-4</v>
      </c>
      <c r="AA14" s="14">
        <v>0</v>
      </c>
      <c r="AB14" s="14">
        <v>0</v>
      </c>
      <c r="AC14" s="14">
        <v>0</v>
      </c>
      <c r="AD14" s="14">
        <v>0</v>
      </c>
      <c r="AE14" s="14">
        <v>0</v>
      </c>
      <c r="AF14" s="14">
        <v>0</v>
      </c>
      <c r="AG14" s="14">
        <v>0</v>
      </c>
      <c r="AH14" s="14">
        <v>0</v>
      </c>
    </row>
    <row r="15" spans="1:34" ht="18" thickTop="1" thickBot="1" x14ac:dyDescent="0.35">
      <c r="A15" s="2"/>
      <c r="C15" s="25"/>
      <c r="D15" s="44"/>
      <c r="E15" s="25"/>
      <c r="F15" s="25"/>
      <c r="G15" s="25" t="s">
        <v>183</v>
      </c>
      <c r="H15" s="14">
        <v>0</v>
      </c>
      <c r="I15" s="14">
        <v>0</v>
      </c>
      <c r="J15" s="14">
        <v>0</v>
      </c>
      <c r="K15" s="14">
        <f>((1-EXP(-(-LN(1-MIN(0.999,1/(i_Eve_ICU-i_Eve_Time)))/i_Eve_ICU)*1)))*(1-$D$11)+(((1-EXP(-(-LN(1-MIN(0.999,1/(i_Eve_ICU-i_Eve_Time+i_Ris_Leng)))/i_Eve_ICU)*1)))*D11)</f>
        <v>0.9523933333333332</v>
      </c>
      <c r="L15" s="14">
        <f>(1-EXP(-(1/POWER(i_Cos_SSI,100/91.3))))/2</f>
        <v>2.8531848275821226E-2</v>
      </c>
      <c r="M15" s="14">
        <f>(1-EXP(-(1/POWER(i_Cos_DSWI,100/91.3))))/2</f>
        <v>1.5155541063384514E-2</v>
      </c>
      <c r="N15" s="14">
        <f ca="1">1-N9-N16-N17-N20-N13-N14</f>
        <v>0.82980038118636656</v>
      </c>
      <c r="O15" s="14">
        <v>0</v>
      </c>
      <c r="P15" s="14">
        <v>0</v>
      </c>
      <c r="Q15" s="14">
        <v>0</v>
      </c>
      <c r="R15" s="14">
        <v>0</v>
      </c>
      <c r="S15" s="14">
        <v>0</v>
      </c>
      <c r="U15" s="44"/>
      <c r="V15" s="44" t="s">
        <v>183</v>
      </c>
      <c r="W15" s="14">
        <v>0</v>
      </c>
      <c r="X15" s="14">
        <v>0</v>
      </c>
      <c r="Y15" s="14">
        <v>0</v>
      </c>
      <c r="Z15" s="14">
        <f ca="1">1-Z20-Z13-Z14</f>
        <v>0.82458470759214297</v>
      </c>
      <c r="AA15" s="14">
        <f>1-AA20</f>
        <v>0.82511705276208669</v>
      </c>
      <c r="AB15" s="14">
        <f>1-AB20</f>
        <v>0.82013373337705298</v>
      </c>
      <c r="AC15" s="14">
        <v>0</v>
      </c>
      <c r="AD15" s="14">
        <v>0</v>
      </c>
      <c r="AE15" s="14">
        <v>0</v>
      </c>
      <c r="AF15" s="14">
        <v>0</v>
      </c>
      <c r="AG15" s="14">
        <v>0</v>
      </c>
      <c r="AH15" s="14">
        <v>0</v>
      </c>
    </row>
    <row r="16" spans="1:34" ht="18" thickTop="1" thickBot="1" x14ac:dyDescent="0.35">
      <c r="A16" s="26" t="s">
        <v>24</v>
      </c>
      <c r="D16" s="44"/>
      <c r="E16" s="25"/>
      <c r="F16" s="25"/>
      <c r="G16" s="25" t="s">
        <v>1</v>
      </c>
      <c r="H16" s="14">
        <v>0</v>
      </c>
      <c r="I16" s="14">
        <v>0</v>
      </c>
      <c r="J16" s="14">
        <v>0</v>
      </c>
      <c r="K16" s="14">
        <v>0</v>
      </c>
      <c r="L16" s="14">
        <v>0</v>
      </c>
      <c r="M16" s="14">
        <v>0</v>
      </c>
      <c r="N16" s="14">
        <f>(1-EXP(-(1/POWER(i_Eve_Hosp-i_Eve_ICU-i_Eve_Time,91.3/100))))*(i_Eve_Home/100)</f>
        <v>0.12337973965770015</v>
      </c>
      <c r="O16" s="14">
        <f ca="1">1-O20-O19-O18-O9</f>
        <v>0.99925175469921046</v>
      </c>
      <c r="P16" s="14">
        <f>((1-EXP(-((-LN(1-MIN(0.95,1/(i_Eve_Faci))))/1)*1)))</f>
        <v>3.7037037037036979E-2</v>
      </c>
      <c r="Q16" s="14">
        <f>((1-EXP(-((-LN(1-MIN(0.95,1/(i_Cos_DSWI))))/1)*1)))*(i_Eve_Home/100)</f>
        <v>3.1041666666666638E-2</v>
      </c>
      <c r="R16" s="14">
        <f>((1-EXP(-((-LN(1-MIN(0.95,1/(i_Cos_SSI))))/1)*1)))*(i_Eve_Home/100)</f>
        <v>5.6015037593984962E-2</v>
      </c>
      <c r="S16" s="14">
        <v>0</v>
      </c>
      <c r="U16" s="44"/>
      <c r="V16" s="44" t="s">
        <v>1</v>
      </c>
      <c r="W16" s="14">
        <v>0</v>
      </c>
      <c r="X16" s="14">
        <v>0</v>
      </c>
      <c r="Y16" s="14">
        <v>0</v>
      </c>
      <c r="Z16" s="14">
        <v>0</v>
      </c>
      <c r="AA16" s="14">
        <v>0</v>
      </c>
      <c r="AB16" s="14">
        <v>0</v>
      </c>
      <c r="AC16" s="14">
        <f>(i_Eve_Home/100)-(AC20/2)</f>
        <v>0.65755852638104328</v>
      </c>
      <c r="AD16" s="14">
        <f ca="1">1-AD20-AD19-AD18-AD9</f>
        <v>0.98924330619635459</v>
      </c>
      <c r="AE16" s="14">
        <f>((1-EXP(-((-LN(1-MIN(0.95,1/(i_Eve_Faci))))/1)*91.3)))</f>
        <v>0.96811730665662343</v>
      </c>
      <c r="AF16" s="14">
        <f ca="1">(i_Eve_Home/100)-(AF20/2)</f>
        <v>0.74140899021448048</v>
      </c>
      <c r="AG16" s="14">
        <f ca="1">(i_Eve_Home/100)-(AG20/2)</f>
        <v>0.74140899021448048</v>
      </c>
      <c r="AH16" s="14">
        <v>0</v>
      </c>
    </row>
    <row r="17" spans="1:47" ht="18" thickTop="1" thickBot="1" x14ac:dyDescent="0.35">
      <c r="A17" s="2"/>
      <c r="C17" s="25"/>
      <c r="D17" s="139"/>
      <c r="E17" s="25"/>
      <c r="F17" s="25"/>
      <c r="G17" s="25" t="s">
        <v>184</v>
      </c>
      <c r="H17" s="14">
        <v>0</v>
      </c>
      <c r="I17" s="14">
        <v>0</v>
      </c>
      <c r="J17" s="14">
        <v>0</v>
      </c>
      <c r="K17" s="14">
        <v>0</v>
      </c>
      <c r="L17" s="14">
        <v>0</v>
      </c>
      <c r="M17" s="14">
        <v>0</v>
      </c>
      <c r="N17" s="14">
        <f>(1-EXP(-(1/POWER(i_Eve_Hosp-i_Eve_ICU-i_Eve_Time,91.3/100))))*(i_Eve_Care/100)</f>
        <v>4.2230649144581932E-2</v>
      </c>
      <c r="O17" s="14">
        <v>0</v>
      </c>
      <c r="P17" s="14">
        <f ca="1">1-P9-P16-P18-P19-P20</f>
        <v>0.96221471766217348</v>
      </c>
      <c r="Q17" s="14">
        <f>((1-EXP(-((-LN(1-MIN(0.95,1/(i_Cos_DSWI))))/1)*1)))*(1-(i_Eve_Home/100))</f>
        <v>1.062499999999999E-2</v>
      </c>
      <c r="R17" s="14">
        <f>((1-EXP(-((-LN(1-MIN(0.95,1/(i_Cos_DSWI))))/1)*1)))*(1-(i_Eve_Home/100))</f>
        <v>1.062499999999999E-2</v>
      </c>
      <c r="S17" s="14">
        <v>0</v>
      </c>
      <c r="U17" s="44"/>
      <c r="V17" s="44" t="s">
        <v>184</v>
      </c>
      <c r="W17" s="14">
        <v>0</v>
      </c>
      <c r="X17" s="14">
        <v>0</v>
      </c>
      <c r="Y17" s="14">
        <v>0</v>
      </c>
      <c r="Z17" s="14">
        <v>0</v>
      </c>
      <c r="AA17" s="14">
        <v>0</v>
      </c>
      <c r="AB17" s="14">
        <v>0</v>
      </c>
      <c r="AC17" s="14">
        <f>(i_Eve_Care/100)-(AC20/2)</f>
        <v>0.16755852638104335</v>
      </c>
      <c r="AD17" s="14">
        <v>0</v>
      </c>
      <c r="AE17" s="14">
        <f ca="1">1-AE9-AE16-AE19-AE18-AE20</f>
        <v>2.1125999539731141E-2</v>
      </c>
      <c r="AF17" s="14">
        <f ca="1">(i_Eve_Care/100)-(AF20/2)</f>
        <v>0.25140899021448043</v>
      </c>
      <c r="AG17" s="14">
        <f ca="1">(i_Eve_Care/100)-(AG20/2)</f>
        <v>0.25140899021448043</v>
      </c>
      <c r="AH17" s="14">
        <v>0</v>
      </c>
    </row>
    <row r="18" spans="1:47" ht="18" thickTop="1" thickBot="1" x14ac:dyDescent="0.35">
      <c r="A18" s="26" t="s">
        <v>2</v>
      </c>
      <c r="C18" s="25"/>
      <c r="D18" s="139">
        <f>((1-EXP(-(-LN(1-MIN(0.999,1/(i_Eve_ICU-i_Eve_Time)))/i_Eve_ICU)*1)))*(1-$D$11)+(((1-EXP(-(-LN(1-MIN(0.999,1/(i_Eve_ICU-i_Eve_Time+i_Ris_Leng)))/i_Eve_ICU)*1)))*D11)</f>
        <v>0.9523933333333332</v>
      </c>
      <c r="E18" s="25"/>
      <c r="F18" s="25"/>
      <c r="G18" s="25" t="s">
        <v>186</v>
      </c>
      <c r="H18" s="14">
        <v>0</v>
      </c>
      <c r="I18" s="14">
        <v>0</v>
      </c>
      <c r="J18" s="14">
        <v>0</v>
      </c>
      <c r="K18" s="14">
        <v>0</v>
      </c>
      <c r="L18" s="14">
        <v>0</v>
      </c>
      <c r="M18" s="14">
        <v>0</v>
      </c>
      <c r="N18" s="14">
        <v>0</v>
      </c>
      <c r="O18" s="14">
        <f ca="1">(((Calculations!$L$35*(1-$D$11))+((i_Ris_DSWI/((1/Calculations!$L$35)-1+i_Ris_DSWI))*$D$11))/2)+(((Calculations!$L$35*(1-$D$12))+((i_Ris_Diab/((1/Calculations!$L$35)-1+i_Ris_Diab))*$D$12))/2)</f>
        <v>2.5181211400443206E-4</v>
      </c>
      <c r="P18" s="14">
        <f ca="1">(((Calculations!$L$35*(1-$D$11))+((i_Ris_DSWI/((1/Calculations!$L$35)-1+i_Ris_DSWI))*$D$11))/2)+(((Calculations!$L$35*(1-$D$12))+((i_Ris_Diab/((1/Calculations!$L$35)-1+i_Ris_Diab))*$D$12))/2)</f>
        <v>2.5181211400443206E-4</v>
      </c>
      <c r="Q18" s="14">
        <f ca="1">1-Q20-Q16-Q17</f>
        <v>0.95825785672859465</v>
      </c>
      <c r="R18" s="14">
        <v>0</v>
      </c>
      <c r="S18" s="14">
        <v>0</v>
      </c>
      <c r="U18" s="44"/>
      <c r="V18" s="44" t="s">
        <v>186</v>
      </c>
      <c r="W18" s="14">
        <v>0</v>
      </c>
      <c r="X18" s="14">
        <v>0</v>
      </c>
      <c r="Y18" s="14">
        <v>0</v>
      </c>
      <c r="Z18" s="14">
        <v>0</v>
      </c>
      <c r="AA18" s="14">
        <v>0</v>
      </c>
      <c r="AB18" s="14">
        <v>0</v>
      </c>
      <c r="AC18" s="14">
        <v>0</v>
      </c>
      <c r="AD18" s="14">
        <f ca="1">(((Calculations!$L$38*(1-$D$11))+((i_Ris_DSWI/((1/Calculations!$L$38)-1+i_Ris_DSWI))*$D$11))/2)+(((Calculations!$L$38*(1-$D$12))+((i_Ris_Diab/((1/Calculations!$L$38)-1+i_Ris_Diab))*$D$12))/2)</f>
        <v>1.6926379717262646E-3</v>
      </c>
      <c r="AE18" s="14">
        <f ca="1">(((Calculations!$L$38*(1-$D$11))+((i_Ris_DSWI/((1/Calculations!$L$38)-1+i_Ris_DSWI))*$D$11))/2)+(((Calculations!$L$38*(1-$D$12))+((i_Ris_Diab/((1/Calculations!$L$38)-1+i_Ris_Diab))*$D$12))/2)</f>
        <v>1.6926379717262646E-3</v>
      </c>
      <c r="AF18" s="14">
        <v>0</v>
      </c>
      <c r="AG18" s="14">
        <v>0</v>
      </c>
      <c r="AH18" s="14">
        <v>0</v>
      </c>
    </row>
    <row r="19" spans="1:47" ht="18" thickTop="1" thickBot="1" x14ac:dyDescent="0.35">
      <c r="A19" s="2"/>
      <c r="C19" s="25"/>
      <c r="D19" s="36"/>
      <c r="E19" s="25"/>
      <c r="F19" s="25"/>
      <c r="G19" s="25" t="s">
        <v>187</v>
      </c>
      <c r="H19" s="14">
        <v>0</v>
      </c>
      <c r="I19" s="14">
        <v>0</v>
      </c>
      <c r="J19" s="14">
        <v>0</v>
      </c>
      <c r="K19" s="14">
        <v>0</v>
      </c>
      <c r="L19" s="14">
        <v>0</v>
      </c>
      <c r="M19" s="14">
        <v>0</v>
      </c>
      <c r="N19" s="14">
        <v>0</v>
      </c>
      <c r="O19" s="14">
        <f ca="1">Calculations!$K$35</f>
        <v>2.8053305593933597E-4</v>
      </c>
      <c r="P19" s="14">
        <f ca="1">Calculations!$K$35</f>
        <v>2.8053305593933597E-4</v>
      </c>
      <c r="Q19" s="14">
        <v>0</v>
      </c>
      <c r="R19" s="14">
        <f ca="1">1-R20-R16-R17</f>
        <v>0.93328448580127632</v>
      </c>
      <c r="S19" s="14">
        <v>0</v>
      </c>
      <c r="U19" s="44"/>
      <c r="V19" s="44" t="s">
        <v>187</v>
      </c>
      <c r="W19" s="14">
        <v>0</v>
      </c>
      <c r="X19" s="14">
        <v>0</v>
      </c>
      <c r="Y19" s="14">
        <v>0</v>
      </c>
      <c r="Z19" s="14">
        <v>0</v>
      </c>
      <c r="AA19" s="14">
        <v>0</v>
      </c>
      <c r="AB19" s="14">
        <v>0</v>
      </c>
      <c r="AC19" s="14">
        <v>0</v>
      </c>
      <c r="AD19" s="14">
        <f ca="1">Calculations!$K$38</f>
        <v>1.8820362608800156E-3</v>
      </c>
      <c r="AE19" s="14">
        <f ca="1">Calculations!$K$38</f>
        <v>1.8820362608800156E-3</v>
      </c>
      <c r="AF19" s="14">
        <v>0</v>
      </c>
      <c r="AG19" s="14">
        <v>0</v>
      </c>
      <c r="AH19" s="14">
        <v>0</v>
      </c>
    </row>
    <row r="20" spans="1:47" ht="18" thickTop="1" thickBot="1" x14ac:dyDescent="0.35">
      <c r="A20" s="26" t="s">
        <v>3</v>
      </c>
      <c r="C20" s="25"/>
      <c r="D20" s="36"/>
      <c r="E20" s="25"/>
      <c r="F20" s="25"/>
      <c r="G20" s="25" t="s">
        <v>185</v>
      </c>
      <c r="H20" s="14">
        <f>(i_Bac_CABG_death/100*(1-$D$11))+((i_Ris_Hosp/((1/(i_Bac_CABG_death/100))-1+i_Ris_Hosp))*$D$11)</f>
        <v>6.3319057758510766E-3</v>
      </c>
      <c r="I20" s="14">
        <f t="shared" ref="I20:N20" si="1">((1-EXP(-((-LN(1-i_Adv_In_h/100))/i_Adv_Mort)*1))*(1-$D$11))+((i_Ris_Hosp/((1/((1-EXP(-((-LN(1-i_Adv_In_h/100))/i_Adv_Mort)*1))))-1+i_Ris_Hosp))*$D$11)</f>
        <v>2.1837487522160101E-3</v>
      </c>
      <c r="J20" s="14">
        <f t="shared" si="1"/>
        <v>2.1837487522160101E-3</v>
      </c>
      <c r="K20" s="14">
        <f t="shared" si="1"/>
        <v>2.1837487522160101E-3</v>
      </c>
      <c r="L20" s="14">
        <f>((1-EXP(-((-LN(1-i_Adv_In_h/100))/i_Adv_Mort)*1))*(1-$D$11))+((i_Ris_Hosp/((1/((1-EXP(-((-LN(1-i_Adv_In_h/100))/i_Adv_Mort)*1))))-1+i_Ris_Hosp))*$D$11)</f>
        <v>2.1837487522160101E-3</v>
      </c>
      <c r="M20" s="14">
        <f>((1-EXP(-((-LN(1-i_Adv_In_h/100))/i_Adv_Mort)*1))*(1-$D$11))+((i_Ris_Hosp/((1/((1-EXP(-((-LN(1-i_Adv_In_h/100))/i_Adv_Mort)*1))))-1+i_Ris_Hosp))*$D$11)</f>
        <v>2.1837487522160101E-3</v>
      </c>
      <c r="N20" s="14">
        <f t="shared" si="1"/>
        <v>2.1837487522160101E-3</v>
      </c>
      <c r="O20" s="46">
        <f ca="1">((1-EXP(-((-LN(1-Death_per_year))/365.25)*1)))</f>
        <v>7.5476604738722308E-5</v>
      </c>
      <c r="P20" s="46">
        <f ca="1">((1-EXP(-((-LN(1-Death_per_year))/365.25)*1)))</f>
        <v>7.5476604738722308E-5</v>
      </c>
      <c r="Q20" s="46">
        <f ca="1">((1-EXP(-((-LN(1-Death_per_year))/365.25)*1)))</f>
        <v>7.5476604738722308E-5</v>
      </c>
      <c r="R20" s="46">
        <f ca="1">((1-EXP(-((-LN(1-Death_per_year))/365.25)*1)))</f>
        <v>7.5476604738722308E-5</v>
      </c>
      <c r="S20" s="14">
        <v>1</v>
      </c>
      <c r="U20" s="44"/>
      <c r="V20" s="44" t="s">
        <v>185</v>
      </c>
      <c r="W20" s="14">
        <f>i_Bac_CABG_death/100</f>
        <v>6.0999999999999995E-3</v>
      </c>
      <c r="X20" s="14">
        <f>((1-EXP(-((-LN(1-i_Adv_In_h/100))/i_Adv_Mort)*91.3)))</f>
        <v>0.17488294723791331</v>
      </c>
      <c r="Y20" s="14">
        <f>((1-EXP(-((-LN(1-i_Adv_In_h/100))/i_Adv_Mort)*91.3)))</f>
        <v>0.17488294723791331</v>
      </c>
      <c r="Z20" s="14">
        <f>((1-EXP(-((-LN(1-i_Adv_In_h/100))/i_Adv_Mort)*91.3)))</f>
        <v>0.17488294723791331</v>
      </c>
      <c r="AA20" s="14">
        <f>((1-EXP(-((-LN(1-i_Adv_In_h/100))/i_Adv_Mort)*91.3)))</f>
        <v>0.17488294723791331</v>
      </c>
      <c r="AB20" s="14">
        <f>((1-EXP(-((-LN(1-i_Adv_In_h/100))/i_Adv_Mort)*91.3))*(1-$D$11))+((i_Ris_Hosp/((1/((1-EXP(-((-LN(1-i_Adv_In_h/100))/i_Adv_Mort)*91.3))))-1+i_Ris_Hosp))*$D$11)</f>
        <v>0.179866266622947</v>
      </c>
      <c r="AC20" s="14">
        <f>((1-EXP(-((-LN(1-i_Adv_In_h/100))/i_Adv_Mort)*91.3)))</f>
        <v>0.17488294723791331</v>
      </c>
      <c r="AD20" s="46">
        <f ca="1">((1-EXP(-((-LN(1-Mean_mortality))/365.25)*91.3)))</f>
        <v>7.1820195710391443E-3</v>
      </c>
      <c r="AE20" s="46">
        <f ca="1">((1-EXP(-((-LN(1-Mean_mortality))/365.25)*91.3)))</f>
        <v>7.1820195710391443E-3</v>
      </c>
      <c r="AF20" s="46">
        <f ca="1">((1-EXP(-((-LN(1-Mean_mortality))/365.25)*91.3)))</f>
        <v>7.1820195710391443E-3</v>
      </c>
      <c r="AG20" s="46">
        <f ca="1">((1-EXP(-((-LN(1-Mean_mortality))/365.25)*91.3)))</f>
        <v>7.1820195710391443E-3</v>
      </c>
      <c r="AH20" s="14">
        <v>1</v>
      </c>
    </row>
    <row r="21" spans="1:47" ht="17.25" thickTop="1" x14ac:dyDescent="0.3">
      <c r="A21" s="2"/>
      <c r="C21" s="25"/>
      <c r="D21" s="36" t="s">
        <v>305</v>
      </c>
      <c r="E21" s="25">
        <f>1-EXP(-E22*1)</f>
        <v>0.999</v>
      </c>
      <c r="F21" s="139">
        <f>1-EXP(-F22*1)</f>
        <v>0.22222222222222221</v>
      </c>
      <c r="G21" s="25"/>
      <c r="H21" s="25"/>
      <c r="I21" s="25"/>
      <c r="J21" s="25"/>
      <c r="K21" s="25"/>
      <c r="L21" s="25"/>
      <c r="M21" s="25"/>
      <c r="N21" s="25"/>
      <c r="O21" s="25"/>
    </row>
    <row r="22" spans="1:47" ht="16.5" x14ac:dyDescent="0.3">
      <c r="A22" s="2"/>
      <c r="C22" s="25"/>
      <c r="D22" s="36" t="s">
        <v>469</v>
      </c>
      <c r="E22" s="25">
        <f>(-LN(1-MIN(0.999,1/(i_Eve_ICU-i_Eve_Time)))/i_Eve_ICU)</f>
        <v>6.9077552789821359</v>
      </c>
      <c r="F22" s="139">
        <f>(-LN(1-MIN(0.999,1/(i_Eve_ICU-i_Eve_Time+i_Ris_Leng)))/i_Eve_ICU)</f>
        <v>0.25131442828090605</v>
      </c>
      <c r="G22" s="25"/>
      <c r="H22" s="74" t="s">
        <v>312</v>
      </c>
      <c r="I22" s="25" t="s">
        <v>467</v>
      </c>
      <c r="J22"/>
      <c r="K22"/>
      <c r="L22"/>
      <c r="M22" s="25"/>
      <c r="N22" s="25"/>
      <c r="O22" s="25"/>
    </row>
    <row r="23" spans="1:47" ht="16.5" x14ac:dyDescent="0.3">
      <c r="A23" s="2"/>
      <c r="C23" s="25"/>
      <c r="D23" s="36"/>
      <c r="E23" s="25"/>
      <c r="F23" s="25"/>
      <c r="G23" s="25"/>
      <c r="H23" s="25"/>
      <c r="I23" s="25" t="s">
        <v>468</v>
      </c>
      <c r="J23"/>
      <c r="K23"/>
      <c r="L23"/>
      <c r="M23" s="25"/>
      <c r="N23" s="25"/>
      <c r="O23" s="25"/>
      <c r="S23">
        <f ca="1">SUM(S26:S136)</f>
        <v>10369.241072543779</v>
      </c>
      <c r="T23" s="109">
        <f t="shared" ref="T23:AD23" ca="1" si="2">SUM(T26:T136)</f>
        <v>2977.8348458285491</v>
      </c>
      <c r="U23" s="109">
        <f t="shared" ca="1" si="2"/>
        <v>948.16304474283959</v>
      </c>
      <c r="V23" s="109">
        <f t="shared" ca="1" si="2"/>
        <v>2750.5203969687514</v>
      </c>
      <c r="W23" s="109">
        <f t="shared" ca="1" si="2"/>
        <v>372.68700571527029</v>
      </c>
      <c r="X23" s="109">
        <f t="shared" ca="1" si="2"/>
        <v>620.69019426979571</v>
      </c>
      <c r="Y23" s="109">
        <f t="shared" ca="1" si="2"/>
        <v>14302.165503707754</v>
      </c>
      <c r="Z23" s="109">
        <f t="shared" ca="1" si="2"/>
        <v>0</v>
      </c>
      <c r="AA23" s="109">
        <f t="shared" ca="1" si="2"/>
        <v>3662.4786047750613</v>
      </c>
      <c r="AB23" s="109">
        <f t="shared" ca="1" si="2"/>
        <v>1151.9323929945404</v>
      </c>
      <c r="AC23" s="109">
        <f t="shared" ca="1" si="2"/>
        <v>140.35839201933533</v>
      </c>
      <c r="AD23" s="109">
        <f t="shared" ca="1" si="2"/>
        <v>0</v>
      </c>
      <c r="AQ23" s="1" t="s">
        <v>326</v>
      </c>
    </row>
    <row r="24" spans="1:47" ht="16.5" x14ac:dyDescent="0.3">
      <c r="A24" s="2"/>
      <c r="C24" s="1" t="s">
        <v>189</v>
      </c>
      <c r="R24" s="1" t="s">
        <v>24</v>
      </c>
      <c r="S24" s="44" t="s">
        <v>166</v>
      </c>
      <c r="T24" s="44" t="s">
        <v>181</v>
      </c>
      <c r="U24" s="44" t="s">
        <v>182</v>
      </c>
      <c r="V24" s="44" t="s">
        <v>272</v>
      </c>
      <c r="W24" s="1" t="s">
        <v>281</v>
      </c>
      <c r="X24" s="1" t="s">
        <v>282</v>
      </c>
      <c r="Y24" s="44" t="s">
        <v>183</v>
      </c>
      <c r="Z24" s="44" t="s">
        <v>1</v>
      </c>
      <c r="AA24" s="44" t="s">
        <v>184</v>
      </c>
      <c r="AB24" s="44" t="s">
        <v>186</v>
      </c>
      <c r="AC24" s="44" t="s">
        <v>187</v>
      </c>
      <c r="AD24" s="44" t="s">
        <v>185</v>
      </c>
      <c r="AF24" s="1" t="s">
        <v>320</v>
      </c>
      <c r="AG24" s="1" t="s">
        <v>321</v>
      </c>
      <c r="AH24" s="1" t="s">
        <v>319</v>
      </c>
      <c r="AI24" s="1" t="s">
        <v>317</v>
      </c>
      <c r="AJ24" s="1" t="s">
        <v>178</v>
      </c>
      <c r="AK24" s="1" t="s">
        <v>318</v>
      </c>
      <c r="AL24" s="1" t="s">
        <v>329</v>
      </c>
      <c r="AM24" s="1" t="s">
        <v>464</v>
      </c>
      <c r="AN24" s="1" t="s">
        <v>49</v>
      </c>
      <c r="AO24" s="1" t="s">
        <v>53</v>
      </c>
      <c r="AP24" s="1" t="s">
        <v>49</v>
      </c>
      <c r="AQ24" s="1">
        <v>1</v>
      </c>
      <c r="AR24" s="1">
        <v>2</v>
      </c>
      <c r="AS24" s="1">
        <v>3</v>
      </c>
      <c r="AT24" s="1">
        <v>4</v>
      </c>
      <c r="AU24" s="1">
        <v>5</v>
      </c>
    </row>
    <row r="25" spans="1:47" ht="16.5" x14ac:dyDescent="0.3">
      <c r="A25" s="2"/>
      <c r="B25" s="36" t="s">
        <v>188</v>
      </c>
      <c r="C25" s="36">
        <v>0</v>
      </c>
      <c r="D25" s="36" t="s">
        <v>49</v>
      </c>
      <c r="E25" s="36" t="s">
        <v>166</v>
      </c>
      <c r="F25" s="36" t="s">
        <v>181</v>
      </c>
      <c r="G25" s="36" t="s">
        <v>182</v>
      </c>
      <c r="H25" s="36" t="s">
        <v>272</v>
      </c>
      <c r="I25" s="1" t="s">
        <v>281</v>
      </c>
      <c r="J25" s="1" t="s">
        <v>282</v>
      </c>
      <c r="K25" s="36" t="s">
        <v>183</v>
      </c>
      <c r="L25" s="36" t="s">
        <v>1</v>
      </c>
      <c r="M25" s="36" t="s">
        <v>184</v>
      </c>
      <c r="N25" s="36" t="s">
        <v>186</v>
      </c>
      <c r="O25" s="36" t="s">
        <v>187</v>
      </c>
      <c r="P25" s="36" t="s">
        <v>185</v>
      </c>
      <c r="Q25"/>
      <c r="R25" t="s">
        <v>273</v>
      </c>
      <c r="S25" s="44">
        <f>i_Cos_CABG</f>
        <v>10244.049999999999</v>
      </c>
      <c r="T25" s="44">
        <f>i_Cos_Mech+i_Cos_ICU</f>
        <v>3291.27</v>
      </c>
      <c r="U25" s="44">
        <f>i_Cos_Mech+i_Cos_ICU</f>
        <v>3291.27</v>
      </c>
      <c r="V25" s="44">
        <f>i_Cos_ICU</f>
        <v>2535.52</v>
      </c>
      <c r="W25" s="1">
        <f>i_Cos_Inpa_SSI+(Y25*(1-i_Bac_ICU))+(V25*i_Bac_ICU)</f>
        <v>2232.1905093833784</v>
      </c>
      <c r="X25" s="1">
        <f>i_Cos_Inpa_DSWI+(Y25*(1-i_Bac_ICU))+(V25*i_Bac_ICU)</f>
        <v>2232.1905093833784</v>
      </c>
      <c r="Y25" s="44">
        <f>i_Cos_Gene</f>
        <v>2357.3000000000002</v>
      </c>
      <c r="Z25" s="44">
        <f>i_Cos_Pati</f>
        <v>0</v>
      </c>
      <c r="AA25" s="44">
        <f>i_Cos_Care</f>
        <v>420.43</v>
      </c>
      <c r="AB25" s="44">
        <f>i_Cos_Read</f>
        <v>23585.82</v>
      </c>
      <c r="AC25" s="44">
        <f>i_Cos_Outp</f>
        <v>2582.6</v>
      </c>
      <c r="AD25" s="44">
        <f>i_Cos_Mort</f>
        <v>0</v>
      </c>
      <c r="AI25" s="1">
        <f>i_Int_Cost/i_Eve_ECG</f>
        <v>1.1354166666666665</v>
      </c>
      <c r="AJ25" s="1">
        <f>i_Cos_Nurs/60*i_Cos_Fals</f>
        <v>1.931</v>
      </c>
      <c r="AK25" s="1">
        <f>i_Cos_Nurs/60*i_Cos_Lead</f>
        <v>0.96550000000000002</v>
      </c>
      <c r="AN25" s="1">
        <v>0.5</v>
      </c>
      <c r="AO25" s="16">
        <f ca="1">SUM(OFFSET($S$26,0,0,93,12))+SUM(OFFSET($AI$26,0,0,93,3))</f>
        <v>35817.743769470733</v>
      </c>
      <c r="AP25" s="1">
        <v>0.5</v>
      </c>
      <c r="AQ25" s="79">
        <f ca="1">$AO25*i_Set_CABG*POWER((1-(i_Set_Cost/100)),ROUNDDOWN($AN25-1,0))</f>
        <v>7163548.7538941465</v>
      </c>
      <c r="AR25" s="79">
        <f ca="1">$AO25*i_Set_CABG*POWER((1-(i_Set_Cost/100)),ROUNDDOWN($AN25+0.5,0))</f>
        <v>6912824.5475078514</v>
      </c>
      <c r="AS25" s="79">
        <f ca="1">$AO25*i_Set_CABG*POWER((1-(i_Set_Cost/100)),ROUNDDOWN($AN25+1.5,0))</f>
        <v>6670875.6883450765</v>
      </c>
      <c r="AT25" s="79">
        <f ca="1">$AO25*i_Set_CABG*POWER((1-(i_Set_Cost/100)),ROUNDDOWN($AN25+2.5,0))</f>
        <v>6437395.0392529983</v>
      </c>
      <c r="AU25" s="79">
        <f ca="1">$AO25*i_Set_CABG*POWER((1-(i_Set_Cost/100)),ROUNDDOWN($AN25+3.5,0))</f>
        <v>6212086.2128791427</v>
      </c>
    </row>
    <row r="26" spans="1:47" ht="16.5" x14ac:dyDescent="0.3">
      <c r="A26"/>
      <c r="B26" s="36">
        <v>0</v>
      </c>
      <c r="C26" s="36">
        <v>0</v>
      </c>
      <c r="D26" s="36">
        <f>ROUND(C26/365.25,1)</f>
        <v>0</v>
      </c>
      <c r="E26" s="14">
        <v>1</v>
      </c>
      <c r="F26" s="14">
        <v>0</v>
      </c>
      <c r="G26" s="14">
        <v>0</v>
      </c>
      <c r="H26" s="14">
        <v>0</v>
      </c>
      <c r="I26" s="14">
        <v>0</v>
      </c>
      <c r="J26" s="14">
        <v>0</v>
      </c>
      <c r="K26" s="14">
        <v>0</v>
      </c>
      <c r="L26" s="14">
        <v>0</v>
      </c>
      <c r="M26" s="14">
        <v>0</v>
      </c>
      <c r="N26" s="14">
        <v>0</v>
      </c>
      <c r="O26" s="14">
        <v>0</v>
      </c>
      <c r="P26" s="14">
        <v>0</v>
      </c>
      <c r="Q26"/>
      <c r="R26">
        <f>SUM(E26:Q26)</f>
        <v>1</v>
      </c>
      <c r="S26" s="16">
        <f>E26*S$25</f>
        <v>10244.049999999999</v>
      </c>
      <c r="T26" s="16">
        <f t="shared" ref="T26:AD26" si="3">F26*T$25*($C26-$C25)</f>
        <v>0</v>
      </c>
      <c r="U26" s="16">
        <f t="shared" si="3"/>
        <v>0</v>
      </c>
      <c r="V26" s="16">
        <f t="shared" si="3"/>
        <v>0</v>
      </c>
      <c r="W26" s="16">
        <f t="shared" si="3"/>
        <v>0</v>
      </c>
      <c r="X26" s="16">
        <f t="shared" si="3"/>
        <v>0</v>
      </c>
      <c r="Y26" s="16">
        <f t="shared" si="3"/>
        <v>0</v>
      </c>
      <c r="Z26" s="16">
        <f t="shared" si="3"/>
        <v>0</v>
      </c>
      <c r="AA26" s="16">
        <f t="shared" si="3"/>
        <v>0</v>
      </c>
      <c r="AB26" s="16">
        <f t="shared" si="3"/>
        <v>0</v>
      </c>
      <c r="AC26" s="16">
        <f t="shared" si="3"/>
        <v>0</v>
      </c>
      <c r="AD26" s="16">
        <f t="shared" si="3"/>
        <v>0</v>
      </c>
      <c r="AF26" s="16">
        <f>SUM(L26:P26)-M26</f>
        <v>0</v>
      </c>
      <c r="AG26" s="16">
        <f>E26</f>
        <v>1</v>
      </c>
      <c r="AH26" s="16">
        <f>IF(AG26+AF26&gt;1,
IF(AG26-AF26&lt;0,AG26,AG26-AF26),AG26)</f>
        <v>1</v>
      </c>
      <c r="AI26" s="16">
        <f>AH26*AI$25</f>
        <v>1.1354166666666665</v>
      </c>
      <c r="AJ26" s="16">
        <f t="shared" ref="AJ26:AJ57" si="4">(AH26*(i_Adv_Fals/i_Adv_Alar))*AJ$25</f>
        <v>1.8904490000000003</v>
      </c>
      <c r="AK26" s="16">
        <f t="shared" ref="AK26:AK57" si="5">(AH26*(i_Adv_Lead/i_Adv_Alar))*AK$25</f>
        <v>0.3948895</v>
      </c>
      <c r="AL26" s="16">
        <v>0</v>
      </c>
      <c r="AM26" s="16">
        <v>1</v>
      </c>
      <c r="AN26" s="1">
        <v>1</v>
      </c>
      <c r="AO26" s="16">
        <f ca="1">SUM(OFFSET($S$26,93,0,2,12))+SUM(OFFSET($AI$26,93,0,2,3))</f>
        <v>350.04835744164001</v>
      </c>
      <c r="AP26" s="1">
        <v>1</v>
      </c>
      <c r="AQ26" s="79">
        <f ca="1">AO26*i_Set_CABG*POWER((1-(i_Set_Cost/100)),ROUNDDOWN($AN26-1,0))</f>
        <v>70009.671488328007</v>
      </c>
      <c r="AR26" s="79">
        <f ca="1">$AO26*i_Set_CABG*POWER((1-(i_Set_Cost/100)),ROUNDDOWN($AN26+0.5,0))</f>
        <v>67559.332986236521</v>
      </c>
      <c r="AS26" s="79">
        <f ca="1">$AO26*i_Set_CABG*POWER((1-(i_Set_Cost/100)),ROUNDDOWN($AN26+1.5,0))</f>
        <v>65194.756331718243</v>
      </c>
      <c r="AT26" s="79">
        <f ca="1">$AO26*i_Set_CABG*POWER((1-(i_Set_Cost/100)),ROUNDDOWN($AN26+2.5,0))</f>
        <v>62912.939860108105</v>
      </c>
      <c r="AU26" s="79">
        <f ca="1">$AO26*i_Set_CABG*POWER((1-(i_Set_Cost/100)),ROUNDDOWN($AN26+3.5,0))</f>
        <v>60710.986965004318</v>
      </c>
    </row>
    <row r="27" spans="1:47" ht="16.5" x14ac:dyDescent="0.3">
      <c r="A27"/>
      <c r="B27" s="36">
        <f>B26+1</f>
        <v>1</v>
      </c>
      <c r="C27" s="36">
        <f>C26+1</f>
        <v>1</v>
      </c>
      <c r="D27" s="36">
        <f t="shared" ref="D27:D90" si="6">ROUND(C27/365.25,1)</f>
        <v>0</v>
      </c>
      <c r="E27" s="14">
        <f t="shared" ref="E27:E58" si="7">SUMPRODUCT($E26:$P26,$H$9:$S$9)</f>
        <v>0</v>
      </c>
      <c r="F27" s="14">
        <f t="shared" ref="F27:F58" ca="1" si="8">SUMPRODUCT($E26:$P26,$H$10:$S$10)</f>
        <v>0.88381554155006925</v>
      </c>
      <c r="G27" s="14">
        <f t="shared" ref="G27:G58" ca="1" si="9">SUMPRODUCT($E26:$P26,$H$11:$S$11)</f>
        <v>0.1098525526740797</v>
      </c>
      <c r="H27" s="14">
        <f t="shared" ref="H27:H58" ca="1" si="10">SUMPRODUCT($E26:$P26,$H$12:$S$12)</f>
        <v>0</v>
      </c>
      <c r="I27" s="14">
        <f t="shared" ref="I27:I58" ca="1" si="11">SUMPRODUCT($E26:$P26,$H$13:$S$13)</f>
        <v>0</v>
      </c>
      <c r="J27" s="14">
        <f t="shared" ref="J27:J58" ca="1" si="12">SUMPRODUCT($E26:$P26,$H$14:$S$14)</f>
        <v>0</v>
      </c>
      <c r="K27" s="14">
        <f t="shared" ref="K27:K58" ca="1" si="13">SUMPRODUCT($E26:$P26,$H$15:$S$15)</f>
        <v>0</v>
      </c>
      <c r="L27" s="14">
        <f t="shared" ref="L27:L58" ca="1" si="14">SUMPRODUCT($E26:$P26,$H$16:$S$16)</f>
        <v>0</v>
      </c>
      <c r="M27" s="14">
        <f t="shared" ref="M27:M58" ca="1" si="15">SUMPRODUCT($E26:$P26,$H$17:$S$17)</f>
        <v>0</v>
      </c>
      <c r="N27" s="14">
        <f t="shared" ref="N27:N58" ca="1" si="16">SUMPRODUCT($E26:$P26,$H$18:$S$18)</f>
        <v>0</v>
      </c>
      <c r="O27" s="14">
        <f t="shared" ref="O27:O58" ca="1" si="17">SUMPRODUCT($E26:$P26,$H$19:$S$19)</f>
        <v>0</v>
      </c>
      <c r="P27" s="14">
        <f t="shared" ref="P27:P58" ca="1" si="18">SUMPRODUCT($E26:$P26,$H$20:$S$20)</f>
        <v>6.3319057758510766E-3</v>
      </c>
      <c r="Q27"/>
      <c r="R27" s="38">
        <f t="shared" ref="R27:R57" ca="1" si="19">SUM(E27:P27)</f>
        <v>1</v>
      </c>
      <c r="S27" s="16">
        <f t="shared" ref="S27:S90" si="20">E27*S$25</f>
        <v>0</v>
      </c>
      <c r="T27" s="16">
        <f ca="1">((F26+F27)/2)*T$25*($C27-$C26)</f>
        <v>1454.4377887187482</v>
      </c>
      <c r="U27" s="16">
        <f ca="1">((G26+G27)/2)*U$25*($C27-$C26)</f>
        <v>180.77720551980914</v>
      </c>
      <c r="V27" s="16">
        <f ca="1">((H27+H26)/2)*V$25*($C27-$C26)</f>
        <v>0</v>
      </c>
      <c r="W27" s="16">
        <f ca="1">((I26+I27)/2)*W$25*($C27-$C26)</f>
        <v>0</v>
      </c>
      <c r="X27" s="16">
        <f ca="1">((J26+J27)/2)*X$25*($C27-$C26)</f>
        <v>0</v>
      </c>
      <c r="Y27" s="16">
        <f ca="1">((K27+K26)/2)*Y$25*($C27-$C26)</f>
        <v>0</v>
      </c>
      <c r="Z27" s="16">
        <f t="shared" ref="Z27:Z58" ca="1" si="21">(L27-OFFSET(L27,-IF(C27-C26&gt;i_Cos_Days,1,MIN(B27,i_Cos_Days)),0))*MIN(i_Cos_Days,($C27-$C26))</f>
        <v>0</v>
      </c>
      <c r="AA27" s="16">
        <f ca="1">((M26+M27)/2)*AA$25*($C27-$C26)</f>
        <v>0</v>
      </c>
      <c r="AB27" s="16">
        <f ca="1">(N27-(N26*$Q$18))*AB$25</f>
        <v>0</v>
      </c>
      <c r="AC27" s="16">
        <f ca="1">(O27-(O26*$R$19))*AC$25</f>
        <v>0</v>
      </c>
      <c r="AD27" s="16">
        <f ca="1">((P27-P26)*AD$25)</f>
        <v>0</v>
      </c>
      <c r="AF27" s="16">
        <f t="shared" ref="AF27:AF55" ca="1" si="22">SUM(L27:P27)-M27</f>
        <v>6.3319057758510766E-3</v>
      </c>
      <c r="AG27" s="16">
        <f t="shared" ref="AG27:AG58" ca="1" si="23">MIN(1,SUM(OFFSET(E27,0,0,-i_Eve_ECG,1)))</f>
        <v>1</v>
      </c>
      <c r="AH27" s="16">
        <f t="shared" ref="AH27:AH55" ca="1" si="24">IF(AG27+AF27&gt;1,
IF(AG27-AF27&lt;0,AG27,AG27-AF27),AG27)</f>
        <v>0.99366809422414892</v>
      </c>
      <c r="AI27" s="16">
        <f t="shared" ref="AI27:AI90" ca="1" si="25">AH27*AI$25</f>
        <v>1.1282273153170024</v>
      </c>
      <c r="AJ27" s="16">
        <f t="shared" ca="1" si="4"/>
        <v>1.8784788550579483</v>
      </c>
      <c r="AK27" s="16">
        <f t="shared" ca="1" si="5"/>
        <v>0.39238909689412704</v>
      </c>
      <c r="AL27" s="16">
        <f t="shared" ref="AL27:AL58" ca="1" si="26">((SUM(F26:J26)-((I26+J26)*(1-i_Bac_ICU)))+(SUM(F27:J27)-((I27+J27)*(1-i_Bac_ICU))))/2*(C27-C26)</f>
        <v>0.49683404711207446</v>
      </c>
      <c r="AM27" s="16">
        <f t="shared" ref="AM27:AM58" ca="1" si="27">(((I26+J26)*(1-i_Bac_ICU))+((I27+J27)*(1-i_Bac_ICU))+K26+E26+E27+K27)/2*(C27-C26)</f>
        <v>0.5</v>
      </c>
      <c r="AN27" s="1">
        <v>2</v>
      </c>
      <c r="AO27" s="16">
        <f ca="1">SUM(OFFSET($S$26,95,0,4,12))+SUM(OFFSET($AI$26,95,0,4,3))</f>
        <v>301.24174176465635</v>
      </c>
      <c r="AP27" s="1">
        <v>2</v>
      </c>
      <c r="AQ27" s="79">
        <f ca="1">AO27*i_Set_CABG*POWER((1-(i_Set_Cost/100)),ROUNDDOWN($AN27-1,0))</f>
        <v>58139.656160578677</v>
      </c>
      <c r="AR27" s="79">
        <f ca="1">$AO27*i_Set_CABG*POWER((1-(i_Set_Cost/100)),ROUNDDOWN($AN27+0.5,0))</f>
        <v>56104.768194958422</v>
      </c>
      <c r="AS27" s="79">
        <f ca="1">$AO27*i_Set_CABG*POWER((1-(i_Set_Cost/100)),ROUNDDOWN($AN27+1.5,0))</f>
        <v>54141.101308134872</v>
      </c>
      <c r="AT27" s="79">
        <f ca="1">$AO27*i_Set_CABG*POWER((1-(i_Set_Cost/100)),ROUNDDOWN($AN27+2.5,0))</f>
        <v>52246.162762350155</v>
      </c>
      <c r="AU27" s="76">
        <v>0</v>
      </c>
    </row>
    <row r="28" spans="1:47" ht="16.5" x14ac:dyDescent="0.3">
      <c r="A28"/>
      <c r="B28" s="36">
        <f t="shared" ref="B28:C35" si="28">B27+1</f>
        <v>2</v>
      </c>
      <c r="C28" s="36">
        <f t="shared" si="28"/>
        <v>2</v>
      </c>
      <c r="D28" s="36">
        <f t="shared" si="6"/>
        <v>0</v>
      </c>
      <c r="E28" s="14">
        <f t="shared" ca="1" si="7"/>
        <v>1.3953437757108003E-4</v>
      </c>
      <c r="F28" s="14">
        <f t="shared" ca="1" si="8"/>
        <v>4.7821226077203946E-3</v>
      </c>
      <c r="G28" s="14">
        <f t="shared" ca="1" si="9"/>
        <v>6.7211284899908519E-2</v>
      </c>
      <c r="H28" s="14">
        <f t="shared" ca="1" si="10"/>
        <v>0.91711451527718424</v>
      </c>
      <c r="I28" s="14">
        <f t="shared" ca="1" si="11"/>
        <v>1.1851227219253548E-3</v>
      </c>
      <c r="J28" s="14">
        <f ca="1">SUMPRODUCT($E27:$P27,$H$14:$S$14)</f>
        <v>1.0655928789604641E-3</v>
      </c>
      <c r="K28" s="14">
        <f t="shared" ca="1" si="13"/>
        <v>0</v>
      </c>
      <c r="L28" s="14">
        <f t="shared" ca="1" si="14"/>
        <v>0</v>
      </c>
      <c r="M28" s="14">
        <f t="shared" ca="1" si="15"/>
        <v>0</v>
      </c>
      <c r="N28" s="14">
        <f t="shared" ca="1" si="16"/>
        <v>0</v>
      </c>
      <c r="O28" s="14">
        <f t="shared" ca="1" si="17"/>
        <v>0</v>
      </c>
      <c r="P28" s="14">
        <f t="shared" ca="1" si="18"/>
        <v>8.5018272367299221E-3</v>
      </c>
      <c r="Q28"/>
      <c r="R28" s="38">
        <f t="shared" ca="1" si="19"/>
        <v>1</v>
      </c>
      <c r="S28" s="16">
        <f t="shared" ca="1" si="20"/>
        <v>1.4293971405570223</v>
      </c>
      <c r="T28" s="16">
        <f t="shared" ref="T28:T91" ca="1" si="29">((F27+F28)/2)*T$25*($C28-$C27)</f>
        <v>1462.3074170563041</v>
      </c>
      <c r="U28" s="16">
        <f t="shared" ref="U28:U91" ca="1" si="30">((G27+G28)/2)*U$25*($C28-$C27)</f>
        <v>291.38244834607008</v>
      </c>
      <c r="V28" s="16">
        <f t="shared" ref="V28:V91" ca="1" si="31">((H28+H27)/2)*V$25*($C28-$C27)</f>
        <v>1162.6810978878032</v>
      </c>
      <c r="W28" s="16">
        <f t="shared" ref="W28:W91" ca="1" si="32">((I27+I28)/2)*W$25*($C28-$C27)</f>
        <v>1.3227098461681868</v>
      </c>
      <c r="X28" s="16">
        <f t="shared" ref="X28:X91" ca="1" si="33">((J27+J28)/2)*X$25*($C28-$C27)</f>
        <v>1.1893031556410294</v>
      </c>
      <c r="Y28" s="16">
        <f t="shared" ref="Y28:Y91" ca="1" si="34">((K28+K27)/2)*Y$25*($C28-$C27)</f>
        <v>0</v>
      </c>
      <c r="Z28" s="16">
        <f t="shared" ca="1" si="21"/>
        <v>0</v>
      </c>
      <c r="AA28" s="16">
        <f t="shared" ref="AA28:AA91" ca="1" si="35">((M27+M28)/2)*AA$25*($C28-$C27)</f>
        <v>0</v>
      </c>
      <c r="AB28" s="16">
        <f t="shared" ref="AB28:AB91" ca="1" si="36">(N28-(N27*$Q$18))*AB$25</f>
        <v>0</v>
      </c>
      <c r="AC28" s="16">
        <f t="shared" ref="AC28:AC91" ca="1" si="37">(O28-(O27*$R$19))*AC$25</f>
        <v>0</v>
      </c>
      <c r="AD28" s="16">
        <f t="shared" ref="AD28:AD91" ca="1" si="38">((P28-P27)*AD$25)</f>
        <v>0</v>
      </c>
      <c r="AF28" s="16">
        <f t="shared" ca="1" si="22"/>
        <v>8.5018272367299221E-3</v>
      </c>
      <c r="AG28" s="16">
        <f t="shared" ca="1" si="23"/>
        <v>1</v>
      </c>
      <c r="AH28" s="16">
        <f t="shared" ca="1" si="24"/>
        <v>0.99149817276327012</v>
      </c>
      <c r="AI28" s="16">
        <f t="shared" ca="1" si="25"/>
        <v>1.1257635503249628</v>
      </c>
      <c r="AJ28" s="16">
        <f t="shared" ca="1" si="4"/>
        <v>1.8743767292021516</v>
      </c>
      <c r="AK28" s="16">
        <f t="shared" ca="1" si="5"/>
        <v>0.39153221769340135</v>
      </c>
      <c r="AL28" s="16">
        <f t="shared" ca="1" si="26"/>
        <v>0.99159316756729643</v>
      </c>
      <c r="AM28" s="16">
        <f t="shared" ca="1" si="27"/>
        <v>9.8996592641312003E-4</v>
      </c>
      <c r="AN28" s="1">
        <v>3</v>
      </c>
      <c r="AO28" s="16">
        <f ca="1">SUM(OFFSET($S$26,99,0,4,12))+SUM(OFFSET($AI$26,99,0,4,3))</f>
        <v>291.91439025844454</v>
      </c>
      <c r="AP28" s="1">
        <v>3</v>
      </c>
      <c r="AQ28" s="79">
        <f ca="1">AO28*i_Set_CABG*POWER((1-(i_Set_Cost/100)),ROUNDDOWN($AN28-1,0))</f>
        <v>54367.595613684003</v>
      </c>
      <c r="AR28" s="79">
        <f ca="1">$AO28*i_Set_CABG*POWER((1-(i_Set_Cost/100)),ROUNDDOWN($AN28+0.5,0))</f>
        <v>52464.729767205055</v>
      </c>
      <c r="AS28" s="79">
        <f ca="1">$AO28*i_Set_CABG*POWER((1-(i_Set_Cost/100)),ROUNDDOWN($AN28+1.5,0))</f>
        <v>50628.46422535288</v>
      </c>
      <c r="AT28" s="76">
        <v>0</v>
      </c>
      <c r="AU28" s="76">
        <v>0</v>
      </c>
    </row>
    <row r="29" spans="1:47" ht="16.5" x14ac:dyDescent="0.3">
      <c r="A29"/>
      <c r="B29" s="36">
        <f t="shared" si="28"/>
        <v>3</v>
      </c>
      <c r="C29" s="36">
        <f t="shared" si="28"/>
        <v>3</v>
      </c>
      <c r="D29" s="36">
        <f t="shared" si="6"/>
        <v>0</v>
      </c>
      <c r="E29" s="14">
        <f t="shared" ca="1" si="7"/>
        <v>1.3921007563885623E-4</v>
      </c>
      <c r="F29" s="14">
        <f t="shared" ca="1" si="8"/>
        <v>1.491976169657278E-4</v>
      </c>
      <c r="G29" s="14">
        <f t="shared" ca="1" si="9"/>
        <v>4.1137329544200602E-2</v>
      </c>
      <c r="H29" s="14">
        <f t="shared" ca="1" si="10"/>
        <v>7.0017015844079683E-2</v>
      </c>
      <c r="I29" s="14">
        <f t="shared" ca="1" si="11"/>
        <v>2.2944247303310007E-3</v>
      </c>
      <c r="J29" s="14">
        <f t="shared" ca="1" si="12"/>
        <v>2.0915196124037909E-3</v>
      </c>
      <c r="K29" s="14">
        <f t="shared" ca="1" si="13"/>
        <v>0.87350371363154578</v>
      </c>
      <c r="L29" s="14">
        <f t="shared" ca="1" si="14"/>
        <v>0</v>
      </c>
      <c r="M29" s="14">
        <f t="shared" ca="1" si="15"/>
        <v>0</v>
      </c>
      <c r="N29" s="14">
        <f t="shared" ca="1" si="16"/>
        <v>0</v>
      </c>
      <c r="O29" s="14">
        <f t="shared" ca="1" si="17"/>
        <v>0</v>
      </c>
      <c r="P29" s="14">
        <f t="shared" ca="1" si="18"/>
        <v>1.0667588944834527E-2</v>
      </c>
      <c r="Q29"/>
      <c r="R29" s="38">
        <f t="shared" ca="1" si="19"/>
        <v>1</v>
      </c>
      <c r="S29" s="16">
        <f t="shared" ca="1" si="20"/>
        <v>1.4260749753482249</v>
      </c>
      <c r="T29" s="16">
        <f t="shared" ca="1" si="29"/>
        <v>8.1151531579513474</v>
      </c>
      <c r="U29" s="16">
        <f t="shared" ca="1" si="30"/>
        <v>178.30227213073152</v>
      </c>
      <c r="V29" s="16">
        <f t="shared" ca="1" si="31"/>
        <v>1251.4458698942935</v>
      </c>
      <c r="W29" s="16">
        <f t="shared" ca="1" si="32"/>
        <v>3.8835063999378754</v>
      </c>
      <c r="X29" s="16">
        <f t="shared" ca="1" si="33"/>
        <v>3.5236382701395015</v>
      </c>
      <c r="Y29" s="16">
        <f t="shared" ca="1" si="34"/>
        <v>1029.5551520718216</v>
      </c>
      <c r="Z29" s="16">
        <f t="shared" ca="1" si="21"/>
        <v>0</v>
      </c>
      <c r="AA29" s="16">
        <f t="shared" ca="1" si="35"/>
        <v>0</v>
      </c>
      <c r="AB29" s="16">
        <f t="shared" ca="1" si="36"/>
        <v>0</v>
      </c>
      <c r="AC29" s="16">
        <f t="shared" ca="1" si="37"/>
        <v>0</v>
      </c>
      <c r="AD29" s="16">
        <f t="shared" ca="1" si="38"/>
        <v>0</v>
      </c>
      <c r="AF29" s="16">
        <f t="shared" ca="1" si="22"/>
        <v>1.0667588944834527E-2</v>
      </c>
      <c r="AG29" s="16">
        <f t="shared" ca="1" si="23"/>
        <v>1</v>
      </c>
      <c r="AH29" s="16">
        <f t="shared" ca="1" si="24"/>
        <v>0.98933241105516545</v>
      </c>
      <c r="AI29" s="16">
        <f t="shared" ca="1" si="25"/>
        <v>1.1233045083855524</v>
      </c>
      <c r="AJ29" s="16">
        <f t="shared" ca="1" si="4"/>
        <v>1.8702824671468268</v>
      </c>
      <c r="AK29" s="16">
        <f t="shared" ca="1" si="5"/>
        <v>0.39067698113536875</v>
      </c>
      <c r="AL29" s="16">
        <f t="shared" ca="1" si="26"/>
        <v>0.55081068313117743</v>
      </c>
      <c r="AM29" s="16">
        <f t="shared" ca="1" si="27"/>
        <v>0.43960460877804042</v>
      </c>
      <c r="AN29" s="1">
        <v>4</v>
      </c>
      <c r="AO29" s="16">
        <f ca="1">SUM(OFFSET($S$26,103,0,4,12))+SUM(OFFSET($AI$26,103,0,4,3))</f>
        <v>283.61816300819248</v>
      </c>
      <c r="AP29" s="1">
        <v>4</v>
      </c>
      <c r="AQ29" s="79">
        <f ca="1">AO29*i_Set_CABG*POWER((1-(i_Set_Cost/100)),ROUNDDOWN($AN29-1,0))</f>
        <v>50973.678502529678</v>
      </c>
      <c r="AR29" s="79">
        <f ca="1">$AO29*i_Set_CABG*POWER((1-(i_Set_Cost/100)),ROUNDDOWN($AN29+0.5,0))</f>
        <v>49189.59975494114</v>
      </c>
      <c r="AS29" s="76">
        <v>0</v>
      </c>
      <c r="AT29" s="76">
        <v>0</v>
      </c>
      <c r="AU29" s="76">
        <v>0</v>
      </c>
    </row>
    <row r="30" spans="1:47" ht="16.5" x14ac:dyDescent="0.3">
      <c r="A30"/>
      <c r="B30" s="36">
        <f t="shared" si="28"/>
        <v>4</v>
      </c>
      <c r="C30" s="36">
        <f t="shared" si="28"/>
        <v>4</v>
      </c>
      <c r="D30" s="36">
        <f t="shared" si="6"/>
        <v>0</v>
      </c>
      <c r="E30" s="14">
        <f t="shared" ca="1" si="7"/>
        <v>1.3890599728271728E-4</v>
      </c>
      <c r="F30" s="14">
        <f t="shared" ca="1" si="8"/>
        <v>1.2384330237823787E-4</v>
      </c>
      <c r="G30" s="14">
        <f t="shared" ca="1" si="9"/>
        <v>2.5184418912984334E-2</v>
      </c>
      <c r="H30" s="14">
        <f t="shared" ca="1" si="10"/>
        <v>1.9036235020371797E-2</v>
      </c>
      <c r="I30" s="14">
        <f t="shared" ca="1" si="11"/>
        <v>3.3327183611821156E-3</v>
      </c>
      <c r="J30" s="14">
        <f t="shared" ca="1" si="12"/>
        <v>3.0793530041709799E-3</v>
      </c>
      <c r="K30" s="14">
        <f t="shared" ca="1" si="13"/>
        <v>0.79161461593861604</v>
      </c>
      <c r="L30" s="14">
        <f t="shared" ca="1" si="14"/>
        <v>0.10777266077789438</v>
      </c>
      <c r="M30" s="14">
        <f t="shared" ca="1" si="15"/>
        <v>3.6888628856863177E-2</v>
      </c>
      <c r="N30" s="14">
        <f t="shared" ca="1" si="16"/>
        <v>0</v>
      </c>
      <c r="O30" s="14">
        <f t="shared" ca="1" si="17"/>
        <v>0</v>
      </c>
      <c r="P30" s="14">
        <f t="shared" ca="1" si="18"/>
        <v>1.2828619828256123E-2</v>
      </c>
      <c r="Q30"/>
      <c r="R30" s="38">
        <f t="shared" ca="1" si="19"/>
        <v>0.99999999999999989</v>
      </c>
      <c r="S30" s="16">
        <f t="shared" ca="1" si="20"/>
        <v>1.4229599814640199</v>
      </c>
      <c r="T30" s="16">
        <f t="shared" ca="1" si="29"/>
        <v>0.44932569330460692</v>
      </c>
      <c r="U30" s="16">
        <f t="shared" ca="1" si="30"/>
        <v>109.14139052233955</v>
      </c>
      <c r="V30" s="16">
        <f t="shared" ca="1" si="31"/>
        <v>112.89814931591701</v>
      </c>
      <c r="W30" s="16">
        <f t="shared" ca="1" si="32"/>
        <v>6.2804277019089101</v>
      </c>
      <c r="X30" s="16">
        <f t="shared" ca="1" si="33"/>
        <v>5.7711863899743001</v>
      </c>
      <c r="Y30" s="16">
        <f t="shared" ca="1" si="34"/>
        <v>1962.5917191478716</v>
      </c>
      <c r="Z30" s="16">
        <f t="shared" ca="1" si="21"/>
        <v>0</v>
      </c>
      <c r="AA30" s="16">
        <f t="shared" ca="1" si="35"/>
        <v>7.7545431151454931</v>
      </c>
      <c r="AB30" s="16">
        <f t="shared" ca="1" si="36"/>
        <v>0</v>
      </c>
      <c r="AC30" s="16">
        <f t="shared" ca="1" si="37"/>
        <v>0</v>
      </c>
      <c r="AD30" s="16">
        <f t="shared" ca="1" si="38"/>
        <v>0</v>
      </c>
      <c r="AF30" s="16">
        <f t="shared" ca="1" si="22"/>
        <v>0.1206012806061505</v>
      </c>
      <c r="AG30" s="16">
        <f t="shared" ca="1" si="23"/>
        <v>1</v>
      </c>
      <c r="AH30" s="16">
        <f t="shared" ca="1" si="24"/>
        <v>0.8793987193938495</v>
      </c>
      <c r="AI30" s="16">
        <f t="shared" ca="1" si="25"/>
        <v>0.99848396264509987</v>
      </c>
      <c r="AJ30" s="16">
        <f t="shared" ca="1" si="4"/>
        <v>1.6624584296793836</v>
      </c>
      <c r="AK30" s="16">
        <f t="shared" ca="1" si="5"/>
        <v>0.34726532060207749</v>
      </c>
      <c r="AL30" s="16">
        <f t="shared" ca="1" si="26"/>
        <v>7.8808289648841373E-2</v>
      </c>
      <c r="AM30" s="16">
        <f t="shared" ca="1" si="27"/>
        <v>0.83711296114723455</v>
      </c>
      <c r="AN30" s="1">
        <v>5</v>
      </c>
      <c r="AO30" s="16">
        <f ca="1">SUM(OFFSET($S$26,107,0,4,12))+SUM(OFFSET($AI$26,107,0,4,3))</f>
        <v>275.55771523806192</v>
      </c>
      <c r="AP30" s="1">
        <v>5</v>
      </c>
      <c r="AQ30" s="79">
        <f ca="1">AO30*i_Set_CABG*POWER((1-(i_Set_Cost/100)),ROUNDDOWN($AN30-1,0))</f>
        <v>47791.62793447321</v>
      </c>
      <c r="AR30" s="76">
        <v>0</v>
      </c>
      <c r="AS30" s="76">
        <v>0</v>
      </c>
      <c r="AT30" s="76">
        <v>0</v>
      </c>
      <c r="AU30" s="76">
        <v>0</v>
      </c>
    </row>
    <row r="31" spans="1:47" ht="16.5" x14ac:dyDescent="0.3">
      <c r="A31"/>
      <c r="B31" s="36">
        <f t="shared" si="28"/>
        <v>5</v>
      </c>
      <c r="C31" s="36">
        <f t="shared" si="28"/>
        <v>5</v>
      </c>
      <c r="D31" s="36">
        <f t="shared" si="6"/>
        <v>0</v>
      </c>
      <c r="E31" s="14">
        <f t="shared" ca="1" si="7"/>
        <v>1.3860258040579587E-4</v>
      </c>
      <c r="F31" s="14">
        <f t="shared" ca="1" si="8"/>
        <v>1.2343736683678055E-4</v>
      </c>
      <c r="G31" s="14">
        <f t="shared" ca="1" si="9"/>
        <v>1.5423887502398795E-2</v>
      </c>
      <c r="H31" s="14">
        <f t="shared" ca="1" si="10"/>
        <v>1.0743466276904531E-2</v>
      </c>
      <c r="I31" s="14">
        <f t="shared" ca="1" si="11"/>
        <v>4.1318225423504816E-3</v>
      </c>
      <c r="J31" s="14">
        <f t="shared" ca="1" si="12"/>
        <v>3.8753259672182792E-3</v>
      </c>
      <c r="K31" s="14">
        <f t="shared" ca="1" si="13"/>
        <v>0.67515385125926208</v>
      </c>
      <c r="L31" s="14">
        <f t="shared" ca="1" si="14"/>
        <v>0.20672747112786763</v>
      </c>
      <c r="M31" s="14">
        <f t="shared" ca="1" si="15"/>
        <v>6.8925180703877986E-2</v>
      </c>
      <c r="N31" s="14">
        <f t="shared" ca="1" si="16"/>
        <v>3.6427465157535735E-5</v>
      </c>
      <c r="O31" s="136">
        <f t="shared" ca="1" si="17"/>
        <v>4.0582273657363926E-5</v>
      </c>
      <c r="P31" s="14">
        <f t="shared" ca="1" si="18"/>
        <v>1.4679944934062675E-2</v>
      </c>
      <c r="Q31"/>
      <c r="R31" s="38">
        <f t="shared" ca="1" si="19"/>
        <v>0.99999999999999989</v>
      </c>
      <c r="S31" s="16">
        <f t="shared" ca="1" si="20"/>
        <v>1.4198517638059931</v>
      </c>
      <c r="T31" s="16">
        <f t="shared" ca="1" si="29"/>
        <v>0.40693372408365686</v>
      </c>
      <c r="U31" s="16">
        <f t="shared" ca="1" si="30"/>
        <v>66.826450327879016</v>
      </c>
      <c r="V31" s="16">
        <f t="shared" ca="1" si="31"/>
        <v>37.753514116635039</v>
      </c>
      <c r="W31" s="16">
        <f t="shared" ca="1" si="32"/>
        <v>8.3311386808847452</v>
      </c>
      <c r="X31" s="16">
        <f t="shared" ca="1" si="33"/>
        <v>7.7620841978716308</v>
      </c>
      <c r="Y31" s="16">
        <f t="shared" ca="1" si="34"/>
        <v>1728.8066538627793</v>
      </c>
      <c r="Z31" s="16">
        <f t="shared" ca="1" si="21"/>
        <v>0</v>
      </c>
      <c r="AA31" s="16">
        <f t="shared" ca="1" si="35"/>
        <v>22.243649976811202</v>
      </c>
      <c r="AB31" s="16">
        <f ca="1">(N31-(N30*$Q$18))*AB$25</f>
        <v>0.85917163626190951</v>
      </c>
      <c r="AC31" s="16">
        <f ca="1">(O31-(O30*$R$19))*AC$25</f>
        <v>0.10480777994750808</v>
      </c>
      <c r="AD31" s="16">
        <f t="shared" ca="1" si="38"/>
        <v>0</v>
      </c>
      <c r="AF31" s="16">
        <f t="shared" ca="1" si="22"/>
        <v>0.22148442580074518</v>
      </c>
      <c r="AG31" s="16">
        <f t="shared" ca="1" si="23"/>
        <v>1</v>
      </c>
      <c r="AH31" s="16">
        <f t="shared" ca="1" si="24"/>
        <v>0.77851557419925488</v>
      </c>
      <c r="AI31" s="16">
        <f t="shared" ca="1" si="25"/>
        <v>0.88393955820540382</v>
      </c>
      <c r="AJ31" s="16">
        <f t="shared" ca="1" si="4"/>
        <v>1.4717439887294073</v>
      </c>
      <c r="AK31" s="16">
        <f t="shared" ca="1" si="5"/>
        <v>0.30742762583775662</v>
      </c>
      <c r="AL31" s="16">
        <f t="shared" ca="1" si="26"/>
        <v>3.6631996672833608E-2</v>
      </c>
      <c r="AM31" s="16">
        <f t="shared" ca="1" si="27"/>
        <v>0.73941824534334788</v>
      </c>
    </row>
    <row r="32" spans="1:47" ht="16.5" x14ac:dyDescent="0.3">
      <c r="A32"/>
      <c r="B32" s="36">
        <f t="shared" si="28"/>
        <v>6</v>
      </c>
      <c r="C32" s="36">
        <f t="shared" si="28"/>
        <v>6</v>
      </c>
      <c r="D32" s="36">
        <f t="shared" si="6"/>
        <v>0</v>
      </c>
      <c r="E32" s="14">
        <f t="shared" ca="1" si="7"/>
        <v>1.3833183943426667E-4</v>
      </c>
      <c r="F32" s="14">
        <f t="shared" ca="1" si="8"/>
        <v>1.2316700586154376E-4</v>
      </c>
      <c r="G32" s="14">
        <f t="shared" ca="1" si="9"/>
        <v>9.4520506815817199E-3</v>
      </c>
      <c r="H32" s="14">
        <f t="shared" ca="1" si="10"/>
        <v>6.6772594695689615E-3</v>
      </c>
      <c r="I32" s="14">
        <f t="shared" ca="1" si="11"/>
        <v>4.7230376332078805E-3</v>
      </c>
      <c r="J32" s="14">
        <f t="shared" ca="1" si="12"/>
        <v>4.501071103915814E-3</v>
      </c>
      <c r="K32" s="14">
        <f t="shared" ca="1" si="13"/>
        <v>0.57065154998910561</v>
      </c>
      <c r="L32" s="14">
        <f t="shared" ca="1" si="14"/>
        <v>0.29242928312364291</v>
      </c>
      <c r="M32" s="14">
        <f t="shared" ca="1" si="15"/>
        <v>9.4833826930414325E-2</v>
      </c>
      <c r="N32" s="14">
        <f t="shared" ca="1" si="16"/>
        <v>1.0431958167659529E-4</v>
      </c>
      <c r="O32" s="14">
        <f t="shared" ca="1" si="17"/>
        <v>1.1520448719910096E-4</v>
      </c>
      <c r="P32" s="14">
        <f t="shared" ca="1" si="18"/>
        <v>1.625089815439118E-2</v>
      </c>
      <c r="Q32"/>
      <c r="R32" s="38">
        <f t="shared" ca="1" si="19"/>
        <v>0.99999999999999989</v>
      </c>
      <c r="S32" s="16">
        <f t="shared" ca="1" si="20"/>
        <v>1.4170782797565995</v>
      </c>
      <c r="T32" s="16">
        <f t="shared" ca="1" si="29"/>
        <v>0.40582078686540696</v>
      </c>
      <c r="U32" s="16">
        <f t="shared" ca="1" si="30"/>
        <v>40.936714533394778</v>
      </c>
      <c r="V32" s="16">
        <f t="shared" ca="1" si="31"/>
        <v>22.085299272349236</v>
      </c>
      <c r="W32" s="16">
        <f t="shared" ca="1" si="32"/>
        <v>9.8828674228991051</v>
      </c>
      <c r="X32" s="16">
        <f t="shared" ca="1" si="33"/>
        <v>9.3488570225061238</v>
      </c>
      <c r="Y32" s="16">
        <f t="shared" ca="1" si="34"/>
        <v>1468.3685361813887</v>
      </c>
      <c r="Z32" s="16">
        <f t="shared" ca="1" si="21"/>
        <v>0</v>
      </c>
      <c r="AA32" s="16">
        <f t="shared" ca="1" si="35"/>
        <v>34.424599789842759</v>
      </c>
      <c r="AB32" s="16">
        <f ca="1">(N32-(N31*$Q$18))*AB$25</f>
        <v>1.6371549051731378</v>
      </c>
      <c r="AC32" s="16">
        <f t="shared" ca="1" si="37"/>
        <v>0.19971163362411476</v>
      </c>
      <c r="AD32" s="16">
        <f t="shared" ca="1" si="38"/>
        <v>0</v>
      </c>
      <c r="AF32" s="16">
        <f t="shared" ca="1" si="22"/>
        <v>0.3088997053469098</v>
      </c>
      <c r="AG32" s="16">
        <f t="shared" ca="1" si="23"/>
        <v>1</v>
      </c>
      <c r="AH32" s="16">
        <f t="shared" ca="1" si="24"/>
        <v>0.6911002946530902</v>
      </c>
      <c r="AI32" s="16">
        <f t="shared" ca="1" si="25"/>
        <v>0.78468679288736276</v>
      </c>
      <c r="AJ32" s="16">
        <f t="shared" ca="1" si="4"/>
        <v>1.3064898609266398</v>
      </c>
      <c r="AK32" s="16">
        <f t="shared" ca="1" si="5"/>
        <v>0.27290824980541145</v>
      </c>
      <c r="AL32" s="16">
        <f t="shared" ca="1" si="26"/>
        <v>2.2842311755832317E-2</v>
      </c>
      <c r="AM32" s="16">
        <f t="shared" ca="1" si="27"/>
        <v>0.63008611885319388</v>
      </c>
    </row>
    <row r="33" spans="1:43" ht="16.5" x14ac:dyDescent="0.3">
      <c r="A33"/>
      <c r="B33" s="36">
        <f t="shared" si="28"/>
        <v>7</v>
      </c>
      <c r="C33" s="36">
        <f t="shared" si="28"/>
        <v>7</v>
      </c>
      <c r="D33" s="36">
        <f t="shared" si="6"/>
        <v>0</v>
      </c>
      <c r="E33" s="14">
        <f t="shared" ca="1" si="7"/>
        <v>1.3809126629737281E-4</v>
      </c>
      <c r="F33" s="14">
        <f t="shared" ca="1" si="8"/>
        <v>1.2292625792212098E-4</v>
      </c>
      <c r="G33" s="14">
        <f t="shared" ca="1" si="9"/>
        <v>5.7982612760703253E-3</v>
      </c>
      <c r="H33" s="14">
        <f t="shared" ca="1" si="10"/>
        <v>4.2377549596951287E-3</v>
      </c>
      <c r="I33" s="14">
        <f t="shared" ca="1" si="11"/>
        <v>5.1425320344161418E-3</v>
      </c>
      <c r="J33" s="14">
        <f t="shared" ca="1" si="12"/>
        <v>4.9835634679286263E-3</v>
      </c>
      <c r="K33" s="14">
        <f t="shared" ca="1" si="13"/>
        <v>0.4800892242704014</v>
      </c>
      <c r="L33" s="14">
        <f t="shared" ca="1" si="14"/>
        <v>0.36613936935739977</v>
      </c>
      <c r="M33" s="14">
        <f t="shared" ca="1" si="15"/>
        <v>0.11535182183930562</v>
      </c>
      <c r="N33" s="14">
        <f t="shared" ca="1" si="16"/>
        <v>1.9748260117088097E-4</v>
      </c>
      <c r="O33" s="14">
        <f t="shared" ca="1" si="17"/>
        <v>2.1615866431364873E-4</v>
      </c>
      <c r="P33" s="14">
        <f t="shared" ca="1" si="18"/>
        <v>1.7582814005078978E-2</v>
      </c>
      <c r="Q33"/>
      <c r="R33" s="38">
        <f t="shared" ca="1" si="19"/>
        <v>1</v>
      </c>
      <c r="S33" s="16">
        <f t="shared" ca="1" si="20"/>
        <v>1.4146138365136018</v>
      </c>
      <c r="T33" s="16">
        <f t="shared" ca="1" si="29"/>
        <v>0.4049796881466311</v>
      </c>
      <c r="U33" s="16">
        <f t="shared" ca="1" si="30"/>
        <v>25.096447118430724</v>
      </c>
      <c r="V33" s="16">
        <f t="shared" ca="1" si="31"/>
        <v>13.837618692843844</v>
      </c>
      <c r="W33" s="16">
        <f t="shared" ca="1" si="32"/>
        <v>11.010915490865438</v>
      </c>
      <c r="X33" s="16">
        <f t="shared" ca="1" si="33"/>
        <v>10.585755638120322</v>
      </c>
      <c r="Y33" s="16">
        <f t="shared" ca="1" si="34"/>
        <v>1238.455613580968</v>
      </c>
      <c r="Z33" s="16">
        <f t="shared" ca="1" si="21"/>
        <v>0</v>
      </c>
      <c r="AA33" s="16">
        <f t="shared" ca="1" si="35"/>
        <v>44.184176156126682</v>
      </c>
      <c r="AB33" s="16">
        <f t="shared" ca="1" si="36"/>
        <v>2.3000312023284826</v>
      </c>
      <c r="AC33" s="16">
        <f t="shared" ca="1" si="37"/>
        <v>0.28057393185703478</v>
      </c>
      <c r="AD33" s="16">
        <f t="shared" ca="1" si="38"/>
        <v>0</v>
      </c>
      <c r="AF33" s="16">
        <f t="shared" ca="1" si="22"/>
        <v>0.38413582462796325</v>
      </c>
      <c r="AG33" s="16">
        <f t="shared" ca="1" si="23"/>
        <v>1</v>
      </c>
      <c r="AH33" s="16">
        <f t="shared" ca="1" si="24"/>
        <v>0.61586417537203675</v>
      </c>
      <c r="AI33" s="16">
        <f t="shared" ca="1" si="25"/>
        <v>0.69926244912033331</v>
      </c>
      <c r="AJ33" s="16">
        <f t="shared" ca="1" si="4"/>
        <v>1.1642598144678915</v>
      </c>
      <c r="AK33" s="16">
        <f t="shared" ca="1" si="5"/>
        <v>0.2431982962805759</v>
      </c>
      <c r="AL33" s="16">
        <f t="shared" ca="1" si="26"/>
        <v>1.4969535412861772E-2</v>
      </c>
      <c r="AM33" s="16">
        <f t="shared" ca="1" si="27"/>
        <v>0.53341987521484169</v>
      </c>
    </row>
    <row r="34" spans="1:43" ht="16.5" x14ac:dyDescent="0.3">
      <c r="A34"/>
      <c r="B34" s="36">
        <f t="shared" si="28"/>
        <v>8</v>
      </c>
      <c r="C34" s="36">
        <f t="shared" si="28"/>
        <v>8</v>
      </c>
      <c r="D34" s="36">
        <f t="shared" si="6"/>
        <v>0</v>
      </c>
      <c r="E34" s="14">
        <f t="shared" ca="1" si="7"/>
        <v>1.3787700913804357E-4</v>
      </c>
      <c r="F34" s="14">
        <f t="shared" ca="1" si="8"/>
        <v>1.2271233301312928E-4</v>
      </c>
      <c r="G34" s="14">
        <f t="shared" ca="1" si="9"/>
        <v>3.5627303042678323E-3</v>
      </c>
      <c r="H34" s="14">
        <f t="shared" ca="1" si="10"/>
        <v>2.7503399906674783E-3</v>
      </c>
      <c r="I34" s="14">
        <f t="shared" ca="1" si="11"/>
        <v>5.4218345650888849E-3</v>
      </c>
      <c r="J34" s="14">
        <f t="shared" ca="1" si="12"/>
        <v>5.3466574589542126E-3</v>
      </c>
      <c r="K34" s="14">
        <f t="shared" ca="1" si="13"/>
        <v>0.4026364854194997</v>
      </c>
      <c r="L34" s="14">
        <f t="shared" ca="1" si="14"/>
        <v>0.42938921882033126</v>
      </c>
      <c r="M34" s="14">
        <f t="shared" ca="1" si="15"/>
        <v>0.1312720952096284</v>
      </c>
      <c r="N34" s="14">
        <f t="shared" ca="1" si="16"/>
        <v>3.1048456886895084E-4</v>
      </c>
      <c r="O34" s="14">
        <f t="shared" ca="1" si="17"/>
        <v>3.3681172314973721E-4</v>
      </c>
      <c r="P34" s="14">
        <f t="shared" ca="1" si="18"/>
        <v>1.8712752597392402E-2</v>
      </c>
      <c r="Q34"/>
      <c r="R34" s="38">
        <f t="shared" ca="1" si="19"/>
        <v>1</v>
      </c>
      <c r="S34" s="16">
        <f t="shared" ca="1" si="20"/>
        <v>1.4124189754605752</v>
      </c>
      <c r="T34" s="16">
        <f t="shared" ca="1" si="29"/>
        <v>0.4042314625937305</v>
      </c>
      <c r="U34" s="16">
        <f t="shared" ca="1" si="30"/>
        <v>15.404775379309786</v>
      </c>
      <c r="V34" s="16">
        <f t="shared" ca="1" si="31"/>
        <v>8.8592272542716977</v>
      </c>
      <c r="W34" s="16">
        <f t="shared" ca="1" si="32"/>
        <v>11.790839430530939</v>
      </c>
      <c r="X34" s="16">
        <f t="shared" ca="1" si="33"/>
        <v>11.52951055641072</v>
      </c>
      <c r="Y34" s="16">
        <f t="shared" ca="1" si="34"/>
        <v>1040.4246577260019</v>
      </c>
      <c r="Z34" s="16">
        <f t="shared" ca="1" si="21"/>
        <v>0</v>
      </c>
      <c r="AA34" s="16">
        <f t="shared" ca="1" si="35"/>
        <v>51.844046722441668</v>
      </c>
      <c r="AB34" s="16">
        <f t="shared" ca="1" si="36"/>
        <v>2.8596701690593407</v>
      </c>
      <c r="AC34" s="16">
        <f t="shared" ca="1" si="37"/>
        <v>0.34884261671536287</v>
      </c>
      <c r="AD34" s="16">
        <f t="shared" ca="1" si="38"/>
        <v>0</v>
      </c>
      <c r="AF34" s="16">
        <f t="shared" ca="1" si="22"/>
        <v>0.44874926770974227</v>
      </c>
      <c r="AG34" s="16">
        <f t="shared" ca="1" si="23"/>
        <v>9.7055314576813246E-4</v>
      </c>
      <c r="AH34" s="16">
        <f t="shared" ca="1" si="24"/>
        <v>9.7055314576813246E-4</v>
      </c>
      <c r="AI34" s="16">
        <f t="shared" ca="1" si="25"/>
        <v>1.1019822175909002E-3</v>
      </c>
      <c r="AJ34" s="16">
        <f t="shared" ca="1" si="4"/>
        <v>1.8347812238642205E-3</v>
      </c>
      <c r="AK34" s="16">
        <f t="shared" ca="1" si="5"/>
        <v>3.8326124645580496E-4</v>
      </c>
      <c r="AL34" s="16">
        <f t="shared" ca="1" si="26"/>
        <v>1.0201963032392236E-2</v>
      </c>
      <c r="AM34" s="16">
        <f t="shared" ca="1" si="27"/>
        <v>0.45004353227428795</v>
      </c>
      <c r="AO34" s="1" t="s">
        <v>329</v>
      </c>
      <c r="AP34" t="s">
        <v>464</v>
      </c>
      <c r="AQ34"/>
    </row>
    <row r="35" spans="1:43" ht="16.5" x14ac:dyDescent="0.3">
      <c r="A35"/>
      <c r="B35" s="36">
        <f t="shared" si="28"/>
        <v>9</v>
      </c>
      <c r="C35" s="36">
        <f t="shared" si="28"/>
        <v>9</v>
      </c>
      <c r="D35" s="36">
        <f t="shared" si="6"/>
        <v>0</v>
      </c>
      <c r="E35" s="14">
        <f t="shared" ca="1" si="7"/>
        <v>1.3768555860065368E-4</v>
      </c>
      <c r="F35" s="14">
        <f t="shared" ca="1" si="8"/>
        <v>1.2252181170734834E-4</v>
      </c>
      <c r="G35" s="14">
        <f t="shared" ca="1" si="9"/>
        <v>2.1949378319317354E-3</v>
      </c>
      <c r="H35" s="14">
        <f t="shared" ca="1" si="10"/>
        <v>1.8421126587811493E-3</v>
      </c>
      <c r="I35" s="14">
        <f t="shared" ca="1" si="11"/>
        <v>5.5877334791230209E-3</v>
      </c>
      <c r="J35" s="14">
        <f t="shared" ca="1" si="12"/>
        <v>5.6108501226692122E-3</v>
      </c>
      <c r="K35" s="14">
        <f t="shared" ca="1" si="13"/>
        <v>0.33696304100001029</v>
      </c>
      <c r="L35" s="14">
        <f t="shared" ca="1" si="14"/>
        <v>0.48363554903492323</v>
      </c>
      <c r="M35" s="14">
        <f t="shared" ca="1" si="15"/>
        <v>0.14332241970071571</v>
      </c>
      <c r="N35" s="14">
        <f t="shared" ca="1" si="16"/>
        <v>4.3870558823804948E-4</v>
      </c>
      <c r="O35" s="14">
        <f t="shared" ca="1" si="17"/>
        <v>4.7162518762343256E-4</v>
      </c>
      <c r="P35" s="14">
        <f t="shared" ca="1" si="18"/>
        <v>1.9672818025676175E-2</v>
      </c>
      <c r="Q35"/>
      <c r="R35" s="44">
        <f t="shared" ca="1" si="19"/>
        <v>1</v>
      </c>
      <c r="S35" s="16">
        <f t="shared" ca="1" si="20"/>
        <v>1.4104577465830264</v>
      </c>
      <c r="T35" s="16">
        <f t="shared" ca="1" si="29"/>
        <v>0.40356589174708318</v>
      </c>
      <c r="U35" s="16">
        <f t="shared" ca="1" si="30"/>
        <v>9.4750202033147755</v>
      </c>
      <c r="V35" s="16">
        <f t="shared" ca="1" si="31"/>
        <v>5.8221277708649914</v>
      </c>
      <c r="W35" s="16">
        <f t="shared" ca="1" si="32"/>
        <v>12.287726650350169</v>
      </c>
      <c r="X35" s="16">
        <f t="shared" ca="1" si="33"/>
        <v>12.229622215098111</v>
      </c>
      <c r="Y35" s="16">
        <f t="shared" ca="1" si="34"/>
        <v>871.72898181435551</v>
      </c>
      <c r="Z35" s="16">
        <f t="shared" ca="1" si="21"/>
        <v>0</v>
      </c>
      <c r="AA35" s="16">
        <f t="shared" ca="1" si="35"/>
        <v>57.723885951877996</v>
      </c>
      <c r="AB35" s="16">
        <f t="shared" ca="1" si="36"/>
        <v>3.3298769821566303</v>
      </c>
      <c r="AC35" s="16">
        <f t="shared" ca="1" si="37"/>
        <v>0.40620174045382035</v>
      </c>
      <c r="AD35" s="16">
        <f t="shared" ca="1" si="38"/>
        <v>0</v>
      </c>
      <c r="AF35" s="16">
        <f t="shared" ca="1" si="22"/>
        <v>0.50421869783646089</v>
      </c>
      <c r="AG35" s="16">
        <f t="shared" ca="1" si="23"/>
        <v>1.1082387043687861E-3</v>
      </c>
      <c r="AH35" s="16">
        <f t="shared" ca="1" si="24"/>
        <v>1.1082387043687861E-3</v>
      </c>
      <c r="AI35" s="16">
        <f t="shared" ca="1" si="25"/>
        <v>1.2583126955853924E-3</v>
      </c>
      <c r="AJ35" s="16">
        <f t="shared" ca="1" si="4"/>
        <v>2.0950687504352676E-3</v>
      </c>
      <c r="AK35" s="16">
        <f t="shared" ca="1" si="5"/>
        <v>4.3763182784883772E-4</v>
      </c>
      <c r="AL35" s="16">
        <f t="shared" ca="1" si="26"/>
        <v>7.3000382460915786E-3</v>
      </c>
      <c r="AM35" s="16">
        <f t="shared" ca="1" si="27"/>
        <v>0.37891872152563477</v>
      </c>
      <c r="AO35" s="77">
        <f ca="1">SUM(OFFSET(AL26,0,0,93+IF(i_Set_Time&gt;0.5,2,0),1))*i_Set_CABG</f>
        <v>471.75552778229024</v>
      </c>
      <c r="AP35" s="77">
        <f ca="1">(SUM(OFFSET(AM26,0,0,93+IF(i_Set_Time&gt;0.5,2,0),1))*i_Set_CABG)+AO35</f>
        <v>2061.6297560228932</v>
      </c>
      <c r="AQ35"/>
    </row>
    <row r="36" spans="1:43" ht="16.5" x14ac:dyDescent="0.3">
      <c r="A36"/>
      <c r="B36" s="36">
        <f t="shared" ref="B36:C99" si="39">B35+1</f>
        <v>10</v>
      </c>
      <c r="C36" s="36">
        <f t="shared" si="39"/>
        <v>10</v>
      </c>
      <c r="D36" s="36">
        <f t="shared" si="6"/>
        <v>0</v>
      </c>
      <c r="E36" s="14">
        <f t="shared" ca="1" si="7"/>
        <v>1.3751383348237112E-4</v>
      </c>
      <c r="F36" s="14">
        <f t="shared" ca="1" si="8"/>
        <v>1.2235157388000152E-4</v>
      </c>
      <c r="G36" s="14">
        <f t="shared" ca="1" si="9"/>
        <v>1.3580578719348006E-3</v>
      </c>
      <c r="H36" s="14">
        <f t="shared" ca="1" si="10"/>
        <v>1.286935386972243E-3</v>
      </c>
      <c r="I36" s="14">
        <f t="shared" ca="1" si="11"/>
        <v>5.6627381812009636E-3</v>
      </c>
      <c r="J36" s="14">
        <f t="shared" ca="1" si="12"/>
        <v>5.7935527296656148E-3</v>
      </c>
      <c r="K36" s="14">
        <f t="shared" ca="1" si="13"/>
        <v>0.28161093951626459</v>
      </c>
      <c r="L36" s="14">
        <f t="shared" ca="1" si="14"/>
        <v>0.5301963573028543</v>
      </c>
      <c r="M36" s="14">
        <f t="shared" ca="1" si="15"/>
        <v>0.15214678183064004</v>
      </c>
      <c r="N36" s="14">
        <f t="shared" ca="1" si="16"/>
        <v>5.7826868821909657E-4</v>
      </c>
      <c r="O36" s="14">
        <f t="shared" ca="1" si="17"/>
        <v>6.1604290563699315E-4</v>
      </c>
      <c r="P36" s="14">
        <f t="shared" ca="1" si="18"/>
        <v>2.0490460179248979E-2</v>
      </c>
      <c r="Q36"/>
      <c r="R36" s="44">
        <f t="shared" ca="1" si="19"/>
        <v>0.99999999999999989</v>
      </c>
      <c r="S36" s="16">
        <f t="shared" ca="1" si="20"/>
        <v>1.4086985858850838</v>
      </c>
      <c r="T36" s="16">
        <f t="shared" ca="1" si="29"/>
        <v>0.40297221389103849</v>
      </c>
      <c r="U36" s="16">
        <f t="shared" ca="1" si="30"/>
        <v>5.846934085132407</v>
      </c>
      <c r="V36" s="16">
        <f t="shared" ca="1" si="31"/>
        <v>3.9668819504843205</v>
      </c>
      <c r="W36" s="16">
        <f t="shared" ca="1" si="32"/>
        <v>12.556598033130928</v>
      </c>
      <c r="X36" s="16">
        <f t="shared" ca="1" si="33"/>
        <v>12.728399906083265</v>
      </c>
      <c r="Y36" s="16">
        <f t="shared" ca="1" si="34"/>
        <v>729.08222213550744</v>
      </c>
      <c r="Z36" s="16">
        <f t="shared" ca="1" si="21"/>
        <v>0</v>
      </c>
      <c r="AA36" s="16">
        <f t="shared" ca="1" si="35"/>
        <v>62.112058199913953</v>
      </c>
      <c r="AB36" s="16">
        <f t="shared" ca="1" si="36"/>
        <v>3.723625755211144</v>
      </c>
      <c r="AC36" s="16">
        <f t="shared" ca="1" si="37"/>
        <v>0.45423397641129148</v>
      </c>
      <c r="AD36" s="16">
        <f t="shared" ca="1" si="38"/>
        <v>0</v>
      </c>
      <c r="AF36" s="16">
        <f t="shared" ca="1" si="22"/>
        <v>0.55188112907595932</v>
      </c>
      <c r="AG36" s="16">
        <f t="shared" ca="1" si="23"/>
        <v>1.1062181602800771E-3</v>
      </c>
      <c r="AH36" s="16">
        <f t="shared" ca="1" si="24"/>
        <v>1.1062181602800771E-3</v>
      </c>
      <c r="AI36" s="16">
        <f t="shared" ca="1" si="25"/>
        <v>1.2560185361513373E-3</v>
      </c>
      <c r="AJ36" s="16">
        <f t="shared" ca="1" si="4"/>
        <v>2.0912490148833115E-3</v>
      </c>
      <c r="AK36" s="16">
        <f t="shared" ca="1" si="5"/>
        <v>4.3683393620391948E-4</v>
      </c>
      <c r="AL36" s="16">
        <f t="shared" ca="1" si="26"/>
        <v>5.528514153207929E-3</v>
      </c>
      <c r="AM36" s="16">
        <f t="shared" ca="1" si="27"/>
        <v>0.31868697162490411</v>
      </c>
      <c r="AO36" s="1" t="s">
        <v>330</v>
      </c>
    </row>
    <row r="37" spans="1:43" ht="16.5" x14ac:dyDescent="0.3">
      <c r="A37"/>
      <c r="B37" s="36">
        <f t="shared" si="39"/>
        <v>11</v>
      </c>
      <c r="C37" s="36">
        <f t="shared" si="39"/>
        <v>11</v>
      </c>
      <c r="D37" s="36">
        <f t="shared" si="6"/>
        <v>0</v>
      </c>
      <c r="E37" s="14">
        <f t="shared" ca="1" si="7"/>
        <v>1.3735916381450968E-4</v>
      </c>
      <c r="F37" s="14">
        <f t="shared" ca="1" si="8"/>
        <v>1.2219887943386171E-4</v>
      </c>
      <c r="G37" s="14">
        <f t="shared" ca="1" si="9"/>
        <v>8.4600923622908664E-4</v>
      </c>
      <c r="H37" s="14">
        <f t="shared" ca="1" si="10"/>
        <v>9.4678397393753596E-4</v>
      </c>
      <c r="I37" s="14">
        <f t="shared" ca="1" si="11"/>
        <v>5.6656109925993844E-3</v>
      </c>
      <c r="J37" s="14">
        <f t="shared" ca="1" si="12"/>
        <v>5.9094411307717551E-3</v>
      </c>
      <c r="K37" s="14">
        <f t="shared" ca="1" si="13"/>
        <v>0.23515590645273934</v>
      </c>
      <c r="L37" s="14">
        <f t="shared" ca="1" si="14"/>
        <v>0.57023224885639345</v>
      </c>
      <c r="M37" s="14">
        <f t="shared" ca="1" si="15"/>
        <v>0.15830317506504979</v>
      </c>
      <c r="N37" s="14">
        <f t="shared" ca="1" si="16"/>
        <v>7.2595278212771283E-4</v>
      </c>
      <c r="O37" s="14">
        <f t="shared" ca="1" si="17"/>
        <v>7.6636309243930398E-4</v>
      </c>
      <c r="P37" s="14">
        <f t="shared" ca="1" si="18"/>
        <v>2.1188950374464326E-2</v>
      </c>
      <c r="Q37"/>
      <c r="R37" s="44">
        <f t="shared" ca="1" si="19"/>
        <v>1</v>
      </c>
      <c r="S37" s="16">
        <f t="shared" ca="1" si="20"/>
        <v>1.4071141420740279</v>
      </c>
      <c r="T37" s="16">
        <f t="shared" ca="1" si="29"/>
        <v>0.40244078523915933</v>
      </c>
      <c r="U37" s="16">
        <f t="shared" ca="1" si="30"/>
        <v>3.6270899755432784</v>
      </c>
      <c r="V37" s="16">
        <f t="shared" ca="1" si="31"/>
        <v>2.8318200569869814</v>
      </c>
      <c r="W37" s="16">
        <f t="shared" ca="1" si="32"/>
        <v>12.643516756369085</v>
      </c>
      <c r="X37" s="16">
        <f t="shared" ca="1" si="33"/>
        <v>13.06165591332012</v>
      </c>
      <c r="Y37" s="16">
        <f t="shared" ca="1" si="34"/>
        <v>609.08724300136646</v>
      </c>
      <c r="Z37" s="16">
        <f t="shared" ca="1" si="21"/>
        <v>0</v>
      </c>
      <c r="AA37" s="16">
        <f t="shared" ca="1" si="35"/>
        <v>65.261237688827435</v>
      </c>
      <c r="AB37" s="16">
        <f t="shared" ca="1" si="36"/>
        <v>4.0525690930972766</v>
      </c>
      <c r="AC37" s="16">
        <f t="shared" ca="1" si="37"/>
        <v>0.49436079102817809</v>
      </c>
      <c r="AD37" s="16">
        <f t="shared" ca="1" si="38"/>
        <v>0</v>
      </c>
      <c r="AF37" s="16">
        <f t="shared" ca="1" si="22"/>
        <v>0.59291351510542478</v>
      </c>
      <c r="AG37" s="16">
        <f t="shared" ca="1" si="23"/>
        <v>1.1043672484557308E-3</v>
      </c>
      <c r="AH37" s="16">
        <f t="shared" ca="1" si="24"/>
        <v>1.1043672484557308E-3</v>
      </c>
      <c r="AI37" s="16">
        <f t="shared" ca="1" si="25"/>
        <v>1.2539169800174443E-3</v>
      </c>
      <c r="AJ37" s="16">
        <f t="shared" ca="1" si="4"/>
        <v>2.0877499604758883E-3</v>
      </c>
      <c r="AK37" s="16">
        <f t="shared" ca="1" si="5"/>
        <v>4.3610303055905927E-4</v>
      </c>
      <c r="AL37" s="16">
        <f t="shared" ca="1" si="26"/>
        <v>4.4405402123039051E-3</v>
      </c>
      <c r="AM37" s="16">
        <f t="shared" ca="1" si="27"/>
        <v>0.26793715924915912</v>
      </c>
      <c r="AN37" s="1" t="s">
        <v>335</v>
      </c>
      <c r="AO37" s="16">
        <f ca="1">(SUM(AB26:AB118)/$AB$25)</f>
        <v>2.1371256195519876E-2</v>
      </c>
      <c r="AP37" s="16">
        <f t="shared" ref="AP37:AP42" ca="1" si="40">AO37*i_Set_CABG</f>
        <v>4.2742512391039753</v>
      </c>
      <c r="AQ37" s="78">
        <f ca="1">SUM(OFFSET(AP37,0,0,1+i_Set_Time,1))</f>
        <v>4.9201831902345736</v>
      </c>
    </row>
    <row r="38" spans="1:43" ht="16.5" x14ac:dyDescent="0.3">
      <c r="A38"/>
      <c r="B38" s="36">
        <f t="shared" si="39"/>
        <v>12</v>
      </c>
      <c r="C38" s="36">
        <f t="shared" si="39"/>
        <v>12</v>
      </c>
      <c r="D38" s="36">
        <f t="shared" si="6"/>
        <v>0</v>
      </c>
      <c r="E38" s="14">
        <f t="shared" ca="1" si="7"/>
        <v>1.3721925426571401E-4</v>
      </c>
      <c r="F38" s="14">
        <f t="shared" ca="1" si="8"/>
        <v>1.2206135378307279E-4</v>
      </c>
      <c r="G38" s="14">
        <f t="shared" ca="1" si="9"/>
        <v>5.327046075397203E-4</v>
      </c>
      <c r="H38" s="14">
        <f t="shared" ca="1" si="10"/>
        <v>7.374275937051685E-4</v>
      </c>
      <c r="I38" s="14">
        <f t="shared" ca="1" si="11"/>
        <v>5.6118908752115972E-3</v>
      </c>
      <c r="J38" s="14">
        <f t="shared" ca="1" si="12"/>
        <v>5.9708158430140596E-3</v>
      </c>
      <c r="K38" s="14">
        <f t="shared" ca="1" si="13"/>
        <v>0.19628538268854334</v>
      </c>
      <c r="L38" s="14">
        <f t="shared" ca="1" si="14"/>
        <v>0.60474759297261438</v>
      </c>
      <c r="M38" s="14">
        <f t="shared" ca="1" si="15"/>
        <v>0.16226828733609155</v>
      </c>
      <c r="N38" s="14">
        <f t="shared" ca="1" si="16"/>
        <v>8.7910400231263621E-4</v>
      </c>
      <c r="O38" s="14">
        <f t="shared" ca="1" si="17"/>
        <v>9.1961305349703396E-4</v>
      </c>
      <c r="P38" s="14">
        <f t="shared" ca="1" si="18"/>
        <v>2.1787900419421746E-2</v>
      </c>
      <c r="Q38"/>
      <c r="R38" s="44">
        <f t="shared" ca="1" si="19"/>
        <v>1</v>
      </c>
      <c r="S38" s="16">
        <f t="shared" ca="1" si="20"/>
        <v>1.4056809016606875</v>
      </c>
      <c r="T38" s="16">
        <f t="shared" ca="1" si="29"/>
        <v>0.40196318888995003</v>
      </c>
      <c r="U38" s="16">
        <f t="shared" ca="1" si="30"/>
        <v>2.2688597562904804</v>
      </c>
      <c r="V38" s="16">
        <f t="shared" ca="1" si="31"/>
        <v>2.1351760569947151</v>
      </c>
      <c r="W38" s="16">
        <f t="shared" ca="1" si="32"/>
        <v>12.586766319440498</v>
      </c>
      <c r="X38" s="16">
        <f t="shared" ca="1" si="33"/>
        <v>13.259498432960196</v>
      </c>
      <c r="Y38" s="16">
        <f t="shared" ca="1" si="34"/>
        <v>508.51827544637285</v>
      </c>
      <c r="Z38" s="16">
        <f t="shared" ca="1" si="21"/>
        <v>0</v>
      </c>
      <c r="AA38" s="16">
        <f t="shared" ca="1" si="35"/>
        <v>67.38892996865593</v>
      </c>
      <c r="AB38" s="16">
        <f t="shared" ca="1" si="36"/>
        <v>4.3269140889433713</v>
      </c>
      <c r="AC38" s="16">
        <f t="shared" ca="1" si="37"/>
        <v>0.52782731708743991</v>
      </c>
      <c r="AD38" s="16">
        <f t="shared" ca="1" si="38"/>
        <v>0</v>
      </c>
      <c r="AF38" s="16">
        <f t="shared" ca="1" si="22"/>
        <v>0.62833421044784588</v>
      </c>
      <c r="AG38" s="16">
        <f t="shared" ca="1" si="23"/>
        <v>1.1026805054387275E-3</v>
      </c>
      <c r="AH38" s="16">
        <f t="shared" ca="1" si="24"/>
        <v>1.1026805054387275E-3</v>
      </c>
      <c r="AI38" s="16">
        <f t="shared" ca="1" si="25"/>
        <v>1.2520018238835551E-3</v>
      </c>
      <c r="AJ38" s="16">
        <f t="shared" ca="1" si="4"/>
        <v>2.0845612588261376E-3</v>
      </c>
      <c r="AK38" s="16">
        <f t="shared" ca="1" si="5"/>
        <v>4.3543695345244643E-4</v>
      </c>
      <c r="AL38" s="16">
        <f t="shared" ca="1" si="26"/>
        <v>3.7644877301273348E-3</v>
      </c>
      <c r="AM38" s="16">
        <f t="shared" ca="1" si="27"/>
        <v>0.22532591829266677</v>
      </c>
      <c r="AN38" s="1" t="s">
        <v>323</v>
      </c>
      <c r="AO38" s="16">
        <f ca="1">SUM(AB119:AB120)/$AB$25</f>
        <v>3.2296597556529913E-3</v>
      </c>
      <c r="AP38" s="16">
        <f t="shared" ca="1" si="40"/>
        <v>0.64593195113059831</v>
      </c>
    </row>
    <row r="39" spans="1:43" ht="16.5" x14ac:dyDescent="0.3">
      <c r="A39"/>
      <c r="B39" s="36">
        <f t="shared" si="39"/>
        <v>13</v>
      </c>
      <c r="C39" s="36">
        <f t="shared" si="39"/>
        <v>13</v>
      </c>
      <c r="D39" s="36">
        <f t="shared" si="6"/>
        <v>0</v>
      </c>
      <c r="E39" s="14">
        <f t="shared" ca="1" si="7"/>
        <v>1.3709214130075778E-4</v>
      </c>
      <c r="F39" s="14">
        <f t="shared" ca="1" si="8"/>
        <v>1.2193695542977195E-4</v>
      </c>
      <c r="G39" s="14">
        <f t="shared" ca="1" si="9"/>
        <v>3.4099950359079117E-4</v>
      </c>
      <c r="H39" s="14">
        <f t="shared" ca="1" si="10"/>
        <v>6.075058340619902E-4</v>
      </c>
      <c r="I39" s="14">
        <f t="shared" ca="1" si="11"/>
        <v>5.5143776651977909E-3</v>
      </c>
      <c r="J39" s="14">
        <f t="shared" ca="1" si="12"/>
        <v>5.9879428425167738E-3</v>
      </c>
      <c r="K39" s="14">
        <f t="shared" ca="1" si="13"/>
        <v>0.16383061506400864</v>
      </c>
      <c r="L39" s="14">
        <f t="shared" ca="1" si="14"/>
        <v>0.63460147042390536</v>
      </c>
      <c r="M39" s="14">
        <f t="shared" ca="1" si="15"/>
        <v>0.16444530478186964</v>
      </c>
      <c r="N39" s="14">
        <f t="shared" ca="1" si="16"/>
        <v>1.0355522073931419E-3</v>
      </c>
      <c r="O39" s="14">
        <f t="shared" ca="1" si="17"/>
        <v>1.0734339046261222E-3</v>
      </c>
      <c r="P39" s="14">
        <f t="shared" ca="1" si="18"/>
        <v>2.2303768676099223E-2</v>
      </c>
      <c r="Q39"/>
      <c r="R39" s="44">
        <f t="shared" ca="1" si="19"/>
        <v>0.99999999999999989</v>
      </c>
      <c r="S39" s="16">
        <f t="shared" ca="1" si="20"/>
        <v>1.4043787500920275</v>
      </c>
      <c r="T39" s="16">
        <f t="shared" ca="1" si="29"/>
        <v>0.40153215758147975</v>
      </c>
      <c r="U39" s="16">
        <f t="shared" ca="1" si="30"/>
        <v>1.4377980649202593</v>
      </c>
      <c r="V39" s="16">
        <f t="shared" ca="1" si="31"/>
        <v>1.7050528023860931</v>
      </c>
      <c r="W39" s="16">
        <f t="shared" ca="1" si="32"/>
        <v>12.417975520376347</v>
      </c>
      <c r="X39" s="16">
        <f t="shared" ca="1" si="33"/>
        <v>13.347113820923985</v>
      </c>
      <c r="Y39" s="16">
        <f t="shared" ca="1" si="34"/>
        <v>424.45072075104542</v>
      </c>
      <c r="Z39" s="16">
        <f t="shared" ca="1" si="21"/>
        <v>0</v>
      </c>
      <c r="AA39" s="16">
        <f t="shared" ca="1" si="35"/>
        <v>68.680097767077214</v>
      </c>
      <c r="AB39" s="16">
        <f t="shared" ca="1" si="36"/>
        <v>4.5554570306095421</v>
      </c>
      <c r="AC39" s="16">
        <f t="shared" ca="1" si="37"/>
        <v>0.55570658745409163</v>
      </c>
      <c r="AD39" s="16">
        <f t="shared" ca="1" si="38"/>
        <v>0</v>
      </c>
      <c r="AF39" s="16">
        <f t="shared" ca="1" si="22"/>
        <v>0.65901422521202391</v>
      </c>
      <c r="AG39" s="16">
        <f t="shared" ca="1" si="23"/>
        <v>1.1011700663336892E-3</v>
      </c>
      <c r="AH39" s="16">
        <f t="shared" ca="1" si="24"/>
        <v>1.1011700663336892E-3</v>
      </c>
      <c r="AI39" s="16">
        <f t="shared" ca="1" si="25"/>
        <v>1.2502868461497095E-3</v>
      </c>
      <c r="AJ39" s="16">
        <f t="shared" ca="1" si="4"/>
        <v>2.0817058507304567E-3</v>
      </c>
      <c r="AK39" s="16">
        <f t="shared" ca="1" si="5"/>
        <v>4.3484049690947736E-4</v>
      </c>
      <c r="AL39" s="16">
        <f t="shared" ca="1" si="26"/>
        <v>3.3355831403607998E-3</v>
      </c>
      <c r="AM39" s="16">
        <f t="shared" ca="1" si="27"/>
        <v>0.18963340297072379</v>
      </c>
      <c r="AN39" s="1" t="s">
        <v>331</v>
      </c>
      <c r="AO39" s="16">
        <f ca="1">SUM(AB121:AB124)/$AB$25</f>
        <v>6.3243160575453608E-3</v>
      </c>
      <c r="AP39" s="16">
        <f t="shared" ca="1" si="40"/>
        <v>1.2648632115090721</v>
      </c>
    </row>
    <row r="40" spans="1:43" ht="16.5" x14ac:dyDescent="0.3">
      <c r="A40"/>
      <c r="B40" s="36">
        <f t="shared" si="39"/>
        <v>14</v>
      </c>
      <c r="C40" s="36">
        <f t="shared" si="39"/>
        <v>14</v>
      </c>
      <c r="D40" s="36">
        <f t="shared" si="6"/>
        <v>0</v>
      </c>
      <c r="E40" s="14">
        <f t="shared" ca="1" si="7"/>
        <v>1.3697615003588427E-4</v>
      </c>
      <c r="F40" s="14">
        <f t="shared" ca="1" si="8"/>
        <v>1.2182393792493444E-4</v>
      </c>
      <c r="G40" s="14">
        <f t="shared" ca="1" si="9"/>
        <v>2.2369426132840128E-4</v>
      </c>
      <c r="H40" s="14">
        <f t="shared" ca="1" si="10"/>
        <v>5.2573706890403241E-4</v>
      </c>
      <c r="I40" s="14">
        <f t="shared" ca="1" si="11"/>
        <v>5.3835638345287604E-3</v>
      </c>
      <c r="J40" s="14">
        <f t="shared" ca="1" si="12"/>
        <v>5.9693619128486685E-3</v>
      </c>
      <c r="K40" s="14">
        <f t="shared" ca="1" si="13"/>
        <v>0.13677337723694696</v>
      </c>
      <c r="L40" s="14">
        <f t="shared" ca="1" si="14"/>
        <v>0.66052285204107786</v>
      </c>
      <c r="M40" s="14">
        <f t="shared" ca="1" si="15"/>
        <v>0.16517277371290617</v>
      </c>
      <c r="N40" s="14">
        <f t="shared" ca="1" si="16"/>
        <v>1.1935356964401075E-3</v>
      </c>
      <c r="O40" s="14">
        <f t="shared" ca="1" si="17"/>
        <v>1.2259782434075944E-3</v>
      </c>
      <c r="P40" s="14">
        <f t="shared" ca="1" si="18"/>
        <v>2.2750325903650642E-2</v>
      </c>
      <c r="Q40"/>
      <c r="R40" s="44">
        <f t="shared" ca="1" si="19"/>
        <v>1</v>
      </c>
      <c r="S40" s="16">
        <f t="shared" ca="1" si="20"/>
        <v>1.4031905297751002</v>
      </c>
      <c r="T40" s="16">
        <f t="shared" ca="1" si="29"/>
        <v>0.40114145773577226</v>
      </c>
      <c r="U40" s="16">
        <f t="shared" ca="1" si="30"/>
        <v>0.92927982383279528</v>
      </c>
      <c r="V40" s="16">
        <f t="shared" ca="1" si="31"/>
        <v>1.4366800226642049</v>
      </c>
      <c r="W40" s="16">
        <f t="shared" ca="1" si="32"/>
        <v>12.163140793752435</v>
      </c>
      <c r="X40" s="16">
        <f t="shared" ca="1" si="33"/>
        <v>13.345491096365739</v>
      </c>
      <c r="Y40" s="16">
        <f t="shared" ca="1" si="34"/>
        <v>354.30689552552133</v>
      </c>
      <c r="Z40" s="16">
        <f t="shared" ca="1" si="21"/>
        <v>0</v>
      </c>
      <c r="AA40" s="16">
        <f t="shared" ca="1" si="35"/>
        <v>69.290664370779297</v>
      </c>
      <c r="AB40" s="16">
        <f t="shared" ca="1" si="36"/>
        <v>4.7456947676650536</v>
      </c>
      <c r="AC40" s="16">
        <f t="shared" ca="1" si="37"/>
        <v>0.57891312039991083</v>
      </c>
      <c r="AD40" s="16">
        <f t="shared" ca="1" si="38"/>
        <v>0</v>
      </c>
      <c r="AF40" s="16">
        <f t="shared" ca="1" si="22"/>
        <v>0.68569269188457627</v>
      </c>
      <c r="AG40" s="16">
        <f t="shared" ca="1" si="23"/>
        <v>1.0998143769353069E-3</v>
      </c>
      <c r="AH40" s="16">
        <f t="shared" ca="1" si="24"/>
        <v>1.0998143769353069E-3</v>
      </c>
      <c r="AI40" s="16">
        <f t="shared" ca="1" si="25"/>
        <v>1.2487475738119629E-3</v>
      </c>
      <c r="AJ40" s="16">
        <f t="shared" ca="1" si="4"/>
        <v>2.0791429890629743E-3</v>
      </c>
      <c r="AK40" s="16">
        <f t="shared" ca="1" si="5"/>
        <v>4.3430514940079486E-4</v>
      </c>
      <c r="AL40" s="16">
        <f t="shared" ca="1" si="26"/>
        <v>3.0541688145961738E-3</v>
      </c>
      <c r="AM40" s="16">
        <f t="shared" ca="1" si="27"/>
        <v>0.1597833333897159</v>
      </c>
      <c r="AN40" s="1" t="s">
        <v>332</v>
      </c>
      <c r="AO40" s="16">
        <f ca="1">SUM(AB125:AB128)/$AB$25</f>
        <v>6.1445776702689246E-3</v>
      </c>
      <c r="AP40" s="16">
        <f t="shared" ca="1" si="40"/>
        <v>1.228915534053785</v>
      </c>
    </row>
    <row r="41" spans="1:43" ht="16.5" x14ac:dyDescent="0.3">
      <c r="A41"/>
      <c r="B41" s="36">
        <f t="shared" si="39"/>
        <v>15</v>
      </c>
      <c r="C41" s="36">
        <f t="shared" si="39"/>
        <v>15</v>
      </c>
      <c r="D41" s="36">
        <f t="shared" si="6"/>
        <v>0</v>
      </c>
      <c r="E41" s="14">
        <f t="shared" ca="1" si="7"/>
        <v>1.3686985377074726E-4</v>
      </c>
      <c r="F41" s="14">
        <f t="shared" ca="1" si="8"/>
        <v>1.2172081153063182E-4</v>
      </c>
      <c r="G41" s="14">
        <f t="shared" ca="1" si="9"/>
        <v>1.5191044201561408E-4</v>
      </c>
      <c r="H41" s="14">
        <f t="shared" ca="1" si="10"/>
        <v>4.7309791033921142E-4</v>
      </c>
      <c r="I41" s="14">
        <f t="shared" ca="1" si="11"/>
        <v>5.2280107121799998E-3</v>
      </c>
      <c r="J41" s="14">
        <f t="shared" ca="1" si="12"/>
        <v>5.922158046958316E-3</v>
      </c>
      <c r="K41" s="14">
        <f t="shared" ca="1" si="13"/>
        <v>0.11423938098297808</v>
      </c>
      <c r="L41" s="14">
        <f t="shared" ca="1" si="14"/>
        <v>0.68312691528872549</v>
      </c>
      <c r="M41" s="14">
        <f t="shared" ca="1" si="15"/>
        <v>0.16473340966566605</v>
      </c>
      <c r="N41" s="14">
        <f t="shared" ca="1" si="16"/>
        <v>1.3516351194450911E-3</v>
      </c>
      <c r="O41" s="14">
        <f t="shared" ca="1" si="17"/>
        <v>1.3758213916707162E-3</v>
      </c>
      <c r="P41" s="14">
        <f t="shared" ca="1" si="18"/>
        <v>2.313906977472012E-2</v>
      </c>
      <c r="Q41"/>
      <c r="R41" s="44">
        <f t="shared" ca="1" si="19"/>
        <v>1</v>
      </c>
      <c r="S41" s="16">
        <f t="shared" ca="1" si="20"/>
        <v>1.4021016255202234</v>
      </c>
      <c r="T41" s="16">
        <f t="shared" ca="1" si="29"/>
        <v>0.40078576377031078</v>
      </c>
      <c r="U41" s="16">
        <f t="shared" ca="1" si="30"/>
        <v>0.61810824598752878</v>
      </c>
      <c r="V41" s="16">
        <f t="shared" ca="1" si="31"/>
        <v>1.2662830332854149</v>
      </c>
      <c r="W41" s="16">
        <f t="shared" ca="1" si="32"/>
        <v>11.84352799638876</v>
      </c>
      <c r="X41" s="16">
        <f t="shared" ca="1" si="33"/>
        <v>13.272068998212081</v>
      </c>
      <c r="Y41" s="16">
        <f t="shared" ca="1" si="34"/>
        <v>295.85618747591468</v>
      </c>
      <c r="Z41" s="16">
        <f t="shared" ca="1" si="21"/>
        <v>0</v>
      </c>
      <c r="AA41" s="16">
        <f t="shared" ca="1" si="35"/>
        <v>69.35122833892656</v>
      </c>
      <c r="AB41" s="16">
        <f t="shared" ca="1" si="36"/>
        <v>4.9039674927860002</v>
      </c>
      <c r="AC41" s="16">
        <f t="shared" ca="1" si="37"/>
        <v>0.59822033707938738</v>
      </c>
      <c r="AD41" s="16">
        <f t="shared" ca="1" si="38"/>
        <v>0</v>
      </c>
      <c r="AF41" s="16">
        <f t="shared" ca="1" si="22"/>
        <v>0.70899344157456146</v>
      </c>
      <c r="AG41" s="16">
        <f t="shared" ca="1" si="23"/>
        <v>1.0985929644086814E-3</v>
      </c>
      <c r="AH41" s="16">
        <f t="shared" ca="1" si="24"/>
        <v>1.0985929644086814E-3</v>
      </c>
      <c r="AI41" s="16">
        <f t="shared" ca="1" si="25"/>
        <v>1.2473607616723568E-3</v>
      </c>
      <c r="AJ41" s="16">
        <f t="shared" ca="1" si="4"/>
        <v>2.0768339709734277E-3</v>
      </c>
      <c r="AK41" s="16">
        <f t="shared" ca="1" si="5"/>
        <v>4.3382282641886199E-4</v>
      </c>
      <c r="AL41" s="16">
        <f t="shared" ca="1" si="26"/>
        <v>2.8602126268030071E-3</v>
      </c>
      <c r="AM41" s="16">
        <f t="shared" ca="1" si="27"/>
        <v>0.13484362895434213</v>
      </c>
      <c r="AN41" s="1" t="s">
        <v>333</v>
      </c>
      <c r="AO41" s="16">
        <f ca="1">SUM(AB129:AB132)/$AB$25</f>
        <v>5.9699483487353731E-3</v>
      </c>
      <c r="AP41" s="16">
        <f t="shared" ca="1" si="40"/>
        <v>1.1939896697470747</v>
      </c>
    </row>
    <row r="42" spans="1:43" ht="16.5" x14ac:dyDescent="0.3">
      <c r="A42"/>
      <c r="B42" s="36">
        <f t="shared" si="39"/>
        <v>16</v>
      </c>
      <c r="C42" s="36">
        <f t="shared" si="39"/>
        <v>16</v>
      </c>
      <c r="D42" s="36">
        <f t="shared" si="6"/>
        <v>0</v>
      </c>
      <c r="E42" s="14">
        <f t="shared" ca="1" si="7"/>
        <v>1.3677203753041957E-4</v>
      </c>
      <c r="F42" s="14">
        <f t="shared" ca="1" si="8"/>
        <v>1.2162630724629568E-4</v>
      </c>
      <c r="G42" s="14">
        <f t="shared" ca="1" si="9"/>
        <v>1.0797914180823062E-4</v>
      </c>
      <c r="H42" s="14">
        <f t="shared" ca="1" si="10"/>
        <v>4.3804303176261456E-4</v>
      </c>
      <c r="I42" s="14">
        <f t="shared" ca="1" si="11"/>
        <v>5.0546713135945056E-3</v>
      </c>
      <c r="J42" s="14">
        <f t="shared" ca="1" si="12"/>
        <v>5.8521960746165478E-3</v>
      </c>
      <c r="K42" s="14">
        <f t="shared" ca="1" si="13"/>
        <v>9.548537549987958E-2</v>
      </c>
      <c r="L42" s="14">
        <f t="shared" ca="1" si="14"/>
        <v>0.70293085495768892</v>
      </c>
      <c r="M42" s="14">
        <f t="shared" ca="1" si="15"/>
        <v>0.163362293713193</v>
      </c>
      <c r="N42" s="14">
        <f t="shared" ca="1" si="16"/>
        <v>1.508716473445801E-3</v>
      </c>
      <c r="O42" s="14">
        <f t="shared" ca="1" si="17"/>
        <v>1.5218856080489746E-3</v>
      </c>
      <c r="P42" s="14">
        <f t="shared" ca="1" si="18"/>
        <v>2.347958584118516E-2</v>
      </c>
      <c r="Q42"/>
      <c r="R42" s="44">
        <f t="shared" ca="1" si="19"/>
        <v>1</v>
      </c>
      <c r="S42" s="16">
        <f t="shared" ca="1" si="20"/>
        <v>1.4010995910634945</v>
      </c>
      <c r="T42" s="16">
        <f t="shared" ca="1" si="29"/>
        <v>0.40046053580846913</v>
      </c>
      <c r="U42" s="16">
        <f t="shared" ca="1" si="30"/>
        <v>0.42768339527595267</v>
      </c>
      <c r="V42" s="16">
        <f t="shared" ca="1" si="31"/>
        <v>1.1551080407590109</v>
      </c>
      <c r="W42" s="16">
        <f t="shared" ca="1" si="32"/>
        <v>11.476452614470452</v>
      </c>
      <c r="X42" s="16">
        <f t="shared" ca="1" si="33"/>
        <v>13.141300762149237</v>
      </c>
      <c r="Y42" s="16">
        <f t="shared" ca="1" si="34"/>
        <v>247.1920842285202</v>
      </c>
      <c r="Z42" s="16">
        <f t="shared" ca="1" si="21"/>
        <v>0</v>
      </c>
      <c r="AA42" s="16">
        <f t="shared" ca="1" si="35"/>
        <v>68.970638285786862</v>
      </c>
      <c r="AB42" s="16">
        <f t="shared" ca="1" si="36"/>
        <v>5.0356079677696561</v>
      </c>
      <c r="AC42" s="16">
        <f t="shared" ca="1" si="37"/>
        <v>0.61427876516518831</v>
      </c>
      <c r="AD42" s="16">
        <f t="shared" ca="1" si="38"/>
        <v>0</v>
      </c>
      <c r="AF42" s="16">
        <f t="shared" ca="1" si="22"/>
        <v>0.72944104288036882</v>
      </c>
      <c r="AG42" s="16">
        <f t="shared" ca="1" si="23"/>
        <v>1.0974879928010574E-3</v>
      </c>
      <c r="AH42" s="16">
        <f t="shared" ca="1" si="24"/>
        <v>1.0974879928010574E-3</v>
      </c>
      <c r="AI42" s="16">
        <f t="shared" ca="1" si="25"/>
        <v>1.2461061584928671E-3</v>
      </c>
      <c r="AJ42" s="16">
        <f t="shared" ca="1" si="4"/>
        <v>2.0747450785027662E-3</v>
      </c>
      <c r="AK42" s="16">
        <f t="shared" ca="1" si="5"/>
        <v>4.3338648473321316E-4</v>
      </c>
      <c r="AL42" s="16">
        <f t="shared" ca="1" si="26"/>
        <v>2.7177497580346179E-3</v>
      </c>
      <c r="AM42" s="16">
        <f t="shared" ca="1" si="27"/>
        <v>0.11401715632507078</v>
      </c>
      <c r="AN42" s="1" t="s">
        <v>334</v>
      </c>
      <c r="AO42" s="16">
        <f ca="1">SUM(AB133:AB136)/$AB$25</f>
        <v>5.8002820045740238E-3</v>
      </c>
      <c r="AP42" s="16">
        <f t="shared" ca="1" si="40"/>
        <v>1.1600564009148047</v>
      </c>
    </row>
    <row r="43" spans="1:43" ht="16.5" x14ac:dyDescent="0.3">
      <c r="A43"/>
      <c r="B43" s="36">
        <f t="shared" si="39"/>
        <v>17</v>
      </c>
      <c r="C43" s="36">
        <f t="shared" si="39"/>
        <v>17</v>
      </c>
      <c r="D43" s="36">
        <f t="shared" si="6"/>
        <v>0</v>
      </c>
      <c r="E43" s="14">
        <f t="shared" ca="1" si="7"/>
        <v>1.3668166602945542E-4</v>
      </c>
      <c r="F43" s="14">
        <f t="shared" ca="1" si="8"/>
        <v>1.2153934439193259E-4</v>
      </c>
      <c r="G43" s="14">
        <f t="shared" ca="1" si="9"/>
        <v>8.1089830017209093E-5</v>
      </c>
      <c r="H43" s="14">
        <f t="shared" ca="1" si="10"/>
        <v>4.135843735984234E-4</v>
      </c>
      <c r="I43" s="14">
        <f t="shared" ca="1" si="11"/>
        <v>4.8691644284892888E-3</v>
      </c>
      <c r="J43" s="14">
        <f t="shared" ca="1" si="12"/>
        <v>5.7643210455693549E-3</v>
      </c>
      <c r="K43" s="14">
        <f t="shared" ca="1" si="13"/>
        <v>7.9883902563610706E-2</v>
      </c>
      <c r="L43" s="14">
        <f t="shared" ca="1" si="14"/>
        <v>0.72036838789510249</v>
      </c>
      <c r="M43" s="14">
        <f t="shared" ca="1" si="15"/>
        <v>0.16125421286017502</v>
      </c>
      <c r="N43" s="14">
        <f t="shared" ca="1" si="16"/>
        <v>1.6638825233696675E-3</v>
      </c>
      <c r="O43" s="14">
        <f t="shared" ca="1" si="17"/>
        <v>1.6633760914923021E-3</v>
      </c>
      <c r="P43" s="14">
        <f t="shared" ca="1" si="18"/>
        <v>2.3779857378154329E-2</v>
      </c>
      <c r="Q43"/>
      <c r="R43" s="44">
        <f t="shared" ca="1" si="19"/>
        <v>1.0000000000000002</v>
      </c>
      <c r="S43" s="16">
        <f t="shared" ca="1" si="20"/>
        <v>1.4001738208890429</v>
      </c>
      <c r="T43" s="16">
        <f t="shared" ca="1" si="29"/>
        <v>0.40016190713367583</v>
      </c>
      <c r="U43" s="16">
        <f t="shared" ca="1" si="30"/>
        <v>0.31113851744995746</v>
      </c>
      <c r="V43" s="16">
        <f t="shared" ca="1" si="31"/>
        <v>1.0796591594205094</v>
      </c>
      <c r="W43" s="16">
        <f t="shared" ca="1" si="32"/>
        <v>11.075945980079501</v>
      </c>
      <c r="X43" s="16">
        <f t="shared" ca="1" si="33"/>
        <v>12.965139633884252</v>
      </c>
      <c r="Y43" s="16">
        <f t="shared" ca="1" si="34"/>
        <v>206.69899958953283</v>
      </c>
      <c r="Z43" s="16">
        <f t="shared" ca="1" si="21"/>
        <v>0</v>
      </c>
      <c r="AA43" s="16">
        <f t="shared" ca="1" si="35"/>
        <v>68.23925892932057</v>
      </c>
      <c r="AB43" s="16">
        <f ca="1">(N43-(N42*$Q$18))*AB$25</f>
        <v>5.1450841058119048</v>
      </c>
      <c r="AC43" s="16">
        <f t="shared" ca="1" si="37"/>
        <v>0.62763343203402955</v>
      </c>
      <c r="AD43" s="16">
        <f t="shared" ca="1" si="38"/>
        <v>0</v>
      </c>
      <c r="AF43" s="16">
        <f t="shared" ca="1" si="22"/>
        <v>0.74747550388811879</v>
      </c>
      <c r="AG43" s="16">
        <f t="shared" ca="1" si="23"/>
        <v>1.0964841002298591E-3</v>
      </c>
      <c r="AH43" s="16">
        <f t="shared" ca="1" si="24"/>
        <v>1.0964841002298591E-3</v>
      </c>
      <c r="AI43" s="16">
        <f t="shared" ca="1" si="25"/>
        <v>1.2449663221359858E-3</v>
      </c>
      <c r="AJ43" s="16">
        <f t="shared" ca="1" si="4"/>
        <v>2.0728472707954373E-3</v>
      </c>
      <c r="AK43" s="16">
        <f t="shared" ca="1" si="5"/>
        <v>4.3299005809771892E-4</v>
      </c>
      <c r="AL43" s="16">
        <f t="shared" ca="1" si="26"/>
        <v>2.6053948141902868E-3</v>
      </c>
      <c r="AM43" s="16">
        <f t="shared" ca="1" si="27"/>
        <v>9.662807851488199E-2</v>
      </c>
    </row>
    <row r="44" spans="1:43" ht="16.5" x14ac:dyDescent="0.3">
      <c r="A44"/>
      <c r="B44" s="36">
        <f t="shared" si="39"/>
        <v>18</v>
      </c>
      <c r="C44" s="36">
        <f t="shared" si="39"/>
        <v>18</v>
      </c>
      <c r="D44" s="36">
        <f t="shared" si="6"/>
        <v>0</v>
      </c>
      <c r="E44" s="14">
        <f t="shared" ca="1" si="7"/>
        <v>1.3659785597527134E-4</v>
      </c>
      <c r="F44" s="14">
        <f t="shared" ca="1" si="8"/>
        <v>1.2145900211886475E-4</v>
      </c>
      <c r="G44" s="14">
        <f t="shared" ca="1" si="9"/>
        <v>6.462816647687736E-5</v>
      </c>
      <c r="H44" s="14">
        <f t="shared" ca="1" si="10"/>
        <v>3.9550730912913496E-4</v>
      </c>
      <c r="I44" s="14">
        <f t="shared" ca="1" si="11"/>
        <v>4.6760055759165571E-3</v>
      </c>
      <c r="J44" s="14">
        <f t="shared" ca="1" si="12"/>
        <v>5.6625279264649366E-3</v>
      </c>
      <c r="K44" s="14">
        <f t="shared" ca="1" si="13"/>
        <v>6.6907875463137048E-2</v>
      </c>
      <c r="L44" s="14">
        <f t="shared" ca="1" si="14"/>
        <v>0.73580263275020341</v>
      </c>
      <c r="M44" s="14">
        <f t="shared" ca="1" si="15"/>
        <v>0.15857007808333606</v>
      </c>
      <c r="N44" s="14">
        <f t="shared" ca="1" si="16"/>
        <v>1.8164317515426552E-3</v>
      </c>
      <c r="O44" s="14">
        <f t="shared" ca="1" si="17"/>
        <v>1.7997273826175931E-3</v>
      </c>
      <c r="P44" s="14">
        <f t="shared" ca="1" si="18"/>
        <v>2.4046528733081853E-2</v>
      </c>
      <c r="Q44"/>
      <c r="R44" s="44">
        <f t="shared" ca="1" si="19"/>
        <v>1.0000000000000002</v>
      </c>
      <c r="S44" s="16">
        <f t="shared" ca="1" si="20"/>
        <v>1.3993152665034783</v>
      </c>
      <c r="T44" s="16">
        <f t="shared" ca="1" si="29"/>
        <v>0.39988658396029597</v>
      </c>
      <c r="U44" s="16">
        <f t="shared" ca="1" si="30"/>
        <v>0.23979863516054595</v>
      </c>
      <c r="V44" s="16">
        <f t="shared" ca="1" si="31"/>
        <v>1.0257340716946894</v>
      </c>
      <c r="W44" s="16">
        <f t="shared" ca="1" si="32"/>
        <v>10.653318947142814</v>
      </c>
      <c r="X44" s="16">
        <f t="shared" ca="1" si="33"/>
        <v>12.75345191376608</v>
      </c>
      <c r="Y44" s="16">
        <f t="shared" ca="1" si="34"/>
        <v>173.01612917122625</v>
      </c>
      <c r="Z44" s="16">
        <f t="shared" ca="1" si="21"/>
        <v>0</v>
      </c>
      <c r="AA44" s="16">
        <f t="shared" ca="1" si="35"/>
        <v>67.231863320690181</v>
      </c>
      <c r="AB44" s="16">
        <f t="shared" ca="1" si="36"/>
        <v>5.23612871396936</v>
      </c>
      <c r="AC44" s="16">
        <f t="shared" ca="1" si="37"/>
        <v>0.63873969166183808</v>
      </c>
      <c r="AD44" s="16">
        <f t="shared" ca="1" si="38"/>
        <v>0</v>
      </c>
      <c r="AF44" s="16">
        <f t="shared" ca="1" si="22"/>
        <v>0.76346532061744554</v>
      </c>
      <c r="AG44" s="16">
        <f t="shared" ca="1" si="23"/>
        <v>1.0955681227227594E-3</v>
      </c>
      <c r="AH44" s="16">
        <f t="shared" ca="1" si="24"/>
        <v>1.0955681227227594E-3</v>
      </c>
      <c r="AI44" s="16">
        <f t="shared" ca="1" si="25"/>
        <v>1.2439263060081329E-3</v>
      </c>
      <c r="AJ44" s="16">
        <f t="shared" ca="1" si="4"/>
        <v>2.0711156620331177E-3</v>
      </c>
      <c r="AK44" s="16">
        <f t="shared" ca="1" si="5"/>
        <v>4.3262834819792905E-4</v>
      </c>
      <c r="AL44" s="16">
        <f t="shared" ca="1" si="26"/>
        <v>2.510562579083284E-3</v>
      </c>
      <c r="AM44" s="16">
        <f t="shared" ca="1" si="27"/>
        <v>8.210687969637924E-2</v>
      </c>
    </row>
    <row r="45" spans="1:43" ht="16.5" x14ac:dyDescent="0.3">
      <c r="A45"/>
      <c r="B45" s="36">
        <f t="shared" si="39"/>
        <v>19</v>
      </c>
      <c r="C45" s="36">
        <f t="shared" si="39"/>
        <v>19</v>
      </c>
      <c r="D45" s="36">
        <f t="shared" si="6"/>
        <v>0.1</v>
      </c>
      <c r="E45" s="14">
        <f t="shared" ca="1" si="7"/>
        <v>1.3651985238258995E-4</v>
      </c>
      <c r="F45" s="14">
        <f t="shared" ca="1" si="8"/>
        <v>1.2138449477687877E-4</v>
      </c>
      <c r="G45" s="14">
        <f t="shared" ca="1" si="9"/>
        <v>5.4547190514179957E-5</v>
      </c>
      <c r="H45" s="14">
        <f t="shared" ca="1" si="10"/>
        <v>3.8128188446611203E-4</v>
      </c>
      <c r="I45" s="14">
        <f t="shared" ca="1" si="11"/>
        <v>4.4788005483974843E-3</v>
      </c>
      <c r="J45" s="14">
        <f t="shared" ca="1" si="12"/>
        <v>5.5501044545246906E-3</v>
      </c>
      <c r="K45" s="14">
        <f t="shared" ca="1" si="13"/>
        <v>5.61160928443213E-2</v>
      </c>
      <c r="L45" s="14">
        <f t="shared" ca="1" si="14"/>
        <v>0.74953731086451991</v>
      </c>
      <c r="M45" s="14">
        <f t="shared" ca="1" si="15"/>
        <v>0.15544244761711959</v>
      </c>
      <c r="N45" s="14">
        <f t="shared" ca="1" si="16"/>
        <v>1.9658238801499002E-3</v>
      </c>
      <c r="O45" s="14">
        <f t="shared" ca="1" si="17"/>
        <v>1.9305587545876181E-3</v>
      </c>
      <c r="P45" s="14">
        <f t="shared" ca="1" si="18"/>
        <v>2.4285127614240041E-2</v>
      </c>
      <c r="Q45"/>
      <c r="R45" s="44">
        <f t="shared" ca="1" si="19"/>
        <v>1.0000000000000002</v>
      </c>
      <c r="S45" s="16">
        <f t="shared" ca="1" si="20"/>
        <v>1.3985161937998705</v>
      </c>
      <c r="T45" s="16">
        <f t="shared" ca="1" si="29"/>
        <v>0.39963175801402689</v>
      </c>
      <c r="U45" s="16">
        <f t="shared" ca="1" si="30"/>
        <v>0.1961191386019786</v>
      </c>
      <c r="V45" s="16">
        <f t="shared" ca="1" si="31"/>
        <v>0.98478226807231029</v>
      </c>
      <c r="W45" s="16">
        <f t="shared" ca="1" si="32"/>
        <v>10.217635672969315</v>
      </c>
      <c r="X45" s="16">
        <f t="shared" ca="1" si="33"/>
        <v>12.514365793024899</v>
      </c>
      <c r="Y45" s="16">
        <f t="shared" ca="1" si="34"/>
        <v>145.00220024558578</v>
      </c>
      <c r="Z45" s="16">
        <f t="shared" ca="1" si="21"/>
        <v>0</v>
      </c>
      <c r="AA45" s="16">
        <f t="shared" ca="1" si="35"/>
        <v>66.010143090121289</v>
      </c>
      <c r="AB45" s="16">
        <f t="shared" ca="1" si="36"/>
        <v>5.3118541064784273</v>
      </c>
      <c r="AC45" s="16">
        <f t="shared" ca="1" si="37"/>
        <v>0.64797720595998176</v>
      </c>
      <c r="AD45" s="16">
        <f t="shared" ca="1" si="38"/>
        <v>0</v>
      </c>
      <c r="AF45" s="16">
        <f t="shared" ca="1" si="22"/>
        <v>0.77771882111349744</v>
      </c>
      <c r="AG45" s="16">
        <f t="shared" ca="1" si="23"/>
        <v>1.0947288112908395E-3</v>
      </c>
      <c r="AH45" s="16">
        <f t="shared" ca="1" si="24"/>
        <v>1.0947288112908395E-3</v>
      </c>
      <c r="AI45" s="16">
        <f t="shared" ca="1" si="25"/>
        <v>1.2429733378198071E-3</v>
      </c>
      <c r="AJ45" s="16">
        <f t="shared" ca="1" si="4"/>
        <v>2.0695289865759565E-3</v>
      </c>
      <c r="AK45" s="16">
        <f t="shared" ca="1" si="5"/>
        <v>4.3229691292623394E-4</v>
      </c>
      <c r="AL45" s="16">
        <f t="shared" ca="1" si="26"/>
        <v>2.4259533781118689E-3</v>
      </c>
      <c r="AM45" s="16">
        <f t="shared" ca="1" si="27"/>
        <v>6.9975712906189091E-2</v>
      </c>
    </row>
    <row r="46" spans="1:43" ht="16.5" x14ac:dyDescent="0.3">
      <c r="A46"/>
      <c r="B46" s="36">
        <f t="shared" si="39"/>
        <v>20</v>
      </c>
      <c r="C46" s="36">
        <f t="shared" si="39"/>
        <v>20</v>
      </c>
      <c r="D46" s="36">
        <f t="shared" si="6"/>
        <v>0.1</v>
      </c>
      <c r="E46" s="14">
        <f t="shared" ca="1" si="7"/>
        <v>1.3644700846786293E-4</v>
      </c>
      <c r="F46" s="14">
        <f t="shared" ca="1" si="8"/>
        <v>1.2131515084728028E-4</v>
      </c>
      <c r="G46" s="14">
        <f t="shared" ca="1" si="9"/>
        <v>4.8370759963989152E-5</v>
      </c>
      <c r="H46" s="14">
        <f t="shared" ca="1" si="10"/>
        <v>3.6939886803447872E-4</v>
      </c>
      <c r="I46" s="14">
        <f t="shared" ca="1" si="11"/>
        <v>4.2804069434041166E-3</v>
      </c>
      <c r="J46" s="14">
        <f t="shared" ca="1" si="12"/>
        <v>5.4297508801354867E-3</v>
      </c>
      <c r="K46" s="14">
        <f t="shared" ca="1" si="13"/>
        <v>4.7140188851464808E-2</v>
      </c>
      <c r="L46" s="14">
        <f t="shared" ca="1" si="14"/>
        <v>0.76182635247999053</v>
      </c>
      <c r="M46" s="14">
        <f t="shared" ca="1" si="15"/>
        <v>0.15198022894039132</v>
      </c>
      <c r="N46" s="14">
        <f t="shared" ca="1" si="16"/>
        <v>2.1116510442128152E-3</v>
      </c>
      <c r="O46" s="14">
        <f t="shared" ca="1" si="17"/>
        <v>2.0556372717945542E-3</v>
      </c>
      <c r="P46" s="14">
        <f t="shared" ca="1" si="18"/>
        <v>2.4500251801293279E-2</v>
      </c>
      <c r="Q46"/>
      <c r="R46" s="44">
        <f t="shared" ca="1" si="19"/>
        <v>1.0000000000000007</v>
      </c>
      <c r="S46" s="16">
        <f t="shared" ca="1" si="20"/>
        <v>1.3977699770952112</v>
      </c>
      <c r="T46" s="16">
        <f t="shared" ca="1" si="29"/>
        <v>0.39939503132671295</v>
      </c>
      <c r="U46" s="16">
        <f t="shared" ca="1" si="30"/>
        <v>0.16936538143514182</v>
      </c>
      <c r="V46" s="16">
        <f t="shared" ca="1" si="31"/>
        <v>0.95168303079014893</v>
      </c>
      <c r="W46" s="16">
        <f t="shared" ca="1" si="32"/>
        <v>9.7761099164596601</v>
      </c>
      <c r="X46" s="16">
        <f t="shared" ca="1" si="33"/>
        <v>12.254564436215453</v>
      </c>
      <c r="Y46" s="16">
        <f t="shared" ca="1" si="34"/>
        <v>121.70301642073829</v>
      </c>
      <c r="Z46" s="16">
        <f t="shared" ca="1" si="21"/>
        <v>0</v>
      </c>
      <c r="AA46" s="16">
        <f t="shared" ca="1" si="35"/>
        <v>64.624857952537155</v>
      </c>
      <c r="AB46" s="16">
        <f t="shared" ca="1" si="36"/>
        <v>5.3748514329002726</v>
      </c>
      <c r="AC46" s="16">
        <f t="shared" ca="1" si="37"/>
        <v>0.65566206151879569</v>
      </c>
      <c r="AD46" s="16">
        <f t="shared" ca="1" si="38"/>
        <v>0</v>
      </c>
      <c r="AF46" s="16">
        <f t="shared" ca="1" si="22"/>
        <v>0.79049389259729119</v>
      </c>
      <c r="AG46" s="16">
        <f t="shared" ca="1" si="23"/>
        <v>1.0939565654929885E-3</v>
      </c>
      <c r="AH46" s="16">
        <f t="shared" ca="1" si="24"/>
        <v>1.0939565654929885E-3</v>
      </c>
      <c r="AI46" s="16">
        <f t="shared" ca="1" si="25"/>
        <v>1.2420965170701639E-3</v>
      </c>
      <c r="AJ46" s="16">
        <f t="shared" ca="1" si="4"/>
        <v>2.0680690952796545E-3</v>
      </c>
      <c r="AK46" s="16">
        <f t="shared" ca="1" si="5"/>
        <v>4.3199196116924343E-4</v>
      </c>
      <c r="AL46" s="16">
        <f t="shared" ca="1" si="26"/>
        <v>2.3474203166599077E-3</v>
      </c>
      <c r="AM46" s="16">
        <f t="shared" ca="1" si="27"/>
        <v>5.9834884549190726E-2</v>
      </c>
    </row>
    <row r="47" spans="1:43" ht="16.5" x14ac:dyDescent="0.3">
      <c r="A47"/>
      <c r="B47" s="36">
        <f t="shared" si="39"/>
        <v>21</v>
      </c>
      <c r="C47" s="36">
        <f t="shared" si="39"/>
        <v>21</v>
      </c>
      <c r="D47" s="36">
        <f t="shared" si="6"/>
        <v>0.1</v>
      </c>
      <c r="E47" s="14">
        <f t="shared" ca="1" si="7"/>
        <v>1.3637876866895901E-4</v>
      </c>
      <c r="F47" s="14">
        <f t="shared" ca="1" si="8"/>
        <v>1.2125039505928401E-4</v>
      </c>
      <c r="G47" s="14">
        <f t="shared" ca="1" si="9"/>
        <v>4.4583821260629269E-5</v>
      </c>
      <c r="H47" s="14">
        <f t="shared" ca="1" si="10"/>
        <v>3.5896533198584321E-4</v>
      </c>
      <c r="I47" s="14">
        <f t="shared" ca="1" si="11"/>
        <v>4.0830685571207189E-3</v>
      </c>
      <c r="J47" s="14">
        <f t="shared" ca="1" si="12"/>
        <v>5.3036800264371353E-3</v>
      </c>
      <c r="K47" s="14">
        <f t="shared" ca="1" si="13"/>
        <v>3.9673178431295544E-2</v>
      </c>
      <c r="L47" s="14">
        <f t="shared" ca="1" si="14"/>
        <v>0.77288205685469091</v>
      </c>
      <c r="M47" s="14">
        <f t="shared" ca="1" si="15"/>
        <v>0.14827265129446426</v>
      </c>
      <c r="N47" s="14">
        <f t="shared" ca="1" si="16"/>
        <v>2.2536137708447008E-3</v>
      </c>
      <c r="O47" s="14">
        <f t="shared" ca="1" si="17"/>
        <v>2.1748473270240564E-3</v>
      </c>
      <c r="P47" s="14">
        <f t="shared" ca="1" si="18"/>
        <v>2.4695725421148593E-2</v>
      </c>
      <c r="Q47"/>
      <c r="R47" s="44">
        <f t="shared" ca="1" si="19"/>
        <v>1.0000000000000007</v>
      </c>
      <c r="S47" s="16">
        <f t="shared" ca="1" si="20"/>
        <v>1.3970709251832494</v>
      </c>
      <c r="T47" s="16">
        <f t="shared" ca="1" si="29"/>
        <v>0.39917435213794894</v>
      </c>
      <c r="U47" s="16">
        <f t="shared" ca="1" si="30"/>
        <v>0.15296931227357494</v>
      </c>
      <c r="V47" s="16">
        <f t="shared" ca="1" si="31"/>
        <v>0.92339099821776327</v>
      </c>
      <c r="W47" s="16">
        <f t="shared" ca="1" si="32"/>
        <v>9.3344353188659692</v>
      </c>
      <c r="X47" s="16">
        <f t="shared" ca="1" si="33"/>
        <v>11.979531301386817</v>
      </c>
      <c r="Y47" s="16">
        <f t="shared" ca="1" si="34"/>
        <v>102.32257534782549</v>
      </c>
      <c r="Z47" s="16">
        <f t="shared" ca="1" si="21"/>
        <v>0</v>
      </c>
      <c r="AA47" s="16">
        <f t="shared" ca="1" si="35"/>
        <v>63.117659218570168</v>
      </c>
      <c r="AB47" s="16">
        <f t="shared" ca="1" si="36"/>
        <v>5.4272756572827632</v>
      </c>
      <c r="AC47" s="16">
        <f t="shared" ca="1" si="37"/>
        <v>0.66205713596155125</v>
      </c>
      <c r="AD47" s="16">
        <f t="shared" ca="1" si="38"/>
        <v>0</v>
      </c>
      <c r="AF47" s="16">
        <f t="shared" ca="1" si="22"/>
        <v>0.80200624337370829</v>
      </c>
      <c r="AG47" s="16">
        <f t="shared" ca="1" si="23"/>
        <v>1.0932431928611897E-3</v>
      </c>
      <c r="AH47" s="16">
        <f t="shared" ca="1" si="24"/>
        <v>1.0932431928611897E-3</v>
      </c>
      <c r="AI47" s="16">
        <f t="shared" ca="1" si="25"/>
        <v>1.2412865418944758E-3</v>
      </c>
      <c r="AJ47" s="16">
        <f t="shared" ca="1" si="4"/>
        <v>2.0667205007012432E-3</v>
      </c>
      <c r="AK47" s="16">
        <f t="shared" ca="1" si="5"/>
        <v>4.3171025780735877E-4</v>
      </c>
      <c r="AL47" s="16">
        <f t="shared" ca="1" si="26"/>
        <v>2.2726789406302128E-3</v>
      </c>
      <c r="AM47" s="16">
        <f t="shared" ca="1" si="27"/>
        <v>5.1350812956442851E-2</v>
      </c>
    </row>
    <row r="48" spans="1:43" ht="16.5" x14ac:dyDescent="0.3">
      <c r="A48"/>
      <c r="B48" s="36">
        <f t="shared" si="39"/>
        <v>22</v>
      </c>
      <c r="C48" s="36">
        <f t="shared" si="39"/>
        <v>22</v>
      </c>
      <c r="D48" s="36">
        <f t="shared" si="6"/>
        <v>0.1</v>
      </c>
      <c r="E48" s="14">
        <f t="shared" ca="1" si="7"/>
        <v>1.3631465435351905E-4</v>
      </c>
      <c r="F48" s="14">
        <f t="shared" ca="1" si="8"/>
        <v>1.2118973328578619E-4</v>
      </c>
      <c r="G48" s="14">
        <f t="shared" ca="1" si="9"/>
        <v>4.2259355425891413E-5</v>
      </c>
      <c r="H48" s="14">
        <f t="shared" ca="1" si="10"/>
        <v>3.4945870883113222E-4</v>
      </c>
      <c r="I48" s="14">
        <f t="shared" ca="1" si="11"/>
        <v>3.8885269255502638E-3</v>
      </c>
      <c r="J48" s="14">
        <f t="shared" ca="1" si="12"/>
        <v>5.1737007120423589E-3</v>
      </c>
      <c r="K48" s="14">
        <f t="shared" ca="1" si="13"/>
        <v>3.3459572407244148E-2</v>
      </c>
      <c r="L48" s="14">
        <f t="shared" ca="1" si="14"/>
        <v>0.78288197767365864</v>
      </c>
      <c r="M48" s="14">
        <f t="shared" ca="1" si="15"/>
        <v>0.14439260378027213</v>
      </c>
      <c r="N48" s="14">
        <f t="shared" ca="1" si="16"/>
        <v>2.3915010163278634E-3</v>
      </c>
      <c r="O48" s="14">
        <f t="shared" ca="1" si="17"/>
        <v>2.2881656145679161E-3</v>
      </c>
      <c r="P48" s="14">
        <f t="shared" ca="1" si="18"/>
        <v>2.4874729418440975E-2</v>
      </c>
      <c r="Q48"/>
      <c r="R48" s="44">
        <f t="shared" ca="1" si="19"/>
        <v>1.0000000000000007</v>
      </c>
      <c r="S48" s="16">
        <f t="shared" ca="1" si="20"/>
        <v>1.3964141349301666</v>
      </c>
      <c r="T48" s="16">
        <f t="shared" ca="1" si="29"/>
        <v>0.39896796060913964</v>
      </c>
      <c r="U48" s="16">
        <f t="shared" ca="1" si="30"/>
        <v>0.14291217106652246</v>
      </c>
      <c r="V48" s="16">
        <f t="shared" ca="1" si="31"/>
        <v>0.8981116619861288</v>
      </c>
      <c r="W48" s="16">
        <f t="shared" ca="1" si="32"/>
        <v>8.8970598905307892</v>
      </c>
      <c r="X48" s="16">
        <f t="shared" ca="1" si="33"/>
        <v>11.693754923815069</v>
      </c>
      <c r="Y48" s="16">
        <f t="shared" ca="1" si="34"/>
        <v>86.197916775844817</v>
      </c>
      <c r="Z48" s="16">
        <f t="shared" ca="1" si="21"/>
        <v>0</v>
      </c>
      <c r="AA48" s="16">
        <f t="shared" ca="1" si="35"/>
        <v>61.522626595535712</v>
      </c>
      <c r="AB48" s="16">
        <f t="shared" ca="1" si="36"/>
        <v>5.4709176162405475</v>
      </c>
      <c r="AC48" s="16">
        <f t="shared" ca="1" si="37"/>
        <v>0.66738088809427476</v>
      </c>
      <c r="AD48" s="16">
        <f t="shared" ca="1" si="38"/>
        <v>0</v>
      </c>
      <c r="AF48" s="16">
        <f t="shared" ca="1" si="22"/>
        <v>0.81243637372299538</v>
      </c>
      <c r="AG48" s="16">
        <f t="shared" ca="1" si="23"/>
        <v>1.0925816971788245E-3</v>
      </c>
      <c r="AH48" s="16">
        <f t="shared" ca="1" si="24"/>
        <v>1.0925816971788245E-3</v>
      </c>
      <c r="AI48" s="16">
        <f t="shared" ca="1" si="25"/>
        <v>1.24053546867179E-3</v>
      </c>
      <c r="AJ48" s="16">
        <f t="shared" ca="1" si="4"/>
        <v>2.0654699768500118E-3</v>
      </c>
      <c r="AK48" s="16">
        <f t="shared" ca="1" si="5"/>
        <v>4.3144904010809738E-4</v>
      </c>
      <c r="AL48" s="16">
        <f t="shared" ca="1" si="26"/>
        <v>2.2005297895975168E-3</v>
      </c>
      <c r="AM48" s="16">
        <f t="shared" ca="1" si="27"/>
        <v>4.4245534124683093E-2</v>
      </c>
      <c r="AO48" s="1">
        <f ca="1">SUM(OFFSET($AI$26,0,0,92,3))</f>
        <v>24.049457416767854</v>
      </c>
    </row>
    <row r="49" spans="1:41" ht="16.5" x14ac:dyDescent="0.3">
      <c r="A49"/>
      <c r="B49" s="36">
        <f t="shared" si="39"/>
        <v>23</v>
      </c>
      <c r="C49" s="36">
        <f t="shared" si="39"/>
        <v>23</v>
      </c>
      <c r="D49" s="36">
        <f t="shared" si="6"/>
        <v>0.1</v>
      </c>
      <c r="E49" s="14">
        <f t="shared" ca="1" si="7"/>
        <v>1.3625425181746495E-4</v>
      </c>
      <c r="F49" s="14">
        <f t="shared" ca="1" si="8"/>
        <v>1.21132739830461E-4</v>
      </c>
      <c r="G49" s="14">
        <f t="shared" ca="1" si="9"/>
        <v>4.0830130191875795E-5</v>
      </c>
      <c r="H49" s="14">
        <f t="shared" ca="1" si="10"/>
        <v>3.4057754775043898E-4</v>
      </c>
      <c r="I49" s="14">
        <f t="shared" ca="1" si="11"/>
        <v>3.6981137136517625E-3</v>
      </c>
      <c r="J49" s="14">
        <f t="shared" ca="1" si="12"/>
        <v>5.041287186989183E-3</v>
      </c>
      <c r="K49" s="14">
        <f t="shared" ca="1" si="13"/>
        <v>2.8286945176277337E-2</v>
      </c>
      <c r="L49" s="14">
        <f t="shared" ca="1" si="14"/>
        <v>0.7919747053198426</v>
      </c>
      <c r="M49" s="14">
        <f t="shared" ca="1" si="15"/>
        <v>0.14039942939975197</v>
      </c>
      <c r="N49" s="14">
        <f t="shared" ca="1" si="16"/>
        <v>2.5251736108890836E-3</v>
      </c>
      <c r="O49" s="14">
        <f t="shared" ca="1" si="17"/>
        <v>2.3956406410503188E-3</v>
      </c>
      <c r="P49" s="14">
        <f t="shared" ca="1" si="18"/>
        <v>2.5039910281958257E-2</v>
      </c>
      <c r="Q49"/>
      <c r="R49" s="44">
        <f t="shared" ca="1" si="19"/>
        <v>1.0000000000000009</v>
      </c>
      <c r="S49" s="16">
        <f t="shared" ca="1" si="20"/>
        <v>1.3957953683307018</v>
      </c>
      <c r="T49" s="16">
        <f t="shared" ca="1" si="29"/>
        <v>0.39877434304665543</v>
      </c>
      <c r="U49" s="16">
        <f t="shared" ca="1" si="30"/>
        <v>0.13673496566459434</v>
      </c>
      <c r="V49" s="16">
        <f t="shared" ca="1" si="31"/>
        <v>0.87480036464385269</v>
      </c>
      <c r="W49" s="16">
        <f t="shared" ca="1" si="32"/>
        <v>8.4674136164645066</v>
      </c>
      <c r="X49" s="16">
        <f t="shared" ca="1" si="33"/>
        <v>11.400899520842133</v>
      </c>
      <c r="Y49" s="16">
        <f t="shared" ca="1" si="34"/>
        <v>72.777532949817598</v>
      </c>
      <c r="Z49" s="16">
        <f t="shared" ca="1" si="21"/>
        <v>0</v>
      </c>
      <c r="AA49" s="16">
        <f t="shared" ca="1" si="35"/>
        <v>59.867557254938767</v>
      </c>
      <c r="AB49" s="16">
        <f t="shared" ca="1" si="36"/>
        <v>5.5072647383646141</v>
      </c>
      <c r="AC49" s="16">
        <f t="shared" ca="1" si="37"/>
        <v>0.67181476488503944</v>
      </c>
      <c r="AD49" s="16">
        <f t="shared" ca="1" si="38"/>
        <v>0</v>
      </c>
      <c r="AF49" s="16">
        <f t="shared" ca="1" si="22"/>
        <v>0.82193542985374046</v>
      </c>
      <c r="AG49" s="16">
        <f t="shared" ca="1" si="23"/>
        <v>1.0919660952255423E-3</v>
      </c>
      <c r="AH49" s="16">
        <f t="shared" ca="1" si="24"/>
        <v>1.0919660952255423E-3</v>
      </c>
      <c r="AI49" s="16">
        <f t="shared" ca="1" si="25"/>
        <v>1.2398365039540009E-3</v>
      </c>
      <c r="AJ49" s="16">
        <f t="shared" ca="1" si="4"/>
        <v>2.0643062127530315E-3</v>
      </c>
      <c r="AK49" s="16">
        <f t="shared" ca="1" si="5"/>
        <v>4.3120594536056678E-4</v>
      </c>
      <c r="AL49" s="16">
        <f t="shared" ca="1" si="26"/>
        <v>2.130392660740746E-3</v>
      </c>
      <c r="AM49" s="16">
        <f t="shared" ca="1" si="27"/>
        <v>3.828768896088007E-2</v>
      </c>
      <c r="AO49" s="1">
        <f ca="1">SUM(OFFSET($S$26,0,0,92,12))</f>
        <v>35097.695444861536</v>
      </c>
    </row>
    <row r="50" spans="1:41" ht="16.5" x14ac:dyDescent="0.3">
      <c r="A50"/>
      <c r="B50" s="36">
        <f t="shared" si="39"/>
        <v>24</v>
      </c>
      <c r="C50" s="36">
        <f t="shared" si="39"/>
        <v>24</v>
      </c>
      <c r="D50" s="36">
        <f t="shared" si="6"/>
        <v>0.1</v>
      </c>
      <c r="E50" s="14">
        <f t="shared" ca="1" si="7"/>
        <v>1.3619720222084227E-4</v>
      </c>
      <c r="F50" s="14">
        <f t="shared" ca="1" si="8"/>
        <v>1.2107904675186973E-4</v>
      </c>
      <c r="G50" s="14">
        <f t="shared" ca="1" si="9"/>
        <v>3.9949049373354987E-5</v>
      </c>
      <c r="H50" s="14">
        <f t="shared" ca="1" si="10"/>
        <v>3.3215121921263045E-4</v>
      </c>
      <c r="I50" s="14">
        <f t="shared" ca="1" si="11"/>
        <v>3.5128271104498251E-3</v>
      </c>
      <c r="J50" s="14">
        <f t="shared" ca="1" si="12"/>
        <v>4.9076368551446564E-3</v>
      </c>
      <c r="K50" s="14">
        <f t="shared" ca="1" si="13"/>
        <v>2.3978799130192695E-2</v>
      </c>
      <c r="L50" s="14">
        <f t="shared" ca="1" si="14"/>
        <v>0.80028470626453585</v>
      </c>
      <c r="M50" s="14">
        <f t="shared" ca="1" si="15"/>
        <v>0.13634125702835087</v>
      </c>
      <c r="N50" s="14">
        <f t="shared" ca="1" si="16"/>
        <v>2.6545505541449737E-3</v>
      </c>
      <c r="O50" s="14">
        <f t="shared" ca="1" si="17"/>
        <v>2.4973760091389686E-3</v>
      </c>
      <c r="P50" s="14">
        <f t="shared" ca="1" si="18"/>
        <v>2.5193470530484288E-2</v>
      </c>
      <c r="Q50"/>
      <c r="R50" s="44">
        <f t="shared" ca="1" si="19"/>
        <v>1.0000000000000009</v>
      </c>
      <c r="S50" s="16">
        <f t="shared" ca="1" si="20"/>
        <v>1.3952109494104192</v>
      </c>
      <c r="T50" s="16">
        <f t="shared" ca="1" si="29"/>
        <v>0.39859219341241381</v>
      </c>
      <c r="U50" s="16">
        <f t="shared" ca="1" si="30"/>
        <v>0.13293304516382853</v>
      </c>
      <c r="V50" s="16">
        <f t="shared" ca="1" si="31"/>
        <v>0.85285862160510095</v>
      </c>
      <c r="W50" s="16">
        <f t="shared" ca="1" si="32"/>
        <v>8.0480968356423617</v>
      </c>
      <c r="X50" s="16">
        <f t="shared" ca="1" si="33"/>
        <v>11.103946912713637</v>
      </c>
      <c r="Y50" s="16">
        <f t="shared" ca="1" si="34"/>
        <v>61.603019526820908</v>
      </c>
      <c r="Z50" s="16">
        <f t="shared" ca="1" si="21"/>
        <v>0</v>
      </c>
      <c r="AA50" s="16">
        <f t="shared" ca="1" si="35"/>
        <v>58.175043397483641</v>
      </c>
      <c r="AB50" s="16">
        <f t="shared" ca="1" si="36"/>
        <v>5.5375519806153077</v>
      </c>
      <c r="AC50" s="16">
        <f t="shared" ca="1" si="37"/>
        <v>0.675509415042298</v>
      </c>
      <c r="AD50" s="16">
        <f t="shared" ca="1" si="38"/>
        <v>0</v>
      </c>
      <c r="AF50" s="16">
        <f t="shared" ca="1" si="22"/>
        <v>0.83063010335830412</v>
      </c>
      <c r="AG50" s="16">
        <f t="shared" ca="1" si="23"/>
        <v>1.091391259915965E-3</v>
      </c>
      <c r="AH50" s="16">
        <f t="shared" ca="1" si="24"/>
        <v>1.091391259915965E-3</v>
      </c>
      <c r="AI50" s="16">
        <f t="shared" ca="1" si="25"/>
        <v>1.2391838263629185E-3</v>
      </c>
      <c r="AJ50" s="16">
        <f t="shared" ca="1" si="4"/>
        <v>2.0632195159168763E-3</v>
      </c>
      <c r="AK50" s="16">
        <f t="shared" ca="1" si="5"/>
        <v>4.3097894893258544E-4</v>
      </c>
      <c r="AL50" s="16">
        <f t="shared" ca="1" si="26"/>
        <v>2.0620298543622987E-3</v>
      </c>
      <c r="AM50" s="16">
        <f t="shared" ca="1" si="27"/>
        <v>3.3284860325564901E-2</v>
      </c>
    </row>
    <row r="51" spans="1:41" ht="16.5" x14ac:dyDescent="0.3">
      <c r="A51"/>
      <c r="B51" s="36">
        <f t="shared" si="39"/>
        <v>25</v>
      </c>
      <c r="C51" s="36">
        <f t="shared" si="39"/>
        <v>25</v>
      </c>
      <c r="D51" s="36">
        <f t="shared" si="6"/>
        <v>0.1</v>
      </c>
      <c r="E51" s="14">
        <f t="shared" ca="1" si="7"/>
        <v>1.3614319315469414E-4</v>
      </c>
      <c r="F51" s="14">
        <f t="shared" ca="1" si="8"/>
        <v>1.2102833491083722E-4</v>
      </c>
      <c r="G51" s="14">
        <f t="shared" ca="1" si="9"/>
        <v>3.9403709067496872E-5</v>
      </c>
      <c r="H51" s="14">
        <f t="shared" ca="1" si="10"/>
        <v>3.2408550759426241E-4</v>
      </c>
      <c r="I51" s="14">
        <f t="shared" ca="1" si="11"/>
        <v>3.3333949025143163E-3</v>
      </c>
      <c r="J51" s="14">
        <f t="shared" ca="1" si="12"/>
        <v>4.7737182141475197E-3</v>
      </c>
      <c r="K51" s="14">
        <f t="shared" ca="1" si="13"/>
        <v>2.0388560607478731E-2</v>
      </c>
      <c r="L51" s="14">
        <f t="shared" ca="1" si="14"/>
        <v>0.80791636345849227</v>
      </c>
      <c r="M51" s="14">
        <f t="shared" ca="1" si="15"/>
        <v>0.13225694360995091</v>
      </c>
      <c r="N51" s="14">
        <f t="shared" ca="1" si="16"/>
        <v>2.779597688440885E-3</v>
      </c>
      <c r="O51" s="14">
        <f t="shared" ca="1" si="17"/>
        <v>2.5935168282963834E-3</v>
      </c>
      <c r="P51" s="14">
        <f t="shared" ca="1" si="18"/>
        <v>2.5337243945952659E-2</v>
      </c>
      <c r="Q51"/>
      <c r="R51" s="44">
        <f t="shared" ca="1" si="19"/>
        <v>1.0000000000000009</v>
      </c>
      <c r="S51" s="16">
        <f t="shared" ca="1" si="20"/>
        <v>1.3946576778363444</v>
      </c>
      <c r="T51" s="16">
        <f t="shared" ca="1" si="29"/>
        <v>0.39842038102250876</v>
      </c>
      <c r="U51" s="16">
        <f t="shared" ca="1" si="30"/>
        <v>0.13058567663681123</v>
      </c>
      <c r="V51" s="16">
        <f t="shared" ca="1" si="31"/>
        <v>0.83195067277670642</v>
      </c>
      <c r="W51" s="16">
        <f t="shared" ca="1" si="32"/>
        <v>7.6410359012350622</v>
      </c>
      <c r="X51" s="16">
        <f t="shared" ca="1" si="33"/>
        <v>10.805314451822326</v>
      </c>
      <c r="Y51" s="16">
        <f t="shared" ca="1" si="34"/>
        <v>52.293588554806433</v>
      </c>
      <c r="Z51" s="16">
        <f t="shared" ca="1" si="21"/>
        <v>0</v>
      </c>
      <c r="AA51" s="16">
        <f t="shared" ca="1" si="35"/>
        <v>56.463370747180605</v>
      </c>
      <c r="AB51" s="16">
        <f t="shared" ca="1" si="36"/>
        <v>5.5628044204466081</v>
      </c>
      <c r="AC51" s="16">
        <f t="shared" ca="1" si="37"/>
        <v>0.67858988470083037</v>
      </c>
      <c r="AD51" s="16">
        <f t="shared" ca="1" si="38"/>
        <v>0</v>
      </c>
      <c r="AF51" s="16">
        <f t="shared" ca="1" si="22"/>
        <v>0.83862672192118215</v>
      </c>
      <c r="AG51" s="16">
        <f t="shared" ca="1" si="23"/>
        <v>1.0908527870412037E-3</v>
      </c>
      <c r="AH51" s="16">
        <f t="shared" ca="1" si="24"/>
        <v>1.0908527870412037E-3</v>
      </c>
      <c r="AI51" s="16">
        <f t="shared" ca="1" si="25"/>
        <v>1.2385724352863665E-3</v>
      </c>
      <c r="AJ51" s="16">
        <f t="shared" ca="1" si="4"/>
        <v>2.0622015604092568E-3</v>
      </c>
      <c r="AK51" s="16">
        <f t="shared" ca="1" si="5"/>
        <v>4.3076631164830738E-4</v>
      </c>
      <c r="AL51" s="16">
        <f t="shared" ca="1" si="26"/>
        <v>1.9953836098539251E-3</v>
      </c>
      <c r="AM51" s="16">
        <f t="shared" ca="1" si="27"/>
        <v>2.9077103431252943E-2</v>
      </c>
      <c r="AO51" s="1">
        <f ca="1">SUM(OFFSET($S$26,93,0,2,12))</f>
        <v>350.04835744164001</v>
      </c>
    </row>
    <row r="52" spans="1:41" ht="16.5" x14ac:dyDescent="0.3">
      <c r="A52"/>
      <c r="B52" s="36">
        <f t="shared" si="39"/>
        <v>26</v>
      </c>
      <c r="C52" s="36">
        <f t="shared" si="39"/>
        <v>26</v>
      </c>
      <c r="D52" s="36">
        <f t="shared" si="6"/>
        <v>0.1</v>
      </c>
      <c r="E52" s="14">
        <f t="shared" ca="1" si="7"/>
        <v>1.3609195157652078E-4</v>
      </c>
      <c r="F52" s="14">
        <f t="shared" ca="1" si="8"/>
        <v>1.2098032646868337E-4</v>
      </c>
      <c r="G52" s="14">
        <f t="shared" ca="1" si="9"/>
        <v>3.9064119493448682E-5</v>
      </c>
      <c r="H52" s="14">
        <f t="shared" ca="1" si="10"/>
        <v>3.1633001356412495E-4</v>
      </c>
      <c r="I52" s="14">
        <f t="shared" ca="1" si="11"/>
        <v>3.160326473956978E-3</v>
      </c>
      <c r="J52" s="14">
        <f t="shared" ca="1" si="12"/>
        <v>4.6403106421951962E-3</v>
      </c>
      <c r="K52" s="14">
        <f t="shared" ca="1" si="13"/>
        <v>1.7394548440811387E-2</v>
      </c>
      <c r="L52" s="14">
        <f t="shared" ca="1" si="14"/>
        <v>0.81495734374228623</v>
      </c>
      <c r="M52" s="14">
        <f t="shared" ca="1" si="15"/>
        <v>0.12817768914582872</v>
      </c>
      <c r="N52" s="14">
        <f t="shared" ca="1" si="16"/>
        <v>2.9003183514765612E-3</v>
      </c>
      <c r="O52" s="14">
        <f t="shared" ca="1" si="17"/>
        <v>2.684238710458049E-3</v>
      </c>
      <c r="P52" s="14">
        <f t="shared" ca="1" si="18"/>
        <v>2.5472758081885157E-2</v>
      </c>
      <c r="Q52"/>
      <c r="R52" s="44">
        <f t="shared" ca="1" si="19"/>
        <v>1.0000000000000011</v>
      </c>
      <c r="S52" s="16">
        <f t="shared" ca="1" si="20"/>
        <v>1.3941327565474577</v>
      </c>
      <c r="T52" s="16">
        <f t="shared" ca="1" si="29"/>
        <v>0.39825792346928734</v>
      </c>
      <c r="U52" s="16">
        <f t="shared" ca="1" si="30"/>
        <v>0.12912940505389164</v>
      </c>
      <c r="V52" s="16">
        <f t="shared" ca="1" si="31"/>
        <v>0.81189318110375719</v>
      </c>
      <c r="W52" s="16">
        <f t="shared" ca="1" si="32"/>
        <v>7.247611613569596</v>
      </c>
      <c r="X52" s="16">
        <f t="shared" ca="1" si="33"/>
        <v>10.506952934094736</v>
      </c>
      <c r="Y52" s="16">
        <f t="shared" ca="1" si="34"/>
        <v>44.533061479767149</v>
      </c>
      <c r="Z52" s="16">
        <f t="shared" ca="1" si="21"/>
        <v>0</v>
      </c>
      <c r="AA52" s="16">
        <f t="shared" ca="1" si="35"/>
        <v>54.747266324756211</v>
      </c>
      <c r="AB52" s="16">
        <f t="shared" ca="1" si="36"/>
        <v>5.5838727875524414</v>
      </c>
      <c r="AC52" s="16">
        <f t="shared" ca="1" si="37"/>
        <v>0.6811599518332706</v>
      </c>
      <c r="AD52" s="16">
        <f t="shared" ca="1" si="38"/>
        <v>0</v>
      </c>
      <c r="AF52" s="16">
        <f t="shared" ca="1" si="22"/>
        <v>0.84601465888610605</v>
      </c>
      <c r="AG52" s="16">
        <f t="shared" ca="1" si="23"/>
        <v>1.0903468826424531E-3</v>
      </c>
      <c r="AH52" s="16">
        <f t="shared" ca="1" si="24"/>
        <v>1.0903468826424531E-3</v>
      </c>
      <c r="AI52" s="16">
        <f t="shared" ca="1" si="25"/>
        <v>1.2379980230002852E-3</v>
      </c>
      <c r="AJ52" s="16">
        <f t="shared" ca="1" si="4"/>
        <v>2.0612451739445434E-3</v>
      </c>
      <c r="AK52" s="16">
        <f t="shared" ca="1" si="5"/>
        <v>4.3056653531323695E-4</v>
      </c>
      <c r="AL52" s="16">
        <f t="shared" ca="1" si="26"/>
        <v>1.93048221980057E-3</v>
      </c>
      <c r="AM52" s="16">
        <f t="shared" ca="1" si="27"/>
        <v>2.5531510998666532E-2</v>
      </c>
      <c r="AO52" s="1">
        <f ca="1">SUM(OFFSET($AI$26,93,0,2,3))</f>
        <v>0</v>
      </c>
    </row>
    <row r="53" spans="1:41" ht="16.5" x14ac:dyDescent="0.3">
      <c r="A53"/>
      <c r="B53" s="36">
        <f t="shared" si="39"/>
        <v>27</v>
      </c>
      <c r="C53" s="36">
        <f t="shared" si="39"/>
        <v>27</v>
      </c>
      <c r="D53" s="36">
        <f t="shared" si="6"/>
        <v>0.1</v>
      </c>
      <c r="E53" s="14">
        <f t="shared" ca="1" si="7"/>
        <v>1.3604323789147323E-4</v>
      </c>
      <c r="F53" s="14">
        <f t="shared" ca="1" si="8"/>
        <v>1.2093477860288219E-4</v>
      </c>
      <c r="G53" s="14">
        <f t="shared" ca="1" si="9"/>
        <v>3.8850718775356491E-5</v>
      </c>
      <c r="H53" s="14">
        <f t="shared" ca="1" si="10"/>
        <v>3.0885877823394128E-4</v>
      </c>
      <c r="I53" s="14">
        <f t="shared" ca="1" si="11"/>
        <v>2.993955616135211E-3</v>
      </c>
      <c r="J53" s="14">
        <f t="shared" ca="1" si="12"/>
        <v>4.508037399706801E-3</v>
      </c>
      <c r="K53" s="14">
        <f t="shared" ca="1" si="13"/>
        <v>1.4895769896743372E-2</v>
      </c>
      <c r="L53" s="14">
        <f t="shared" ca="1" si="14"/>
        <v>0.82148140086556487</v>
      </c>
      <c r="M53" s="14">
        <f t="shared" ca="1" si="15"/>
        <v>0.12412837796305883</v>
      </c>
      <c r="N53" s="14">
        <f t="shared" ca="1" si="16"/>
        <v>3.0167456737397362E-3</v>
      </c>
      <c r="O53" s="14">
        <f t="shared" ca="1" si="17"/>
        <v>2.7697388975972703E-3</v>
      </c>
      <c r="P53" s="14">
        <f t="shared" ca="1" si="18"/>
        <v>2.5601286173951382E-2</v>
      </c>
      <c r="Q53"/>
      <c r="R53" s="44">
        <f t="shared" ca="1" si="19"/>
        <v>1.0000000000000011</v>
      </c>
      <c r="S53" s="16">
        <f t="shared" ca="1" si="20"/>
        <v>1.3936337311221463</v>
      </c>
      <c r="T53" s="16">
        <f t="shared" ca="1" si="29"/>
        <v>0.3981039639344458</v>
      </c>
      <c r="U53" s="16">
        <f t="shared" ca="1" si="30"/>
        <v>0.1282193848744852</v>
      </c>
      <c r="V53" s="16">
        <f t="shared" ca="1" si="31"/>
        <v>0.79258934268991632</v>
      </c>
      <c r="W53" s="16">
        <f t="shared" ca="1" si="32"/>
        <v>6.8687650367859439</v>
      </c>
      <c r="X53" s="16">
        <f t="shared" ca="1" si="33"/>
        <v>10.210427837834825</v>
      </c>
      <c r="Y53" s="16">
        <f t="shared" ca="1" si="34"/>
        <v>38.05898370855892</v>
      </c>
      <c r="Z53" s="16">
        <f t="shared" ca="1" si="21"/>
        <v>0</v>
      </c>
      <c r="AA53" s="16">
        <f t="shared" ca="1" si="35"/>
        <v>53.03851989729479</v>
      </c>
      <c r="AB53" s="16">
        <f t="shared" ca="1" si="36"/>
        <v>5.601463055308737</v>
      </c>
      <c r="AC53" s="16">
        <f t="shared" ca="1" si="37"/>
        <v>0.68330573602167954</v>
      </c>
      <c r="AD53" s="16">
        <f t="shared" ca="1" si="38"/>
        <v>0</v>
      </c>
      <c r="AF53" s="16">
        <f t="shared" ca="1" si="22"/>
        <v>0.85286917161085329</v>
      </c>
      <c r="AG53" s="16">
        <f t="shared" ca="1" si="23"/>
        <v>1.0898702681513364E-3</v>
      </c>
      <c r="AH53" s="16">
        <f t="shared" ca="1" si="24"/>
        <v>1.0898702681513364E-3</v>
      </c>
      <c r="AI53" s="16">
        <f t="shared" ca="1" si="25"/>
        <v>1.2374568669634963E-3</v>
      </c>
      <c r="AJ53" s="16">
        <f t="shared" ca="1" si="4"/>
        <v>2.0603441585564262E-3</v>
      </c>
      <c r="AK53" s="16">
        <f t="shared" ca="1" si="5"/>
        <v>4.3037832525514712E-4</v>
      </c>
      <c r="AL53" s="16">
        <f t="shared" ca="1" si="26"/>
        <v>1.8673871812094392E-3</v>
      </c>
      <c r="AM53" s="16">
        <f t="shared" ca="1" si="27"/>
        <v>2.2537664015868247E-2</v>
      </c>
    </row>
    <row r="54" spans="1:41" ht="16.5" x14ac:dyDescent="0.3">
      <c r="A54"/>
      <c r="B54" s="36">
        <f t="shared" si="39"/>
        <v>28</v>
      </c>
      <c r="C54" s="36">
        <f t="shared" si="39"/>
        <v>28</v>
      </c>
      <c r="D54" s="36">
        <f t="shared" si="6"/>
        <v>0.1</v>
      </c>
      <c r="E54" s="14">
        <f t="shared" ca="1" si="7"/>
        <v>1.3599684099124059E-4</v>
      </c>
      <c r="F54" s="14">
        <f t="shared" ca="1" si="8"/>
        <v>1.2089147824192567E-4</v>
      </c>
      <c r="G54" s="14">
        <f t="shared" ca="1" si="9"/>
        <v>3.8714802107498879E-5</v>
      </c>
      <c r="H54" s="14">
        <f t="shared" ca="1" si="10"/>
        <v>3.0165889579532892E-4</v>
      </c>
      <c r="I54" s="14">
        <f t="shared" ca="1" si="11"/>
        <v>2.8344757196370001E-3</v>
      </c>
      <c r="J54" s="14">
        <f t="shared" ca="1" si="12"/>
        <v>4.3773929905186748E-3</v>
      </c>
      <c r="K54" s="14">
        <f t="shared" ca="1" si="13"/>
        <v>1.2808415413024181E-2</v>
      </c>
      <c r="L54" s="14">
        <f t="shared" ca="1" si="14"/>
        <v>0.8275507066536042</v>
      </c>
      <c r="M54" s="14">
        <f t="shared" ca="1" si="15"/>
        <v>0.12012869158640645</v>
      </c>
      <c r="N54" s="14">
        <f t="shared" ca="1" si="16"/>
        <v>3.128936241043199E-3</v>
      </c>
      <c r="O54" s="14">
        <f t="shared" ca="1" si="17"/>
        <v>2.8502291438287758E-3</v>
      </c>
      <c r="P54" s="14">
        <f t="shared" ca="1" si="18"/>
        <v>2.5723890234802579E-2</v>
      </c>
      <c r="Q54"/>
      <c r="R54" s="44">
        <f t="shared" ca="1" si="19"/>
        <v>1.0000000000000011</v>
      </c>
      <c r="S54" s="16">
        <f t="shared" ca="1" si="20"/>
        <v>1.3931584389563181</v>
      </c>
      <c r="T54" s="16">
        <f t="shared" ca="1" si="29"/>
        <v>0.39795775218280538</v>
      </c>
      <c r="U54" s="16">
        <f t="shared" ca="1" si="30"/>
        <v>0.12764453595805769</v>
      </c>
      <c r="V54" s="16">
        <f t="shared" ca="1" si="31"/>
        <v>0.77398988642734756</v>
      </c>
      <c r="W54" s="16">
        <f t="shared" ca="1" si="32"/>
        <v>6.5050845561517079</v>
      </c>
      <c r="X54" s="16">
        <f t="shared" ca="1" si="33"/>
        <v>9.9169866944239793</v>
      </c>
      <c r="Y54" s="16">
        <f t="shared" ca="1" si="34"/>
        <v>32.653538015357526</v>
      </c>
      <c r="Z54" s="16">
        <f t="shared" ca="1" si="21"/>
        <v>0</v>
      </c>
      <c r="AA54" s="16">
        <f t="shared" ca="1" si="35"/>
        <v>51.346499875340839</v>
      </c>
      <c r="AB54" s="16">
        <f t="shared" ca="1" si="36"/>
        <v>5.6161610545067804</v>
      </c>
      <c r="AC54" s="16">
        <f t="shared" ca="1" si="37"/>
        <v>0.68509870101330683</v>
      </c>
      <c r="AD54" s="16">
        <f t="shared" ca="1" si="38"/>
        <v>0</v>
      </c>
      <c r="AF54" s="16">
        <f t="shared" ca="1" si="22"/>
        <v>0.85925376227327876</v>
      </c>
      <c r="AG54" s="16">
        <f t="shared" ca="1" si="23"/>
        <v>1.089420100674714E-3</v>
      </c>
      <c r="AH54" s="16">
        <f t="shared" ca="1" si="24"/>
        <v>1.089420100674714E-3</v>
      </c>
      <c r="AI54" s="16">
        <f t="shared" ca="1" si="25"/>
        <v>1.236945739307748E-3</v>
      </c>
      <c r="AJ54" s="16">
        <f t="shared" ca="1" si="4"/>
        <v>2.0594931399004123E-3</v>
      </c>
      <c r="AK54" s="16">
        <f t="shared" ca="1" si="5"/>
        <v>4.3020055884538744E-4</v>
      </c>
      <c r="AL54" s="16">
        <f t="shared" ca="1" si="26"/>
        <v>1.8061646419211511E-3</v>
      </c>
      <c r="AM54" s="16">
        <f t="shared" ca="1" si="27"/>
        <v>2.0003833641281291E-2</v>
      </c>
    </row>
    <row r="55" spans="1:41" ht="16.5" x14ac:dyDescent="0.3">
      <c r="A55"/>
      <c r="B55" s="36">
        <f t="shared" si="39"/>
        <v>29</v>
      </c>
      <c r="C55" s="36">
        <f t="shared" si="39"/>
        <v>29</v>
      </c>
      <c r="D55" s="36">
        <f t="shared" si="6"/>
        <v>0.1</v>
      </c>
      <c r="E55" s="14">
        <f t="shared" ca="1" si="7"/>
        <v>1.3595257409266737E-4</v>
      </c>
      <c r="F55" s="14">
        <f t="shared" ca="1" si="8"/>
        <v>1.2085023765212673E-4</v>
      </c>
      <c r="G55" s="14">
        <f t="shared" ca="1" si="9"/>
        <v>3.862654715019667E-5</v>
      </c>
      <c r="H55" s="14">
        <f t="shared" ca="1" si="10"/>
        <v>2.9472393025753945E-4</v>
      </c>
      <c r="I55" s="14">
        <f t="shared" ca="1" si="11"/>
        <v>2.6819686587216665E-3</v>
      </c>
      <c r="J55" s="14">
        <f t="shared" ca="1" si="12"/>
        <v>4.248765837951151E-3</v>
      </c>
      <c r="K55" s="14">
        <f t="shared" ca="1" si="13"/>
        <v>1.1062940503809524E-2</v>
      </c>
      <c r="L55" s="14">
        <f t="shared" ca="1" si="14"/>
        <v>0.83321778857322759</v>
      </c>
      <c r="M55" s="14">
        <f t="shared" ca="1" si="15"/>
        <v>0.11619403138756014</v>
      </c>
      <c r="N55" s="14">
        <f t="shared" ca="1" si="16"/>
        <v>3.2369648888517463E-3</v>
      </c>
      <c r="O55" s="14">
        <f t="shared" ca="1" si="17"/>
        <v>2.9259300385530724E-3</v>
      </c>
      <c r="P55" s="14">
        <f t="shared" ca="1" si="18"/>
        <v>2.5841456822173814E-2</v>
      </c>
      <c r="Q55"/>
      <c r="R55" s="44">
        <f t="shared" ca="1" si="19"/>
        <v>1.0000000000000013</v>
      </c>
      <c r="S55" s="16">
        <f t="shared" ca="1" si="20"/>
        <v>1.392704966633989</v>
      </c>
      <c r="T55" s="16">
        <f t="shared" ca="1" si="29"/>
        <v>0.39781862863530892</v>
      </c>
      <c r="U55" s="16">
        <f t="shared" ca="1" si="30"/>
        <v>0.12727563128568781</v>
      </c>
      <c r="V55" s="16">
        <f t="shared" ca="1" si="31"/>
        <v>0.7560702915567844</v>
      </c>
      <c r="W55" s="16">
        <f t="shared" ca="1" si="32"/>
        <v>6.1568773934567522</v>
      </c>
      <c r="X55" s="16">
        <f t="shared" ca="1" si="33"/>
        <v>9.6276149346719944</v>
      </c>
      <c r="Y55" s="16">
        <f t="shared" ca="1" si="34"/>
        <v>28.135973651376045</v>
      </c>
      <c r="Z55" s="16">
        <f t="shared" ca="1" si="21"/>
        <v>0</v>
      </c>
      <c r="AA55" s="16">
        <f t="shared" ca="1" si="35"/>
        <v>49.678581209972386</v>
      </c>
      <c r="AB55" s="16">
        <f t="shared" ca="1" si="36"/>
        <v>5.628452928169807</v>
      </c>
      <c r="AC55" s="16">
        <f t="shared" ca="1" si="37"/>
        <v>0.68659814994253632</v>
      </c>
      <c r="AD55" s="16">
        <f t="shared" ca="1" si="38"/>
        <v>0</v>
      </c>
      <c r="AF55" s="16">
        <f t="shared" ca="1" si="22"/>
        <v>0.86522214032280631</v>
      </c>
      <c r="AG55" s="16">
        <f t="shared" ca="1" si="23"/>
        <v>1.0889939060984225E-3</v>
      </c>
      <c r="AH55" s="16">
        <f t="shared" ca="1" si="24"/>
        <v>1.0889939060984225E-3</v>
      </c>
      <c r="AI55" s="16">
        <f t="shared" ca="1" si="25"/>
        <v>1.2364618308825838E-3</v>
      </c>
      <c r="AJ55" s="16">
        <f t="shared" ca="1" si="4"/>
        <v>2.0586874407898569E-3</v>
      </c>
      <c r="AK55" s="16">
        <f t="shared" ca="1" si="5"/>
        <v>4.30032259082253E-4</v>
      </c>
      <c r="AL55" s="16">
        <f t="shared" ca="1" si="26"/>
        <v>1.7468710395223317E-3</v>
      </c>
      <c r="AM55" s="16">
        <f t="shared" ca="1" si="27"/>
        <v>1.7853816175453029E-2</v>
      </c>
    </row>
    <row r="56" spans="1:41" ht="16.5" x14ac:dyDescent="0.3">
      <c r="A56"/>
      <c r="B56" s="36">
        <f t="shared" si="39"/>
        <v>30</v>
      </c>
      <c r="C56" s="36">
        <f t="shared" si="39"/>
        <v>30</v>
      </c>
      <c r="D56" s="36">
        <f t="shared" si="6"/>
        <v>0.1</v>
      </c>
      <c r="E56" s="14">
        <f t="shared" ca="1" si="7"/>
        <v>1.3591027124381784E-4</v>
      </c>
      <c r="F56" s="14">
        <f t="shared" ca="1" si="8"/>
        <v>1.2081089073584591E-4</v>
      </c>
      <c r="G56" s="14">
        <f t="shared" ca="1" si="9"/>
        <v>3.8567687129114578E-5</v>
      </c>
      <c r="H56" s="14">
        <f t="shared" ca="1" si="10"/>
        <v>2.8805020247155014E-4</v>
      </c>
      <c r="I56" s="14">
        <f t="shared" ca="1" si="11"/>
        <v>2.5364284578988663E-3</v>
      </c>
      <c r="J56" s="14">
        <f t="shared" ca="1" si="12"/>
        <v>4.1224570716146868E-3</v>
      </c>
      <c r="K56" s="14">
        <f t="shared" ca="1" si="13"/>
        <v>9.6016392214312435E-3</v>
      </c>
      <c r="L56" s="14">
        <f t="shared" ca="1" si="14"/>
        <v>0.83852713950778401</v>
      </c>
      <c r="M56" s="14">
        <f t="shared" ca="1" si="15"/>
        <v>0.11233628302313835</v>
      </c>
      <c r="N56" s="14">
        <f t="shared" ca="1" si="16"/>
        <v>3.3409204341419093E-3</v>
      </c>
      <c r="O56" s="14">
        <f t="shared" ca="1" si="17"/>
        <v>2.9970665107200392E-3</v>
      </c>
      <c r="P56" s="14">
        <f t="shared" ca="1" si="18"/>
        <v>2.5954726721691739E-2</v>
      </c>
      <c r="Q56"/>
      <c r="R56" s="44">
        <f t="shared" ca="1" si="19"/>
        <v>1.0000000000000011</v>
      </c>
      <c r="S56" s="16">
        <f t="shared" ca="1" si="20"/>
        <v>1.392271614135232</v>
      </c>
      <c r="T56" s="16">
        <f t="shared" ca="1" si="29"/>
        <v>0.39768601101474138</v>
      </c>
      <c r="U56" s="16">
        <f t="shared" ca="1" si="30"/>
        <v>0.12703353372823437</v>
      </c>
      <c r="V56" s="16">
        <f t="shared" ca="1" si="31"/>
        <v>0.73881773450863053</v>
      </c>
      <c r="W56" s="16">
        <f t="shared" ca="1" si="32"/>
        <v>5.8242282589569694</v>
      </c>
      <c r="X56" s="16">
        <f t="shared" ca="1" si="33"/>
        <v>9.3430821653327865</v>
      </c>
      <c r="Y56" s="16">
        <f t="shared" ca="1" si="34"/>
        <v>24.356306893155029</v>
      </c>
      <c r="Z56" s="16">
        <f t="shared" ca="1" si="21"/>
        <v>0</v>
      </c>
      <c r="AA56" s="16">
        <f t="shared" ca="1" si="35"/>
        <v>48.040500043844986</v>
      </c>
      <c r="AB56" s="16">
        <f t="shared" ca="1" si="36"/>
        <v>5.6387421189290912</v>
      </c>
      <c r="AC56" s="16">
        <f t="shared" ca="1" si="37"/>
        <v>0.68785329757011437</v>
      </c>
      <c r="AD56" s="16">
        <f t="shared" ca="1" si="38"/>
        <v>0</v>
      </c>
      <c r="AF56" s="16">
        <f t="shared" ref="AF56:AF119" ca="1" si="41">SUM(L56:P56)-M56</f>
        <v>0.87081985317433774</v>
      </c>
      <c r="AG56" s="16">
        <f t="shared" ca="1" si="23"/>
        <v>1.0885895229887212E-3</v>
      </c>
      <c r="AH56" s="16">
        <f t="shared" ref="AH56:AH119" ca="1" si="42">IF(AG56+AF56&gt;1,
IF(AG56-AF56&lt;0,AG56,AG56-AF56),AG56)</f>
        <v>1.0885895229887212E-3</v>
      </c>
      <c r="AI56" s="16">
        <f t="shared" ca="1" si="25"/>
        <v>1.2360026875601103E-3</v>
      </c>
      <c r="AJ56" s="16">
        <f t="shared" ca="1" si="4"/>
        <v>2.0579229751445049E-3</v>
      </c>
      <c r="AK56" s="16">
        <f t="shared" ca="1" si="5"/>
        <v>4.298725724382546E-4</v>
      </c>
      <c r="AL56" s="16">
        <f t="shared" ca="1" si="26"/>
        <v>1.6895468680476152E-3</v>
      </c>
      <c r="AM56" s="16">
        <f t="shared" ca="1" si="27"/>
        <v>1.6024299178032383E-2</v>
      </c>
    </row>
    <row r="57" spans="1:41" ht="16.5" x14ac:dyDescent="0.3">
      <c r="A57"/>
      <c r="B57" s="36">
        <f t="shared" si="39"/>
        <v>31</v>
      </c>
      <c r="C57" s="36">
        <f t="shared" si="39"/>
        <v>31</v>
      </c>
      <c r="D57" s="36">
        <f t="shared" si="6"/>
        <v>0.1</v>
      </c>
      <c r="E57" s="14">
        <f t="shared" ca="1" si="7"/>
        <v>1.358697843869564E-4</v>
      </c>
      <c r="F57" s="14">
        <f t="shared" ca="1" si="8"/>
        <v>1.207732899234671E-4</v>
      </c>
      <c r="G57" s="14">
        <f t="shared" ca="1" si="9"/>
        <v>3.8527027620609934E-5</v>
      </c>
      <c r="H57" s="14">
        <f t="shared" ca="1" si="10"/>
        <v>2.816347762730233E-4</v>
      </c>
      <c r="I57" s="14">
        <f t="shared" ca="1" si="11"/>
        <v>2.3977806457579362E-3</v>
      </c>
      <c r="J57" s="14">
        <f t="shared" ca="1" si="12"/>
        <v>3.9986960870822402E-3</v>
      </c>
      <c r="K57" s="14">
        <f t="shared" ca="1" si="13"/>
        <v>8.3766280378109771E-3</v>
      </c>
      <c r="L57" s="14">
        <f t="shared" ca="1" si="14"/>
        <v>0.8435165548701673</v>
      </c>
      <c r="M57" s="14">
        <f t="shared" ca="1" si="15"/>
        <v>0.10856444942078936</v>
      </c>
      <c r="N57" s="14">
        <f t="shared" ca="1" si="16"/>
        <v>3.4409021832785928E-3</v>
      </c>
      <c r="O57" s="14">
        <f t="shared" ca="1" si="17"/>
        <v>3.063864299073113E-3</v>
      </c>
      <c r="P57" s="14">
        <f t="shared" ca="1" si="18"/>
        <v>2.6064319577837596E-2</v>
      </c>
      <c r="Q57"/>
      <c r="R57" s="44">
        <f t="shared" ca="1" si="19"/>
        <v>1.0000000000000011</v>
      </c>
      <c r="S57" s="16">
        <f t="shared" ca="1" si="20"/>
        <v>1.3918568647492007</v>
      </c>
      <c r="T57" s="16">
        <f t="shared" ca="1" si="29"/>
        <v>0.39755938313928857</v>
      </c>
      <c r="U57" s="16">
        <f t="shared" ca="1" si="30"/>
        <v>0.1268697609071629</v>
      </c>
      <c r="V57" s="16">
        <f t="shared" ca="1" si="31"/>
        <v>0.72222382865322043</v>
      </c>
      <c r="W57" s="16">
        <f t="shared" ca="1" si="32"/>
        <v>5.5070473662478898</v>
      </c>
      <c r="X57" s="16">
        <f t="shared" ca="1" si="33"/>
        <v>9.0639805030460625</v>
      </c>
      <c r="Y57" s="16">
        <f t="shared" ca="1" si="34"/>
        <v>21.190084705105846</v>
      </c>
      <c r="Z57" s="16">
        <f t="shared" ca="1" si="21"/>
        <v>0</v>
      </c>
      <c r="AA57" s="16">
        <f t="shared" ca="1" si="35"/>
        <v>46.436647470700265</v>
      </c>
      <c r="AB57" s="16">
        <f t="shared" ca="1" si="36"/>
        <v>5.6473634699382869</v>
      </c>
      <c r="AC57" s="16">
        <f t="shared" ca="1" si="37"/>
        <v>0.68890499041155129</v>
      </c>
      <c r="AD57" s="16">
        <f t="shared" ca="1" si="38"/>
        <v>0</v>
      </c>
      <c r="AF57" s="16">
        <f t="shared" ca="1" si="41"/>
        <v>0.87608564093035668</v>
      </c>
      <c r="AG57" s="16">
        <f t="shared" ca="1" si="23"/>
        <v>1.0882050555582126E-3</v>
      </c>
      <c r="AH57" s="16">
        <f t="shared" ca="1" si="42"/>
        <v>1.0882050555582126E-3</v>
      </c>
      <c r="AI57" s="16">
        <f t="shared" ca="1" si="25"/>
        <v>1.2355661568317204E-3</v>
      </c>
      <c r="AJ57" s="16">
        <f t="shared" ca="1" si="4"/>
        <v>2.0571961590749675E-3</v>
      </c>
      <c r="AK57" s="16">
        <f t="shared" ca="1" si="5"/>
        <v>4.2972075028685475E-4</v>
      </c>
      <c r="AL57" s="16">
        <f t="shared" ca="1" si="26"/>
        <v>1.6342149583101219E-3</v>
      </c>
      <c r="AM57" s="16">
        <f t="shared" ca="1" si="27"/>
        <v>1.4462671767380045E-2</v>
      </c>
    </row>
    <row r="58" spans="1:41" ht="16.5" x14ac:dyDescent="0.3">
      <c r="A58"/>
      <c r="B58" s="36">
        <f t="shared" si="39"/>
        <v>32</v>
      </c>
      <c r="C58" s="36">
        <f t="shared" si="39"/>
        <v>32</v>
      </c>
      <c r="D58" s="36">
        <f t="shared" si="6"/>
        <v>0.1</v>
      </c>
      <c r="E58" s="14">
        <f t="shared" ca="1" si="7"/>
        <v>1.3583098088623062E-4</v>
      </c>
      <c r="F58" s="14">
        <f t="shared" ca="1" si="8"/>
        <v>1.2073730356079727E-4</v>
      </c>
      <c r="G58" s="14">
        <f t="shared" ca="1" si="9"/>
        <v>3.8497703255809246E-5</v>
      </c>
      <c r="H58" s="14">
        <f t="shared" ca="1" si="10"/>
        <v>2.7547443712330706E-4</v>
      </c>
      <c r="I58" s="14">
        <f t="shared" ca="1" si="11"/>
        <v>2.2658980470884765E-3</v>
      </c>
      <c r="J58" s="14">
        <f t="shared" ca="1" si="12"/>
        <v>3.8776534287455798E-3</v>
      </c>
      <c r="K58" s="14">
        <f t="shared" ca="1" si="13"/>
        <v>7.3481717385204424E-3</v>
      </c>
      <c r="L58" s="14">
        <f t="shared" ca="1" si="14"/>
        <v>0.84821824310496674</v>
      </c>
      <c r="M58" s="14">
        <f t="shared" ca="1" si="15"/>
        <v>0.10488517463112858</v>
      </c>
      <c r="N58" s="14">
        <f t="shared" ca="1" si="16"/>
        <v>3.5370170817552553E-3</v>
      </c>
      <c r="O58" s="14">
        <f t="shared" ca="1" si="17"/>
        <v>3.126547210560872E-3</v>
      </c>
      <c r="P58" s="14">
        <f t="shared" ca="1" si="18"/>
        <v>2.6170754332409136E-2</v>
      </c>
      <c r="Q58"/>
      <c r="R58" s="44">
        <f t="shared" ref="R58:R89" ca="1" si="43">SUM(E58:P58)</f>
        <v>1.0000000000000011</v>
      </c>
      <c r="S58" s="16">
        <f t="shared" ca="1" si="20"/>
        <v>1.3914593597475906</v>
      </c>
      <c r="T58" s="16">
        <f t="shared" ca="1" si="29"/>
        <v>0.39743828550847743</v>
      </c>
      <c r="U58" s="16">
        <f t="shared" ca="1" si="30"/>
        <v>0.12675459299581607</v>
      </c>
      <c r="V58" s="16">
        <f t="shared" ca="1" si="31"/>
        <v>0.70628077637533182</v>
      </c>
      <c r="W58" s="16">
        <f t="shared" ca="1" si="32"/>
        <v>5.2051096584926215</v>
      </c>
      <c r="X58" s="16">
        <f t="shared" ca="1" si="33"/>
        <v>8.7907563189086133</v>
      </c>
      <c r="Y58" s="16">
        <f t="shared" ca="1" si="34"/>
        <v>18.534035256373031</v>
      </c>
      <c r="Z58" s="16">
        <f t="shared" ca="1" si="21"/>
        <v>0</v>
      </c>
      <c r="AA58" s="16">
        <f t="shared" ca="1" si="35"/>
        <v>44.870312720073926</v>
      </c>
      <c r="AB58" s="16">
        <f t="shared" ca="1" si="36"/>
        <v>5.6545949256766761</v>
      </c>
      <c r="AC58" s="16">
        <f t="shared" ca="1" si="37"/>
        <v>0.68978713408313019</v>
      </c>
      <c r="AD58" s="16">
        <f t="shared" ca="1" si="38"/>
        <v>0</v>
      </c>
      <c r="AF58" s="16">
        <f t="shared" ca="1" si="41"/>
        <v>0.88105256172969193</v>
      </c>
      <c r="AG58" s="16">
        <f t="shared" ca="1" si="23"/>
        <v>1.087838834223601E-3</v>
      </c>
      <c r="AH58" s="16">
        <f t="shared" ca="1" si="42"/>
        <v>1.087838834223601E-3</v>
      </c>
      <c r="AI58" s="16">
        <f t="shared" ca="1" si="25"/>
        <v>1.2351503430247136E-3</v>
      </c>
      <c r="AJ58" s="16">
        <f t="shared" ref="AJ58:AJ89" ca="1" si="44">(AH58*(i_Adv_Fals/i_Adv_Alar))*AJ$25</f>
        <v>2.0565038363191727E-3</v>
      </c>
      <c r="AK58" s="16">
        <f t="shared" ref="AK58:AK89" ca="1" si="45">(AH58*(i_Adv_Lead/i_Adv_Alar))*AK$25</f>
        <v>4.2957613332714065E-4</v>
      </c>
      <c r="AL58" s="16">
        <f t="shared" ca="1" si="26"/>
        <v>1.5808811404466674E-3</v>
      </c>
      <c r="AM58" s="16">
        <f t="shared" ca="1" si="27"/>
        <v>1.3125205503571259E-2</v>
      </c>
    </row>
    <row r="59" spans="1:41" ht="16.5" x14ac:dyDescent="0.3">
      <c r="A59"/>
      <c r="B59" s="36">
        <f t="shared" si="39"/>
        <v>33</v>
      </c>
      <c r="C59" s="36">
        <f t="shared" si="39"/>
        <v>33</v>
      </c>
      <c r="D59" s="36">
        <f t="shared" si="6"/>
        <v>0.1</v>
      </c>
      <c r="E59" s="14">
        <f t="shared" ref="E59:E90" ca="1" si="46">SUMPRODUCT($E58:$P58,$H$9:$S$9)</f>
        <v>1.3579374144320446E-4</v>
      </c>
      <c r="F59" s="14">
        <f t="shared" ref="F59:F90" ca="1" si="47">SUMPRODUCT($E58:$P58,$H$10:$S$10)</f>
        <v>1.2070281370985814E-4</v>
      </c>
      <c r="G59" s="14">
        <f t="shared" ref="G59:G90" ca="1" si="48">SUMPRODUCT($E58:$P58,$H$11:$S$11)</f>
        <v>3.8475499013338612E-5</v>
      </c>
      <c r="H59" s="14">
        <f t="shared" ref="H59:H90" ca="1" si="49">SUMPRODUCT($E58:$P58,$H$12:$S$12)</f>
        <v>2.6956523914113282E-4</v>
      </c>
      <c r="I59" s="14">
        <f t="shared" ref="I59:I90" ca="1" si="50">SUMPRODUCT($E58:$P58,$H$13:$S$13)</f>
        <v>2.1406136359837522E-3</v>
      </c>
      <c r="J59" s="14">
        <f t="shared" ref="J59:J90" ca="1" si="51">SUMPRODUCT($E58:$P58,$H$14:$S$14)</f>
        <v>3.7594514529134199E-3</v>
      </c>
      <c r="K59" s="14">
        <f t="shared" ref="K59:K90" ca="1" si="52">SUMPRODUCT($E58:$P58,$H$15:$S$15)</f>
        <v>6.4832939221240744E-3</v>
      </c>
      <c r="L59" s="14">
        <f t="shared" ref="L59:L90" ca="1" si="53">SUMPRODUCT($E58:$P58,$H$16:$S$16)</f>
        <v>0.8526597479688125</v>
      </c>
      <c r="M59" s="14">
        <f t="shared" ref="M59:M90" ca="1" si="54">SUMPRODUCT($E58:$P58,$H$17:$S$17)</f>
        <v>0.10130317712778858</v>
      </c>
      <c r="N59" s="14">
        <f t="shared" ref="N59:N90" ca="1" si="55">SUMPRODUCT($E58:$P58,$H$18:$S$18)</f>
        <v>3.6293773944601946E-3</v>
      </c>
      <c r="O59" s="14">
        <f t="shared" ref="O59:O90" ca="1" si="56">SUMPRODUCT($E58:$P58,$H$19:$S$19)</f>
        <v>3.1853350201454505E-3</v>
      </c>
      <c r="P59" s="14">
        <f t="shared" ref="P59:P90" ca="1" si="57">SUMPRODUCT($E58:$P58,$H$20:$S$20)</f>
        <v>2.6274466184465755E-2</v>
      </c>
      <c r="Q59"/>
      <c r="R59" s="44">
        <f t="shared" ca="1" si="43"/>
        <v>1.0000000000000013</v>
      </c>
      <c r="S59" s="16">
        <f t="shared" ca="1" si="20"/>
        <v>1.3910778770312586</v>
      </c>
      <c r="T59" s="16">
        <f t="shared" ca="1" si="29"/>
        <v>0.39732230738469504</v>
      </c>
      <c r="U59" s="16">
        <f t="shared" ca="1" si="30"/>
        <v>0.12666979571618914</v>
      </c>
      <c r="V59" s="16">
        <f t="shared" ca="1" si="31"/>
        <v>0.69097949998100627</v>
      </c>
      <c r="W59" s="16">
        <f t="shared" ca="1" si="32"/>
        <v>4.9180867792204035</v>
      </c>
      <c r="X59" s="16">
        <f t="shared" ca="1" si="33"/>
        <v>8.5237365180023446</v>
      </c>
      <c r="Y59" s="16">
        <f t="shared" ca="1" si="34"/>
        <v>16.302457000918661</v>
      </c>
      <c r="Z59" s="16">
        <f t="shared" ref="Z59:Z90" ca="1" si="58">(L59-OFFSET(L59,-IF(C59-C58&gt;i_Cos_Days,1,MIN(B59,i_Cos_Days)),0))*MIN(i_Cos_Days,($C59-$C58))</f>
        <v>0</v>
      </c>
      <c r="AA59" s="16">
        <f t="shared" ca="1" si="35"/>
        <v>43.343884365000768</v>
      </c>
      <c r="AB59" s="16">
        <f t="shared" ca="1" si="36"/>
        <v>5.6606672386970605</v>
      </c>
      <c r="AC59" s="16">
        <f t="shared" ca="1" si="37"/>
        <v>0.69052787739907873</v>
      </c>
      <c r="AD59" s="16">
        <f t="shared" ca="1" si="38"/>
        <v>0</v>
      </c>
      <c r="AF59" s="16">
        <f t="shared" ca="1" si="41"/>
        <v>0.88574892656788384</v>
      </c>
      <c r="AG59" s="16">
        <f t="shared" ref="AG59:AG90" ca="1" si="59">MIN(1,SUM(OFFSET(E59,0,0,-i_Eve_ECG,1)))</f>
        <v>1.0874893825121113E-3</v>
      </c>
      <c r="AH59" s="16">
        <f t="shared" ca="1" si="42"/>
        <v>1.0874893825121113E-3</v>
      </c>
      <c r="AI59" s="16">
        <f t="shared" ca="1" si="25"/>
        <v>1.2347535697272928E-3</v>
      </c>
      <c r="AJ59" s="16">
        <f t="shared" ca="1" si="44"/>
        <v>2.0558432156806382E-3</v>
      </c>
      <c r="AK59" s="16">
        <f t="shared" ca="1" si="45"/>
        <v>4.2943813851551636E-4</v>
      </c>
      <c r="AL59" s="16">
        <f t="shared" ref="AL59:AL90" ca="1" si="60">((SUM(F58:J58)-((I58+J58)*(1-i_Bac_ICU)))+(SUM(F59:J59)-((I59+J59)*(1-i_Bac_ICU))))/2*(C59-C58)</f>
        <v>1.5295360507194449E-3</v>
      </c>
      <c r="AM59" s="16">
        <f t="shared" ref="AM59:AM90" ca="1" si="61">(((I58+J58)*(1-i_Bac_ICU))+((I59+J59)*(1-i_Bac_ICU))+K58+E58+E59+K59)/2*(C59-C58)</f>
        <v>1.1975543921035267E-2</v>
      </c>
    </row>
    <row r="60" spans="1:41" ht="16.5" x14ac:dyDescent="0.3">
      <c r="A60"/>
      <c r="B60" s="36">
        <f t="shared" si="39"/>
        <v>34</v>
      </c>
      <c r="C60" s="36">
        <f t="shared" si="39"/>
        <v>34</v>
      </c>
      <c r="D60" s="36">
        <f t="shared" si="6"/>
        <v>0.1</v>
      </c>
      <c r="E60" s="14">
        <f t="shared" ca="1" si="46"/>
        <v>1.357579583362371E-4</v>
      </c>
      <c r="F60" s="14">
        <f t="shared" ca="1" si="47"/>
        <v>1.2066971429470258E-4</v>
      </c>
      <c r="G60" s="14">
        <f t="shared" ca="1" si="48"/>
        <v>3.8457822903851331E-5</v>
      </c>
      <c r="H60" s="14">
        <f t="shared" ca="1" si="49"/>
        <v>2.6390236785087411E-4</v>
      </c>
      <c r="I60" s="14">
        <f t="shared" ca="1" si="50"/>
        <v>2.0217309658584815E-3</v>
      </c>
      <c r="J60" s="14">
        <f t="shared" ca="1" si="51"/>
        <v>3.6441731505512669E-3</v>
      </c>
      <c r="K60" s="14">
        <f t="shared" ca="1" si="52"/>
        <v>5.7546240889277036E-3</v>
      </c>
      <c r="L60" s="14">
        <f t="shared" ca="1" si="53"/>
        <v>0.85686471454289914</v>
      </c>
      <c r="M60" s="14">
        <f t="shared" ca="1" si="54"/>
        <v>9.7821608008627839E-2</v>
      </c>
      <c r="N60" s="14">
        <f t="shared" ca="1" si="55"/>
        <v>3.7180988241250642E-3</v>
      </c>
      <c r="O60" s="14">
        <f t="shared" ca="1" si="56"/>
        <v>3.2404418910114224E-3</v>
      </c>
      <c r="P60" s="14">
        <f t="shared" ca="1" si="57"/>
        <v>2.6375820664614726E-2</v>
      </c>
      <c r="Q60"/>
      <c r="R60" s="44">
        <f t="shared" ca="1" si="43"/>
        <v>1.0000000000000013</v>
      </c>
      <c r="S60" s="16">
        <f t="shared" ca="1" si="20"/>
        <v>1.3907113130943296</v>
      </c>
      <c r="T60" s="16">
        <f t="shared" ca="1" si="29"/>
        <v>0.39721108012278528</v>
      </c>
      <c r="U60" s="16">
        <f t="shared" ca="1" si="30"/>
        <v>0.12660416721319487</v>
      </c>
      <c r="V60" s="16">
        <f t="shared" ca="1" si="31"/>
        <v>0.67630889344018674</v>
      </c>
      <c r="W60" s="16">
        <f t="shared" ca="1" si="32"/>
        <v>4.6455730585076864</v>
      </c>
      <c r="X60" s="16">
        <f t="shared" ca="1" si="33"/>
        <v>8.2631502874455762</v>
      </c>
      <c r="Y60" s="16">
        <f t="shared" ca="1" si="34"/>
        <v>14.424222063726178</v>
      </c>
      <c r="Z60" s="16">
        <f t="shared" ca="1" si="58"/>
        <v>0</v>
      </c>
      <c r="AA60" s="16">
        <f t="shared" ca="1" si="35"/>
        <v>41.859016707451772</v>
      </c>
      <c r="AB60" s="16">
        <f t="shared" ca="1" si="36"/>
        <v>5.6657720206824145</v>
      </c>
      <c r="AC60" s="16">
        <f t="shared" ca="1" si="37"/>
        <v>0.69115059449589644</v>
      </c>
      <c r="AD60" s="16">
        <f t="shared" ca="1" si="38"/>
        <v>0</v>
      </c>
      <c r="AF60" s="16">
        <f t="shared" ca="1" si="41"/>
        <v>0.89019907592265046</v>
      </c>
      <c r="AG60" s="16">
        <f t="shared" ca="1" si="59"/>
        <v>1.0871553892718277E-3</v>
      </c>
      <c r="AH60" s="16">
        <f t="shared" ca="1" si="42"/>
        <v>1.0871553892718277E-3</v>
      </c>
      <c r="AI60" s="16">
        <f t="shared" ca="1" si="25"/>
        <v>1.234374348235721E-3</v>
      </c>
      <c r="AJ60" s="16">
        <f t="shared" ca="1" si="44"/>
        <v>2.0552118184935376E-3</v>
      </c>
      <c r="AK60" s="16">
        <f t="shared" ca="1" si="45"/>
        <v>4.293062480918574E-4</v>
      </c>
      <c r="AL60" s="16">
        <f t="shared" ca="1" si="60"/>
        <v>1.4801573798789575E-3</v>
      </c>
      <c r="AM60" s="16">
        <f t="shared" ca="1" si="61"/>
        <v>1.0983448806646989E-2</v>
      </c>
    </row>
    <row r="61" spans="1:41" ht="16.5" x14ac:dyDescent="0.3">
      <c r="A61"/>
      <c r="B61" s="36">
        <f t="shared" si="39"/>
        <v>35</v>
      </c>
      <c r="C61" s="36">
        <f t="shared" si="39"/>
        <v>35</v>
      </c>
      <c r="D61" s="36">
        <f t="shared" si="6"/>
        <v>0.1</v>
      </c>
      <c r="E61" s="14">
        <f t="shared" ca="1" si="46"/>
        <v>1.3572353393042337E-4</v>
      </c>
      <c r="F61" s="14">
        <f t="shared" ca="1" si="47"/>
        <v>1.2063790953531772E-4</v>
      </c>
      <c r="G61" s="14">
        <f t="shared" ca="1" si="48"/>
        <v>3.8443077232345842E-5</v>
      </c>
      <c r="H61" s="14">
        <f t="shared" ca="1" si="49"/>
        <v>2.5848016968715593E-4</v>
      </c>
      <c r="I61" s="14">
        <f t="shared" ca="1" si="50"/>
        <v>1.9090326036109364E-3</v>
      </c>
      <c r="J61" s="14">
        <f t="shared" ca="1" si="51"/>
        <v>3.5318694444755119E-3</v>
      </c>
      <c r="K61" s="14">
        <f t="shared" ca="1" si="52"/>
        <v>5.1394412553661768E-3</v>
      </c>
      <c r="L61" s="14">
        <f t="shared" ca="1" si="53"/>
        <v>0.86085352554626626</v>
      </c>
      <c r="M61" s="14">
        <f t="shared" ca="1" si="54"/>
        <v>9.4442346937238436E-2</v>
      </c>
      <c r="N61" s="14">
        <f t="shared" ca="1" si="55"/>
        <v>3.8032989914040089E-3</v>
      </c>
      <c r="O61" s="14">
        <f t="shared" ca="1" si="56"/>
        <v>3.2920752155503772E-3</v>
      </c>
      <c r="P61" s="14">
        <f t="shared" ca="1" si="57"/>
        <v>2.6475125315704388E-2</v>
      </c>
      <c r="Q61"/>
      <c r="R61" s="44">
        <f t="shared" ca="1" si="43"/>
        <v>1.0000000000000013</v>
      </c>
      <c r="S61" s="16">
        <f t="shared" ca="1" si="20"/>
        <v>1.3903586677599533</v>
      </c>
      <c r="T61" s="16">
        <f t="shared" ca="1" si="29"/>
        <v>0.39710427154151545</v>
      </c>
      <c r="U61" s="16">
        <f t="shared" ca="1" si="30"/>
        <v>0.12655081279563082</v>
      </c>
      <c r="V61" s="16">
        <f t="shared" ca="1" si="31"/>
        <v>0.6622556857892129</v>
      </c>
      <c r="W61" s="16">
        <f t="shared" ca="1" si="32"/>
        <v>4.3871065671997833</v>
      </c>
      <c r="X61" s="16">
        <f t="shared" ca="1" si="33"/>
        <v>8.0091470877748225</v>
      </c>
      <c r="Y61" s="16">
        <f t="shared" ca="1" si="34"/>
        <v>12.840290118051982</v>
      </c>
      <c r="Z61" s="16">
        <f t="shared" ca="1" si="58"/>
        <v>0</v>
      </c>
      <c r="AA61" s="16">
        <f t="shared" ca="1" si="35"/>
        <v>40.41676728894528</v>
      </c>
      <c r="AB61" s="16">
        <f t="shared" ca="1" si="36"/>
        <v>5.670068419370585</v>
      </c>
      <c r="AC61" s="16">
        <f t="shared" ca="1" si="37"/>
        <v>0.69167469933045</v>
      </c>
      <c r="AD61" s="16">
        <f t="shared" ca="1" si="38"/>
        <v>0</v>
      </c>
      <c r="AF61" s="16">
        <f t="shared" ca="1" si="41"/>
        <v>0.89442402506892504</v>
      </c>
      <c r="AG61" s="16">
        <f t="shared" ca="1" si="59"/>
        <v>1.0868356853107777E-3</v>
      </c>
      <c r="AH61" s="16">
        <f t="shared" ca="1" si="42"/>
        <v>1.0868356853107777E-3</v>
      </c>
      <c r="AI61" s="16">
        <f t="shared" ca="1" si="25"/>
        <v>1.2340113510299453E-3</v>
      </c>
      <c r="AJ61" s="16">
        <f t="shared" ca="1" si="44"/>
        <v>2.0546074344600746E-3</v>
      </c>
      <c r="AK61" s="16">
        <f t="shared" ca="1" si="45"/>
        <v>4.2918000035453035E-4</v>
      </c>
      <c r="AL61" s="16">
        <f t="shared" ca="1" si="60"/>
        <v>1.4327121784541903E-3</v>
      </c>
      <c r="AM61" s="16">
        <f t="shared" ca="1" si="61"/>
        <v>1.0123759852826302E-2</v>
      </c>
    </row>
    <row r="62" spans="1:41" ht="16.5" x14ac:dyDescent="0.3">
      <c r="A62"/>
      <c r="B62" s="36">
        <f t="shared" si="39"/>
        <v>36</v>
      </c>
      <c r="C62" s="36">
        <f t="shared" si="39"/>
        <v>36</v>
      </c>
      <c r="D62" s="36">
        <f t="shared" si="6"/>
        <v>0.1</v>
      </c>
      <c r="E62" s="14">
        <f t="shared" ca="1" si="46"/>
        <v>1.3569037941374434E-4</v>
      </c>
      <c r="F62" s="14">
        <f t="shared" ca="1" si="47"/>
        <v>1.2060731262221333E-4</v>
      </c>
      <c r="G62" s="14">
        <f t="shared" ca="1" si="48"/>
        <v>3.8430273752771926E-5</v>
      </c>
      <c r="H62" s="14">
        <f t="shared" ca="1" si="49"/>
        <v>2.5329226177823647E-4</v>
      </c>
      <c r="I62" s="14">
        <f t="shared" ca="1" si="50"/>
        <v>1.8022869215247267E-3</v>
      </c>
      <c r="J62" s="14">
        <f t="shared" ca="1" si="51"/>
        <v>3.4225652221456689E-3</v>
      </c>
      <c r="K62" s="14">
        <f t="shared" ca="1" si="52"/>
        <v>4.6188807241927931E-3</v>
      </c>
      <c r="L62" s="14">
        <f t="shared" ca="1" si="53"/>
        <v>0.86464383002304668</v>
      </c>
      <c r="M62" s="14">
        <f t="shared" ca="1" si="54"/>
        <v>9.1166246484971375E-2</v>
      </c>
      <c r="N62" s="14">
        <f t="shared" ca="1" si="55"/>
        <v>3.8850962131506107E-3</v>
      </c>
      <c r="O62" s="14">
        <f t="shared" ca="1" si="56"/>
        <v>3.3404347951980916E-3</v>
      </c>
      <c r="P62" s="14">
        <f t="shared" ca="1" si="57"/>
        <v>2.6572639388204578E-2</v>
      </c>
      <c r="Q62"/>
      <c r="R62" s="44">
        <f t="shared" ca="1" si="43"/>
        <v>1.0000000000000016</v>
      </c>
      <c r="S62" s="16">
        <f t="shared" ca="1" si="20"/>
        <v>1.3900190312333676</v>
      </c>
      <c r="T62" s="16">
        <f t="shared" ca="1" si="29"/>
        <v>0.39700158116520862</v>
      </c>
      <c r="U62" s="16">
        <f t="shared" ca="1" si="30"/>
        <v>0.12650547694839429</v>
      </c>
      <c r="V62" s="16">
        <f t="shared" ca="1" si="31"/>
        <v>0.64880461771456599</v>
      </c>
      <c r="W62" s="16">
        <f t="shared" ca="1" si="32"/>
        <v>4.1421861106485265</v>
      </c>
      <c r="X62" s="16">
        <f t="shared" ca="1" si="33"/>
        <v>7.7618115304792799</v>
      </c>
      <c r="Y62" s="16">
        <f t="shared" ca="1" si="34"/>
        <v>11.50164620120718</v>
      </c>
      <c r="Z62" s="16">
        <f t="shared" ca="1" si="58"/>
        <v>0</v>
      </c>
      <c r="AA62" s="16">
        <f t="shared" ca="1" si="35"/>
        <v>39.017710466249838</v>
      </c>
      <c r="AB62" s="16">
        <f t="shared" ca="1" si="36"/>
        <v>5.6736886553975339</v>
      </c>
      <c r="AC62" s="16">
        <f t="shared" ca="1" si="37"/>
        <v>0.69211632110293042</v>
      </c>
      <c r="AD62" s="16">
        <f t="shared" ca="1" si="38"/>
        <v>0</v>
      </c>
      <c r="AF62" s="16">
        <f t="shared" ca="1" si="41"/>
        <v>0.89844200041959987</v>
      </c>
      <c r="AG62" s="16">
        <f t="shared" ca="1" si="59"/>
        <v>1.0865292237332814E-3</v>
      </c>
      <c r="AH62" s="16">
        <f t="shared" ca="1" si="42"/>
        <v>1.0865292237332814E-3</v>
      </c>
      <c r="AI62" s="16">
        <f t="shared" ca="1" si="25"/>
        <v>1.2336633894471632E-3</v>
      </c>
      <c r="AJ62" s="16">
        <f t="shared" ca="1" si="44"/>
        <v>2.0540280844773581E-3</v>
      </c>
      <c r="AK62" s="16">
        <f t="shared" ca="1" si="45"/>
        <v>4.2905898189542359E-4</v>
      </c>
      <c r="AL62" s="16">
        <f t="shared" ca="1" si="60"/>
        <v>1.3871590211236799E-3</v>
      </c>
      <c r="AM62" s="16">
        <f t="shared" ca="1" si="61"/>
        <v>9.3755315235103318E-3</v>
      </c>
    </row>
    <row r="63" spans="1:41" ht="16.5" x14ac:dyDescent="0.3">
      <c r="A63"/>
      <c r="B63" s="36">
        <f t="shared" si="39"/>
        <v>37</v>
      </c>
      <c r="C63" s="36">
        <f t="shared" si="39"/>
        <v>37</v>
      </c>
      <c r="D63" s="36">
        <f t="shared" si="6"/>
        <v>0.1</v>
      </c>
      <c r="E63" s="14">
        <f t="shared" ca="1" si="46"/>
        <v>1.3565841372251437E-4</v>
      </c>
      <c r="F63" s="14">
        <f t="shared" ca="1" si="47"/>
        <v>1.2057784459224066E-4</v>
      </c>
      <c r="G63" s="14">
        <f t="shared" ca="1" si="48"/>
        <v>3.8418798068544088E-5</v>
      </c>
      <c r="H63" s="14">
        <f t="shared" ca="1" si="49"/>
        <v>2.4833167295359033E-4</v>
      </c>
      <c r="I63" s="14">
        <f t="shared" ca="1" si="50"/>
        <v>1.7012535394193003E-3</v>
      </c>
      <c r="J63" s="14">
        <f t="shared" ca="1" si="51"/>
        <v>3.3162643206322627E-3</v>
      </c>
      <c r="K63" s="14">
        <f t="shared" ca="1" si="52"/>
        <v>4.1772762518528352E-3</v>
      </c>
      <c r="L63" s="14">
        <f t="shared" ca="1" si="53"/>
        <v>0.86825098273147749</v>
      </c>
      <c r="M63" s="14">
        <f t="shared" ca="1" si="54"/>
        <v>8.7993333720124606E-2</v>
      </c>
      <c r="N63" s="14">
        <f t="shared" ca="1" si="55"/>
        <v>3.9636085263503058E-3</v>
      </c>
      <c r="O63" s="14">
        <f t="shared" ca="1" si="56"/>
        <v>3.3857122918495475E-3</v>
      </c>
      <c r="P63" s="14">
        <f t="shared" ca="1" si="57"/>
        <v>2.6668581888958293E-2</v>
      </c>
      <c r="Q63"/>
      <c r="R63" s="44">
        <f t="shared" ca="1" si="43"/>
        <v>1.0000000000000018</v>
      </c>
      <c r="S63" s="16">
        <f t="shared" ca="1" si="20"/>
        <v>1.3896915730941233</v>
      </c>
      <c r="T63" s="16">
        <f t="shared" ca="1" si="29"/>
        <v>0.39690273619260802</v>
      </c>
      <c r="U63" s="16">
        <f t="shared" ca="1" si="30"/>
        <v>0.12646552230667138</v>
      </c>
      <c r="V63" s="16">
        <f t="shared" ca="1" si="31"/>
        <v>0.63593875949562062</v>
      </c>
      <c r="W63" s="16">
        <f t="shared" ca="1" si="32"/>
        <v>3.9102848830799624</v>
      </c>
      <c r="X63" s="16">
        <f t="shared" ca="1" si="33"/>
        <v>7.5211756748706158</v>
      </c>
      <c r="Y63" s="16">
        <f t="shared" ca="1" si="34"/>
        <v>10.367590419816182</v>
      </c>
      <c r="Z63" s="16">
        <f t="shared" ca="1" si="58"/>
        <v>0</v>
      </c>
      <c r="AA63" s="16">
        <f t="shared" ca="1" si="35"/>
        <v>37.662031152814251</v>
      </c>
      <c r="AB63" s="16">
        <f t="shared" ca="1" si="36"/>
        <v>5.6767426134690444</v>
      </c>
      <c r="AC63" s="16">
        <f t="shared" ca="1" si="37"/>
        <v>0.69248886432016166</v>
      </c>
      <c r="AD63" s="16">
        <f t="shared" ca="1" si="38"/>
        <v>0</v>
      </c>
      <c r="AF63" s="16">
        <f t="shared" ca="1" si="41"/>
        <v>0.9022688854386357</v>
      </c>
      <c r="AG63" s="16">
        <f t="shared" ca="1" si="59"/>
        <v>1.0862350633631286E-3</v>
      </c>
      <c r="AH63" s="16">
        <f t="shared" ca="1" si="42"/>
        <v>1.0862350633631286E-3</v>
      </c>
      <c r="AI63" s="16">
        <f t="shared" ca="1" si="25"/>
        <v>1.2333293948602188E-3</v>
      </c>
      <c r="AJ63" s="16">
        <f t="shared" ca="1" si="44"/>
        <v>2.0534719892997635E-3</v>
      </c>
      <c r="AK63" s="16">
        <f t="shared" ca="1" si="45"/>
        <v>4.2894282105393418E-4</v>
      </c>
      <c r="AL63" s="16">
        <f t="shared" ca="1" si="60"/>
        <v>1.3434499401319129E-3</v>
      </c>
      <c r="AM63" s="16">
        <f t="shared" ca="1" si="61"/>
        <v>8.7213170282038083E-3</v>
      </c>
    </row>
    <row r="64" spans="1:41" ht="16.5" x14ac:dyDescent="0.3">
      <c r="A64"/>
      <c r="B64" s="36">
        <f t="shared" si="39"/>
        <v>38</v>
      </c>
      <c r="C64" s="36">
        <f t="shared" si="39"/>
        <v>38</v>
      </c>
      <c r="D64" s="36">
        <f t="shared" si="6"/>
        <v>0.1</v>
      </c>
      <c r="E64" s="14">
        <f t="shared" ca="1" si="46"/>
        <v>1.3562756262539463E-4</v>
      </c>
      <c r="F64" s="14">
        <f t="shared" ca="1" si="47"/>
        <v>1.2054943337280303E-4</v>
      </c>
      <c r="G64" s="14">
        <f t="shared" ca="1" si="48"/>
        <v>3.8408265367241475E-5</v>
      </c>
      <c r="H64" s="14">
        <f t="shared" ca="1" si="49"/>
        <v>2.4359098915024337E-4</v>
      </c>
      <c r="I64" s="14">
        <f t="shared" ca="1" si="50"/>
        <v>1.6056876589082849E-3</v>
      </c>
      <c r="J64" s="14">
        <f t="shared" ca="1" si="51"/>
        <v>3.2129536433477836E-3</v>
      </c>
      <c r="K64" s="14">
        <f t="shared" ca="1" si="52"/>
        <v>3.8016145438385467E-3</v>
      </c>
      <c r="L64" s="14">
        <f t="shared" ca="1" si="53"/>
        <v>0.87168840944616166</v>
      </c>
      <c r="M64" s="14">
        <f t="shared" ca="1" si="54"/>
        <v>8.4922976383128471E-2</v>
      </c>
      <c r="N64" s="14">
        <f t="shared" ca="1" si="55"/>
        <v>4.0389529142020285E-3</v>
      </c>
      <c r="O64" s="14">
        <f t="shared" ca="1" si="56"/>
        <v>3.4280908956886551E-3</v>
      </c>
      <c r="P64" s="14">
        <f t="shared" ca="1" si="57"/>
        <v>2.6763138264210364E-2</v>
      </c>
      <c r="Q64"/>
      <c r="R64" s="44">
        <f t="shared" ca="1" si="43"/>
        <v>1.0000000000000013</v>
      </c>
      <c r="S64" s="16">
        <f t="shared" ca="1" si="20"/>
        <v>1.3893755329126738</v>
      </c>
      <c r="T64" s="16">
        <f t="shared" ca="1" si="29"/>
        <v>0.39680748807400468</v>
      </c>
      <c r="U64" s="16">
        <f t="shared" ca="1" si="30"/>
        <v>0.12642930453714896</v>
      </c>
      <c r="V64" s="16">
        <f t="shared" ca="1" si="31"/>
        <v>0.62363987410875621</v>
      </c>
      <c r="W64" s="16">
        <f t="shared" ca="1" si="32"/>
        <v>3.6908613789978659</v>
      </c>
      <c r="X64" s="16">
        <f t="shared" ca="1" si="33"/>
        <v>7.2872291864458623</v>
      </c>
      <c r="Y64" s="16">
        <f t="shared" ca="1" si="34"/>
        <v>9.404319636341647</v>
      </c>
      <c r="Z64" s="16">
        <f t="shared" ca="1" si="58"/>
        <v>0</v>
      </c>
      <c r="AA64" s="16">
        <f t="shared" ca="1" si="35"/>
        <v>36.34960212835535</v>
      </c>
      <c r="AB64" s="16">
        <f t="shared" ca="1" si="36"/>
        <v>5.679321649255332</v>
      </c>
      <c r="AC64" s="16">
        <f t="shared" ca="1" si="37"/>
        <v>0.69280347318730584</v>
      </c>
      <c r="AD64" s="16">
        <f t="shared" ca="1" si="38"/>
        <v>0</v>
      </c>
      <c r="AF64" s="16">
        <f t="shared" ca="1" si="41"/>
        <v>0.90591859152026266</v>
      </c>
      <c r="AG64" s="16">
        <f t="shared" ca="1" si="59"/>
        <v>1.0859523547447052E-3</v>
      </c>
      <c r="AH64" s="16">
        <f t="shared" ca="1" si="42"/>
        <v>1.0859523547447052E-3</v>
      </c>
      <c r="AI64" s="16">
        <f t="shared" ca="1" si="25"/>
        <v>1.2330084027830507E-3</v>
      </c>
      <c r="AJ64" s="16">
        <f t="shared" ca="1" si="44"/>
        <v>2.0529375430747734E-3</v>
      </c>
      <c r="AK64" s="16">
        <f t="shared" ca="1" si="45"/>
        <v>4.2883118238895931E-4</v>
      </c>
      <c r="AL64" s="16">
        <f t="shared" ca="1" si="60"/>
        <v>1.301532098316566E-3</v>
      </c>
      <c r="AM64" s="16">
        <f t="shared" ca="1" si="61"/>
        <v>8.1465743706092275E-3</v>
      </c>
    </row>
    <row r="65" spans="1:39" ht="16.5" x14ac:dyDescent="0.3">
      <c r="A65"/>
      <c r="B65" s="36">
        <f t="shared" si="39"/>
        <v>39</v>
      </c>
      <c r="C65" s="36">
        <f t="shared" si="39"/>
        <v>39</v>
      </c>
      <c r="D65" s="36">
        <f t="shared" si="6"/>
        <v>0.1</v>
      </c>
      <c r="E65" s="14">
        <f t="shared" ca="1" si="46"/>
        <v>1.3559775794038856E-4</v>
      </c>
      <c r="F65" s="14">
        <f t="shared" ca="1" si="47"/>
        <v>1.2052201296712126E-4</v>
      </c>
      <c r="G65" s="14">
        <f t="shared" ca="1" si="48"/>
        <v>3.8398432053886395E-5</v>
      </c>
      <c r="H65" s="14">
        <f t="shared" ca="1" si="49"/>
        <v>2.3906248944010019E-4</v>
      </c>
      <c r="I65" s="14">
        <f t="shared" ca="1" si="50"/>
        <v>1.5153434896461372E-3</v>
      </c>
      <c r="J65" s="14">
        <f t="shared" ca="1" si="51"/>
        <v>3.1126065574373081E-3</v>
      </c>
      <c r="K65" s="14">
        <f t="shared" ca="1" si="52"/>
        <v>3.4810829192664632E-3</v>
      </c>
      <c r="L65" s="14">
        <f t="shared" ca="1" si="53"/>
        <v>0.87496791079477854</v>
      </c>
      <c r="M65" s="14">
        <f t="shared" ca="1" si="54"/>
        <v>8.1954019733987263E-2</v>
      </c>
      <c r="N65" s="14">
        <f t="shared" ca="1" si="55"/>
        <v>4.1112446983373298E-3</v>
      </c>
      <c r="O65" s="14">
        <f t="shared" ca="1" si="56"/>
        <v>3.4677451642758776E-3</v>
      </c>
      <c r="P65" s="14">
        <f t="shared" ca="1" si="57"/>
        <v>2.6856465949871098E-2</v>
      </c>
      <c r="Q65"/>
      <c r="R65" s="44">
        <f t="shared" ca="1" si="43"/>
        <v>1.0000000000000016</v>
      </c>
      <c r="S65" s="16">
        <f t="shared" ca="1" si="20"/>
        <v>1.3890702122292373</v>
      </c>
      <c r="T65" s="16">
        <f t="shared" ca="1" si="29"/>
        <v>0.39671560959760133</v>
      </c>
      <c r="U65" s="16">
        <f t="shared" ca="1" si="30"/>
        <v>0.12639578951061775</v>
      </c>
      <c r="V65" s="16">
        <f t="shared" ca="1" si="31"/>
        <v>0.61188877401769393</v>
      </c>
      <c r="W65" s="16">
        <f t="shared" ca="1" si="32"/>
        <v>3.4833680546465429</v>
      </c>
      <c r="X65" s="16">
        <f t="shared" ca="1" si="33"/>
        <v>7.0599277233628497</v>
      </c>
      <c r="Y65" s="16">
        <f t="shared" ca="1" si="34"/>
        <v>8.5837513648887214</v>
      </c>
      <c r="Z65" s="16">
        <f t="shared" ca="1" si="58"/>
        <v>0</v>
      </c>
      <c r="AA65" s="16">
        <f t="shared" ca="1" si="35"/>
        <v>35.080047738759482</v>
      </c>
      <c r="AB65" s="16">
        <f t="shared" ca="1" si="36"/>
        <v>5.6815017459394186</v>
      </c>
      <c r="AC65" s="16">
        <f t="shared" ca="1" si="37"/>
        <v>0.69306941666575339</v>
      </c>
      <c r="AD65" s="16">
        <f t="shared" ca="1" si="38"/>
        <v>0</v>
      </c>
      <c r="AF65" s="16">
        <f t="shared" ca="1" si="41"/>
        <v>0.90940336660726284</v>
      </c>
      <c r="AG65" s="16">
        <f t="shared" ca="1" si="59"/>
        <v>1.0856803282981375E-3</v>
      </c>
      <c r="AH65" s="16">
        <f t="shared" ca="1" si="42"/>
        <v>1.0856803282981375E-3</v>
      </c>
      <c r="AI65" s="16">
        <f t="shared" ca="1" si="25"/>
        <v>1.2326995394218434E-3</v>
      </c>
      <c r="AJ65" s="16">
        <f t="shared" ca="1" si="44"/>
        <v>2.052423290950886E-3</v>
      </c>
      <c r="AK65" s="16">
        <f t="shared" ca="1" si="45"/>
        <v>4.2872376200148735E-4</v>
      </c>
      <c r="AL65" s="16">
        <f t="shared" ca="1" si="60"/>
        <v>1.2613492049492728E-3</v>
      </c>
      <c r="AM65" s="16">
        <f t="shared" ca="1" si="61"/>
        <v>7.6391736727315787E-3</v>
      </c>
    </row>
    <row r="66" spans="1:39" ht="16.5" x14ac:dyDescent="0.3">
      <c r="A66"/>
      <c r="B66" s="36">
        <f t="shared" si="39"/>
        <v>40</v>
      </c>
      <c r="C66" s="36">
        <f t="shared" si="39"/>
        <v>40</v>
      </c>
      <c r="D66" s="36">
        <f t="shared" si="6"/>
        <v>0.1</v>
      </c>
      <c r="E66" s="14">
        <f t="shared" ca="1" si="46"/>
        <v>1.3556893686350659E-4</v>
      </c>
      <c r="F66" s="14">
        <f t="shared" ca="1" si="47"/>
        <v>1.2049552275779375E-4</v>
      </c>
      <c r="G66" s="14">
        <f t="shared" ca="1" si="48"/>
        <v>3.8389141599359118E-5</v>
      </c>
      <c r="H66" s="14">
        <f t="shared" ca="1" si="49"/>
        <v>2.3473826642573004E-4</v>
      </c>
      <c r="I66" s="14">
        <f t="shared" ca="1" si="50"/>
        <v>1.4299769326641973E-3</v>
      </c>
      <c r="J66" s="14">
        <f t="shared" ca="1" si="51"/>
        <v>3.0151856952677874E-3</v>
      </c>
      <c r="K66" s="14">
        <f t="shared" ca="1" si="52"/>
        <v>3.2066942415692207E-3</v>
      </c>
      <c r="L66" s="14">
        <f t="shared" ca="1" si="53"/>
        <v>0.87809991509896657</v>
      </c>
      <c r="M66" s="14">
        <f t="shared" ca="1" si="54"/>
        <v>7.9084899118315746E-2</v>
      </c>
      <c r="N66" s="14">
        <f t="shared" ca="1" si="55"/>
        <v>4.1805970673791781E-3</v>
      </c>
      <c r="O66" s="14">
        <f t="shared" ca="1" si="56"/>
        <v>3.5048409959976788E-3</v>
      </c>
      <c r="P66" s="14">
        <f t="shared" ca="1" si="57"/>
        <v>2.6948698982194784E-2</v>
      </c>
      <c r="Q66"/>
      <c r="R66" s="44">
        <f t="shared" ca="1" si="43"/>
        <v>1.0000000000000016</v>
      </c>
      <c r="S66" s="16">
        <f t="shared" ca="1" si="20"/>
        <v>1.3887749676766046</v>
      </c>
      <c r="T66" s="16">
        <f t="shared" ca="1" si="29"/>
        <v>0.39662689240267052</v>
      </c>
      <c r="U66" s="16">
        <f t="shared" ca="1" si="30"/>
        <v>0.1263643187688587</v>
      </c>
      <c r="V66" s="16">
        <f t="shared" ca="1" si="31"/>
        <v>0.6006656462564649</v>
      </c>
      <c r="W66" s="16">
        <f t="shared" ca="1" si="32"/>
        <v>3.2872581468870865</v>
      </c>
      <c r="X66" s="16">
        <f t="shared" ca="1" si="33"/>
        <v>6.8391998549806532</v>
      </c>
      <c r="Y66" s="16">
        <f t="shared" ca="1" si="34"/>
        <v>7.8825485506189796</v>
      </c>
      <c r="Z66" s="16">
        <f t="shared" ca="1" si="58"/>
        <v>0</v>
      </c>
      <c r="AA66" s="16">
        <f t="shared" ca="1" si="35"/>
        <v>33.852796326536875</v>
      </c>
      <c r="AB66" s="16">
        <f t="shared" ca="1" si="36"/>
        <v>5.6833461315262914</v>
      </c>
      <c r="AC66" s="16">
        <f t="shared" ca="1" si="37"/>
        <v>0.69329440775085094</v>
      </c>
      <c r="AD66" s="16">
        <f t="shared" ca="1" si="38"/>
        <v>0</v>
      </c>
      <c r="AF66" s="16">
        <f t="shared" ca="1" si="41"/>
        <v>0.91273405214453818</v>
      </c>
      <c r="AG66" s="16">
        <f t="shared" ca="1" si="59"/>
        <v>1.0854182842754134E-3</v>
      </c>
      <c r="AH66" s="16">
        <f t="shared" ca="1" si="42"/>
        <v>1.0854182842754134E-3</v>
      </c>
      <c r="AI66" s="16">
        <f t="shared" ca="1" si="25"/>
        <v>1.2324020102710421E-3</v>
      </c>
      <c r="AJ66" s="16">
        <f t="shared" ca="1" si="44"/>
        <v>2.0519279100901715E-3</v>
      </c>
      <c r="AK66" s="16">
        <f t="shared" ca="1" si="45"/>
        <v>4.2862028356837587E-4</v>
      </c>
      <c r="AL66" s="16">
        <f t="shared" ca="1" si="60"/>
        <v>1.2228426938834553E-3</v>
      </c>
      <c r="AM66" s="16">
        <f t="shared" ca="1" si="61"/>
        <v>7.1889885040660444E-3</v>
      </c>
    </row>
    <row r="67" spans="1:39" ht="16.5" x14ac:dyDescent="0.3">
      <c r="A67"/>
      <c r="B67" s="36">
        <f t="shared" si="39"/>
        <v>41</v>
      </c>
      <c r="C67" s="36">
        <f t="shared" si="39"/>
        <v>41</v>
      </c>
      <c r="D67" s="36">
        <f t="shared" si="6"/>
        <v>0.1</v>
      </c>
      <c r="E67" s="14">
        <f t="shared" ca="1" si="46"/>
        <v>1.355410413913424E-4</v>
      </c>
      <c r="F67" s="14">
        <f t="shared" ca="1" si="47"/>
        <v>1.2046990690969162E-4</v>
      </c>
      <c r="G67" s="14">
        <f t="shared" ca="1" si="48"/>
        <v>3.8380291334988186E-5</v>
      </c>
      <c r="H67" s="14">
        <f t="shared" ca="1" si="49"/>
        <v>2.3061032897722333E-4</v>
      </c>
      <c r="I67" s="14">
        <f t="shared" ca="1" si="50"/>
        <v>1.3493476570916613E-3</v>
      </c>
      <c r="J67" s="14">
        <f t="shared" ca="1" si="51"/>
        <v>2.9206452623423166E-3</v>
      </c>
      <c r="K67" s="14">
        <f t="shared" ca="1" si="52"/>
        <v>2.9709759195234147E-3</v>
      </c>
      <c r="L67" s="14">
        <f t="shared" ca="1" si="53"/>
        <v>0.88109368890305706</v>
      </c>
      <c r="M67" s="14">
        <f t="shared" ca="1" si="54"/>
        <v>7.6313732435324702E-2</v>
      </c>
      <c r="N67" s="14">
        <f t="shared" ca="1" si="55"/>
        <v>4.2471207171936127E-3</v>
      </c>
      <c r="O67" s="14">
        <f t="shared" ca="1" si="56"/>
        <v>3.5395357077960266E-3</v>
      </c>
      <c r="P67" s="14">
        <f t="shared" ca="1" si="57"/>
        <v>2.7039951829059525E-2</v>
      </c>
      <c r="Q67"/>
      <c r="R67" s="44">
        <f t="shared" ca="1" si="43"/>
        <v>1.0000000000000016</v>
      </c>
      <c r="S67" s="16">
        <f t="shared" ca="1" si="20"/>
        <v>1.3884892050649811</v>
      </c>
      <c r="T67" s="16">
        <f t="shared" ca="1" si="29"/>
        <v>0.39654114485085229</v>
      </c>
      <c r="U67" s="16">
        <f t="shared" ca="1" si="30"/>
        <v>0.12633446576691462</v>
      </c>
      <c r="V67" s="16">
        <f t="shared" ca="1" si="31"/>
        <v>0.58995033530804819</v>
      </c>
      <c r="W67" s="16">
        <f t="shared" ca="1" si="32"/>
        <v>3.1019909858744392</v>
      </c>
      <c r="X67" s="16">
        <f t="shared" ca="1" si="33"/>
        <v>6.6249527644406623</v>
      </c>
      <c r="Y67" s="16">
        <f t="shared" ca="1" si="34"/>
        <v>7.2813109353718355</v>
      </c>
      <c r="Z67" s="16">
        <f t="shared" ca="1" si="58"/>
        <v>0</v>
      </c>
      <c r="AA67" s="16">
        <f t="shared" ca="1" si="35"/>
        <v>32.667123332048526</v>
      </c>
      <c r="AB67" s="16">
        <f t="shared" ca="1" si="36"/>
        <v>5.6849074490659186</v>
      </c>
      <c r="AC67" s="16">
        <f t="shared" ca="1" si="37"/>
        <v>0.69348486821091759</v>
      </c>
      <c r="AD67" s="16">
        <f t="shared" ca="1" si="38"/>
        <v>0</v>
      </c>
      <c r="AF67" s="16">
        <f t="shared" ca="1" si="41"/>
        <v>0.91592029715710621</v>
      </c>
      <c r="AG67" s="16">
        <f t="shared" ca="1" si="59"/>
        <v>1.0851655842235514E-3</v>
      </c>
      <c r="AH67" s="16">
        <f t="shared" ca="1" si="42"/>
        <v>1.0851655842235514E-3</v>
      </c>
      <c r="AI67" s="16">
        <f t="shared" ca="1" si="25"/>
        <v>1.2321150904204905E-3</v>
      </c>
      <c r="AJ67" s="16">
        <f t="shared" ca="1" si="44"/>
        <v>2.0514501935298287E-3</v>
      </c>
      <c r="AK67" s="16">
        <f t="shared" ca="1" si="45"/>
        <v>4.2852049497124612E-4</v>
      </c>
      <c r="AL67" s="16">
        <f t="shared" ca="1" si="60"/>
        <v>1.1859526904244918E-3</v>
      </c>
      <c r="AM67" s="16">
        <f t="shared" ca="1" si="61"/>
        <v>6.7875568819346253E-3</v>
      </c>
    </row>
    <row r="68" spans="1:39" ht="16.5" x14ac:dyDescent="0.3">
      <c r="A68"/>
      <c r="B68" s="36">
        <f t="shared" si="39"/>
        <v>42</v>
      </c>
      <c r="C68" s="36">
        <f t="shared" si="39"/>
        <v>42</v>
      </c>
      <c r="D68" s="36">
        <f t="shared" si="6"/>
        <v>0.1</v>
      </c>
      <c r="E68" s="14">
        <f t="shared" ca="1" si="46"/>
        <v>1.3551401782275444E-4</v>
      </c>
      <c r="F68" s="14">
        <f t="shared" ca="1" si="47"/>
        <v>1.204451138563919E-4</v>
      </c>
      <c r="G68" s="14">
        <f t="shared" ca="1" si="48"/>
        <v>3.837181207299342E-5</v>
      </c>
      <c r="H68" s="14">
        <f t="shared" ca="1" si="49"/>
        <v>2.2667068755401432E-4</v>
      </c>
      <c r="I68" s="14">
        <f t="shared" ca="1" si="50"/>
        <v>1.2732206827061588E-3</v>
      </c>
      <c r="J68" s="14">
        <f t="shared" ca="1" si="51"/>
        <v>2.8289329364589192E-3</v>
      </c>
      <c r="K68" s="14">
        <f t="shared" ca="1" si="52"/>
        <v>2.7677120322602425E-3</v>
      </c>
      <c r="L68" s="14">
        <f t="shared" ca="1" si="53"/>
        <v>0.8839575123922353</v>
      </c>
      <c r="M68" s="14">
        <f t="shared" ca="1" si="54"/>
        <v>7.3638395975192519E-2</v>
      </c>
      <c r="N68" s="14">
        <f t="shared" ca="1" si="55"/>
        <v>4.3109235824563127E-3</v>
      </c>
      <c r="O68" s="14">
        <f t="shared" ca="1" si="56"/>
        <v>3.5719781927127268E-3</v>
      </c>
      <c r="P68" s="14">
        <f t="shared" ca="1" si="57"/>
        <v>2.7130322574673144E-2</v>
      </c>
      <c r="Q68"/>
      <c r="R68" s="44">
        <f t="shared" ca="1" si="43"/>
        <v>1.0000000000000016</v>
      </c>
      <c r="S68" s="16">
        <f t="shared" ca="1" si="20"/>
        <v>1.3882123742771875</v>
      </c>
      <c r="T68" s="16">
        <f t="shared" ca="1" si="29"/>
        <v>0.3964581901983939</v>
      </c>
      <c r="U68" s="16">
        <f t="shared" ca="1" si="30"/>
        <v>0.12630594769179382</v>
      </c>
      <c r="V68" s="16">
        <f t="shared" ca="1" si="31"/>
        <v>0.57972258151764189</v>
      </c>
      <c r="W68" s="16">
        <f t="shared" ca="1" si="32"/>
        <v>2.9270360791530088</v>
      </c>
      <c r="X68" s="16">
        <f t="shared" ca="1" si="33"/>
        <v>6.4170769441608488</v>
      </c>
      <c r="Y68" s="16">
        <f t="shared" ca="1" si="34"/>
        <v>6.763904554369808</v>
      </c>
      <c r="Z68" s="16">
        <f t="shared" ca="1" si="58"/>
        <v>0</v>
      </c>
      <c r="AA68" s="16">
        <f t="shared" ca="1" si="35"/>
        <v>31.522186673816879</v>
      </c>
      <c r="AB68" s="16">
        <f t="shared" ca="1" si="36"/>
        <v>5.6862295562098515</v>
      </c>
      <c r="AC68" s="16">
        <f t="shared" ca="1" si="37"/>
        <v>0.69364614810978964</v>
      </c>
      <c r="AD68" s="16">
        <f t="shared" ca="1" si="38"/>
        <v>0</v>
      </c>
      <c r="AF68" s="16">
        <f t="shared" ca="1" si="41"/>
        <v>0.91897073674207752</v>
      </c>
      <c r="AG68" s="16">
        <f t="shared" ca="1" si="59"/>
        <v>1.0849216437100687E-3</v>
      </c>
      <c r="AH68" s="16">
        <f t="shared" ca="1" si="42"/>
        <v>1.0849216437100687E-3</v>
      </c>
      <c r="AI68" s="16">
        <f t="shared" ca="1" si="25"/>
        <v>1.231838116295807E-3</v>
      </c>
      <c r="AJ68" s="16">
        <f t="shared" ca="1" si="44"/>
        <v>2.050989036430056E-3</v>
      </c>
      <c r="AK68" s="16">
        <f t="shared" ca="1" si="45"/>
        <v>4.2842416542384715E-4</v>
      </c>
      <c r="AL68" s="16">
        <f t="shared" ca="1" si="60"/>
        <v>1.1506187950506891E-3</v>
      </c>
      <c r="AM68" s="16">
        <f t="shared" ca="1" si="61"/>
        <v>6.4278000501003674E-3</v>
      </c>
    </row>
    <row r="69" spans="1:39" ht="16.5" x14ac:dyDescent="0.3">
      <c r="A69"/>
      <c r="B69" s="36">
        <f t="shared" si="39"/>
        <v>43</v>
      </c>
      <c r="C69" s="36">
        <f t="shared" si="39"/>
        <v>43</v>
      </c>
      <c r="D69" s="36">
        <f t="shared" si="6"/>
        <v>0.1</v>
      </c>
      <c r="E69" s="14">
        <f t="shared" ca="1" si="46"/>
        <v>1.3548781632729962E-4</v>
      </c>
      <c r="F69" s="14">
        <f t="shared" ca="1" si="47"/>
        <v>1.20421095856977E-4</v>
      </c>
      <c r="G69" s="14">
        <f t="shared" ca="1" si="48"/>
        <v>3.8363655582883334E-5</v>
      </c>
      <c r="H69" s="14">
        <f t="shared" ca="1" si="49"/>
        <v>2.2291142348547844E-4</v>
      </c>
      <c r="I69" s="14">
        <f t="shared" ca="1" si="50"/>
        <v>1.2013675610159072E-3</v>
      </c>
      <c r="J69" s="14">
        <f t="shared" ca="1" si="51"/>
        <v>2.7399914284181102E-3</v>
      </c>
      <c r="K69" s="14">
        <f t="shared" ca="1" si="52"/>
        <v>2.5917294996968426E-3</v>
      </c>
      <c r="L69" s="14">
        <f t="shared" ca="1" si="53"/>
        <v>0.88669882567218095</v>
      </c>
      <c r="M69" s="14">
        <f t="shared" ca="1" si="54"/>
        <v>7.1056586499493979E-2</v>
      </c>
      <c r="N69" s="14">
        <f t="shared" ca="1" si="55"/>
        <v>4.372110642693338E-3</v>
      </c>
      <c r="O69" s="14">
        <f t="shared" ca="1" si="56"/>
        <v>3.6023091374085881E-3</v>
      </c>
      <c r="P69" s="14">
        <f t="shared" ca="1" si="57"/>
        <v>2.7219895567841181E-2</v>
      </c>
      <c r="Q69"/>
      <c r="R69" s="44">
        <f t="shared" ca="1" si="43"/>
        <v>1.0000000000000016</v>
      </c>
      <c r="S69" s="16">
        <f t="shared" ca="1" si="20"/>
        <v>1.3879439648476737</v>
      </c>
      <c r="T69" s="16">
        <f t="shared" ca="1" si="29"/>
        <v>0.39637786502165984</v>
      </c>
      <c r="U69" s="16">
        <f t="shared" ca="1" si="30"/>
        <v>0.12627857131587875</v>
      </c>
      <c r="V69" s="16">
        <f t="shared" ca="1" si="31"/>
        <v>0.56996221709142725</v>
      </c>
      <c r="W69" s="16">
        <f t="shared" ca="1" si="32"/>
        <v>2.7618761961340388</v>
      </c>
      <c r="X69" s="16">
        <f t="shared" ca="1" si="33"/>
        <v>6.2154500573761808</v>
      </c>
      <c r="Y69" s="16">
        <f t="shared" ca="1" si="34"/>
        <v>6.3169057616412196</v>
      </c>
      <c r="Z69" s="16">
        <f t="shared" ca="1" si="58"/>
        <v>0</v>
      </c>
      <c r="AA69" s="16">
        <f t="shared" ca="1" si="35"/>
        <v>30.417055740916219</v>
      </c>
      <c r="AB69" s="16">
        <f t="shared" ca="1" si="36"/>
        <v>5.6873490174670414</v>
      </c>
      <c r="AC69" s="16">
        <f t="shared" ca="1" si="37"/>
        <v>0.69378270784261875</v>
      </c>
      <c r="AD69" s="16">
        <f t="shared" ca="1" si="38"/>
        <v>0</v>
      </c>
      <c r="AF69" s="16">
        <f t="shared" ca="1" si="41"/>
        <v>0.9218931410201241</v>
      </c>
      <c r="AG69" s="16">
        <f t="shared" ca="1" si="59"/>
        <v>1.084685926106945E-3</v>
      </c>
      <c r="AH69" s="16">
        <f t="shared" ca="1" si="42"/>
        <v>1.084685926106945E-3</v>
      </c>
      <c r="AI69" s="16">
        <f t="shared" ca="1" si="25"/>
        <v>1.2315704786005936E-3</v>
      </c>
      <c r="AJ69" s="16">
        <f t="shared" ca="1" si="44"/>
        <v>2.0505434243229485E-3</v>
      </c>
      <c r="AK69" s="16">
        <f t="shared" ca="1" si="45"/>
        <v>4.2833108301740843E-4</v>
      </c>
      <c r="AL69" s="16">
        <f t="shared" ca="1" si="60"/>
        <v>1.1167807110739919E-3</v>
      </c>
      <c r="AM69" s="16">
        <f t="shared" ca="1" si="61"/>
        <v>6.1037891704834946E-3</v>
      </c>
    </row>
    <row r="70" spans="1:39" ht="16.5" x14ac:dyDescent="0.3">
      <c r="A70"/>
      <c r="B70" s="36">
        <f t="shared" si="39"/>
        <v>44</v>
      </c>
      <c r="C70" s="36">
        <f t="shared" si="39"/>
        <v>44</v>
      </c>
      <c r="D70" s="36">
        <f t="shared" si="6"/>
        <v>0.1</v>
      </c>
      <c r="E70" s="14">
        <f t="shared" ca="1" si="46"/>
        <v>1.3546239057010643E-4</v>
      </c>
      <c r="F70" s="14">
        <f t="shared" ca="1" si="47"/>
        <v>1.2039780861221175E-4</v>
      </c>
      <c r="G70" s="14">
        <f t="shared" ca="1" si="48"/>
        <v>3.8355786881708197E-5</v>
      </c>
      <c r="H70" s="14">
        <f t="shared" ca="1" si="49"/>
        <v>2.1932474406047127E-4</v>
      </c>
      <c r="I70" s="14">
        <f t="shared" ca="1" si="50"/>
        <v>1.1335672312379785E-3</v>
      </c>
      <c r="J70" s="14">
        <f t="shared" ca="1" si="51"/>
        <v>2.6537597625495408E-3</v>
      </c>
      <c r="K70" s="14">
        <f t="shared" ca="1" si="52"/>
        <v>2.438720770012916E-3</v>
      </c>
      <c r="L70" s="14">
        <f t="shared" ca="1" si="53"/>
        <v>0.88932435086245654</v>
      </c>
      <c r="M70" s="14">
        <f t="shared" ca="1" si="54"/>
        <v>6.8565871945991355E-2</v>
      </c>
      <c r="N70" s="14">
        <f t="shared" ca="1" si="55"/>
        <v>4.4307837888857317E-3</v>
      </c>
      <c r="O70" s="14">
        <f t="shared" ca="1" si="56"/>
        <v>3.6306612836225719E-3</v>
      </c>
      <c r="P70" s="14">
        <f t="shared" ca="1" si="57"/>
        <v>2.7308743625120535E-2</v>
      </c>
      <c r="Q70"/>
      <c r="R70" s="44">
        <f t="shared" ca="1" si="43"/>
        <v>1.0000000000000018</v>
      </c>
      <c r="S70" s="16">
        <f t="shared" ca="1" si="20"/>
        <v>1.3876835021196987</v>
      </c>
      <c r="T70" s="16">
        <f t="shared" ca="1" si="29"/>
        <v>0.39630001785615343</v>
      </c>
      <c r="U70" s="16">
        <f t="shared" ca="1" si="30"/>
        <v>0.12625219970021809</v>
      </c>
      <c r="V70" s="16">
        <f t="shared" ca="1" si="31"/>
        <v>0.56064932376805321</v>
      </c>
      <c r="W70" s="16">
        <f t="shared" ca="1" si="32"/>
        <v>2.606009641649087</v>
      </c>
      <c r="X70" s="16">
        <f t="shared" ca="1" si="33"/>
        <v>6.019940109226642</v>
      </c>
      <c r="Y70" s="16">
        <f t="shared" ca="1" si="34"/>
        <v>5.929140210393407</v>
      </c>
      <c r="Z70" s="16">
        <f t="shared" ca="1" si="58"/>
        <v>0</v>
      </c>
      <c r="AA70" s="16">
        <f t="shared" ca="1" si="35"/>
        <v>29.350735102117696</v>
      </c>
      <c r="AB70" s="16">
        <f t="shared" ca="1" si="36"/>
        <v>5.6882963416947492</v>
      </c>
      <c r="AC70" s="16">
        <f t="shared" ca="1" si="37"/>
        <v>0.69389826909372188</v>
      </c>
      <c r="AD70" s="16">
        <f t="shared" ca="1" si="38"/>
        <v>0</v>
      </c>
      <c r="AF70" s="16">
        <f t="shared" ca="1" si="41"/>
        <v>0.9246945395600854</v>
      </c>
      <c r="AG70" s="16">
        <f t="shared" ca="1" si="59"/>
        <v>1.0844579372633069E-3</v>
      </c>
      <c r="AH70" s="16">
        <f t="shared" ca="1" si="42"/>
        <v>1.0844579372633069E-3</v>
      </c>
      <c r="AI70" s="16">
        <f t="shared" ca="1" si="25"/>
        <v>1.231311616267713E-3</v>
      </c>
      <c r="AJ70" s="16">
        <f t="shared" ca="1" si="44"/>
        <v>2.0501124230414818E-3</v>
      </c>
      <c r="AK70" s="16">
        <f t="shared" ca="1" si="45"/>
        <v>4.2824105261693863E-4</v>
      </c>
      <c r="AL70" s="16">
        <f t="shared" ca="1" si="60"/>
        <v>1.0843787409651525E-3</v>
      </c>
      <c r="AM70" s="16">
        <f t="shared" ca="1" si="61"/>
        <v>5.8105517461890634E-3</v>
      </c>
    </row>
    <row r="71" spans="1:39" ht="16.5" x14ac:dyDescent="0.3">
      <c r="A71"/>
      <c r="B71" s="36">
        <f t="shared" si="39"/>
        <v>45</v>
      </c>
      <c r="C71" s="36">
        <f t="shared" si="39"/>
        <v>45</v>
      </c>
      <c r="D71" s="36">
        <f t="shared" si="6"/>
        <v>0.1</v>
      </c>
      <c r="E71" s="14">
        <f t="shared" ca="1" si="46"/>
        <v>1.3543769738456979E-4</v>
      </c>
      <c r="F71" s="14">
        <f t="shared" ca="1" si="47"/>
        <v>1.2037521093092365E-4</v>
      </c>
      <c r="G71" s="14">
        <f t="shared" ca="1" si="48"/>
        <v>3.8348179475783037E-5</v>
      </c>
      <c r="H71" s="14">
        <f t="shared" ca="1" si="49"/>
        <v>2.1590302538957413E-4</v>
      </c>
      <c r="I71" s="14">
        <f t="shared" ca="1" si="50"/>
        <v>1.069606614021745E-3</v>
      </c>
      <c r="J71" s="14">
        <f t="shared" ca="1" si="51"/>
        <v>2.5701743253517765E-3</v>
      </c>
      <c r="K71" s="14">
        <f t="shared" ca="1" si="52"/>
        <v>2.3050967819478615E-3</v>
      </c>
      <c r="L71" s="14">
        <f t="shared" ca="1" si="53"/>
        <v>0.8918401941102283</v>
      </c>
      <c r="M71" s="14">
        <f t="shared" ca="1" si="54"/>
        <v>6.6163732730868216E-2</v>
      </c>
      <c r="N71" s="14">
        <f t="shared" ca="1" si="55"/>
        <v>4.4870417391550147E-3</v>
      </c>
      <c r="O71" s="14">
        <f t="shared" ca="1" si="56"/>
        <v>3.657159720663159E-3</v>
      </c>
      <c r="P71" s="14">
        <f t="shared" ca="1" si="57"/>
        <v>2.7396929864584835E-2</v>
      </c>
      <c r="Q71"/>
      <c r="R71" s="44">
        <f t="shared" ca="1" si="43"/>
        <v>1.0000000000000018</v>
      </c>
      <c r="S71" s="16">
        <f t="shared" ca="1" si="20"/>
        <v>1.3874305438924022</v>
      </c>
      <c r="T71" s="16">
        <f t="shared" ca="1" si="29"/>
        <v>0.39622450801586762</v>
      </c>
      <c r="U71" s="16">
        <f t="shared" ca="1" si="30"/>
        <v>0.12622673167671009</v>
      </c>
      <c r="V71" s="16">
        <f t="shared" ca="1" si="31"/>
        <v>0.55176435699798954</v>
      </c>
      <c r="W71" s="16">
        <f t="shared" ca="1" si="32"/>
        <v>2.4589518739552192</v>
      </c>
      <c r="X71" s="16">
        <f t="shared" ca="1" si="33"/>
        <v>5.8304080463288184</v>
      </c>
      <c r="Y71" s="16">
        <f t="shared" ca="1" si="34"/>
        <v>5.5913005576185704</v>
      </c>
      <c r="Z71" s="16">
        <f t="shared" ca="1" si="58"/>
        <v>0</v>
      </c>
      <c r="AA71" s="16">
        <f t="shared" ca="1" si="35"/>
        <v>28.322183847146036</v>
      </c>
      <c r="AB71" s="16">
        <f t="shared" ca="1" si="36"/>
        <v>5.6890970083808803</v>
      </c>
      <c r="AC71" s="16">
        <f t="shared" ca="1" si="37"/>
        <v>0.69399594002966547</v>
      </c>
      <c r="AD71" s="16">
        <f t="shared" ca="1" si="38"/>
        <v>0</v>
      </c>
      <c r="AF71" s="16">
        <f t="shared" ca="1" si="41"/>
        <v>0.92738132543463137</v>
      </c>
      <c r="AG71" s="16">
        <f t="shared" ca="1" si="59"/>
        <v>1.0842372209253625E-3</v>
      </c>
      <c r="AH71" s="16">
        <f t="shared" ca="1" si="42"/>
        <v>1.0842372209253625E-3</v>
      </c>
      <c r="AI71" s="16">
        <f t="shared" ca="1" si="25"/>
        <v>1.2310610112590051E-3</v>
      </c>
      <c r="AJ71" s="16">
        <f t="shared" ca="1" si="44"/>
        <v>2.0496951700611308E-3</v>
      </c>
      <c r="AK71" s="16">
        <f t="shared" ca="1" si="45"/>
        <v>4.2815389405260589E-4</v>
      </c>
      <c r="AL71" s="16">
        <f t="shared" ca="1" si="60"/>
        <v>1.0533541731913561E-3</v>
      </c>
      <c r="AM71" s="16">
        <f t="shared" ca="1" si="61"/>
        <v>5.5439109910222278E-3</v>
      </c>
    </row>
    <row r="72" spans="1:39" ht="16.5" x14ac:dyDescent="0.3">
      <c r="A72"/>
      <c r="B72" s="36">
        <f t="shared" si="39"/>
        <v>46</v>
      </c>
      <c r="C72" s="36">
        <f t="shared" si="39"/>
        <v>46</v>
      </c>
      <c r="D72" s="36">
        <f t="shared" si="6"/>
        <v>0.1</v>
      </c>
      <c r="E72" s="14">
        <f t="shared" ca="1" si="46"/>
        <v>1.3541369648566038E-4</v>
      </c>
      <c r="F72" s="14">
        <f t="shared" ca="1" si="47"/>
        <v>1.2035326443892024E-4</v>
      </c>
      <c r="G72" s="14">
        <f t="shared" ca="1" si="48"/>
        <v>3.834081241346717E-5</v>
      </c>
      <c r="H72" s="14">
        <f t="shared" ca="1" si="49"/>
        <v>2.1263884492618958E-4</v>
      </c>
      <c r="I72" s="14">
        <f t="shared" ca="1" si="50"/>
        <v>1.0092809945892649E-3</v>
      </c>
      <c r="J72" s="14">
        <f t="shared" ca="1" si="51"/>
        <v>2.4891697222692031E-3</v>
      </c>
      <c r="K72" s="14">
        <f t="shared" ca="1" si="52"/>
        <v>2.1878650265133386E-3</v>
      </c>
      <c r="L72" s="14">
        <f t="shared" ca="1" si="53"/>
        <v>0.89425193092966093</v>
      </c>
      <c r="M72" s="14">
        <f t="shared" ca="1" si="54"/>
        <v>6.3847595283061179E-2</v>
      </c>
      <c r="N72" s="14">
        <f t="shared" ca="1" si="55"/>
        <v>4.5409799940568339E-3</v>
      </c>
      <c r="O72" s="14">
        <f t="shared" ca="1" si="56"/>
        <v>3.6819221985908727E-3</v>
      </c>
      <c r="P72" s="14">
        <f t="shared" ca="1" si="57"/>
        <v>2.748450923299605E-2</v>
      </c>
      <c r="Q72"/>
      <c r="R72" s="44">
        <f t="shared" ca="1" si="43"/>
        <v>1.0000000000000018</v>
      </c>
      <c r="S72" s="16">
        <f t="shared" ca="1" si="20"/>
        <v>1.3871846774839292</v>
      </c>
      <c r="T72" s="16">
        <f t="shared" ca="1" si="29"/>
        <v>0.39615120456525305</v>
      </c>
      <c r="U72" s="16">
        <f t="shared" ca="1" si="30"/>
        <v>0.12620208916766626</v>
      </c>
      <c r="V72" s="16">
        <f t="shared" ca="1" si="31"/>
        <v>0.54328824151151267</v>
      </c>
      <c r="W72" s="16">
        <f t="shared" ca="1" si="32"/>
        <v>2.3202365950081019</v>
      </c>
      <c r="X72" s="16">
        <f t="shared" ca="1" si="33"/>
        <v>5.6467098834024192</v>
      </c>
      <c r="Y72" s="16">
        <f t="shared" ca="1" si="34"/>
        <v>5.2956294355427938</v>
      </c>
      <c r="Z72" s="16">
        <f t="shared" ca="1" si="58"/>
        <v>0</v>
      </c>
      <c r="AA72" s="16">
        <f t="shared" ca="1" si="35"/>
        <v>27.330331318448167</v>
      </c>
      <c r="AB72" s="16">
        <f t="shared" ca="1" si="36"/>
        <v>5.689772318825205</v>
      </c>
      <c r="AC72" s="16">
        <f t="shared" ca="1" si="37"/>
        <v>0.69407831913234808</v>
      </c>
      <c r="AD72" s="16">
        <f t="shared" ca="1" si="38"/>
        <v>0</v>
      </c>
      <c r="AF72" s="16">
        <f t="shared" ca="1" si="41"/>
        <v>0.92995934235530464</v>
      </c>
      <c r="AG72" s="16">
        <f t="shared" ca="1" si="59"/>
        <v>1.0840233547856281E-3</v>
      </c>
      <c r="AH72" s="16">
        <f t="shared" ca="1" si="42"/>
        <v>1.0840233547856281E-3</v>
      </c>
      <c r="AI72" s="16">
        <f t="shared" ca="1" si="25"/>
        <v>1.2308181840795151E-3</v>
      </c>
      <c r="AJ72" s="16">
        <f t="shared" ca="1" si="44"/>
        <v>2.0492908670311362E-3</v>
      </c>
      <c r="AK72" s="16">
        <f t="shared" ca="1" si="45"/>
        <v>4.2806944055961927E-4</v>
      </c>
      <c r="AL72" s="16">
        <f t="shared" ca="1" si="60"/>
        <v>1.0236495784707743E-3</v>
      </c>
      <c r="AM72" s="16">
        <f t="shared" ca="1" si="61"/>
        <v>5.3003525195983656E-3</v>
      </c>
    </row>
    <row r="73" spans="1:39" ht="16.5" x14ac:dyDescent="0.3">
      <c r="A73"/>
      <c r="B73" s="36">
        <f t="shared" si="39"/>
        <v>47</v>
      </c>
      <c r="C73" s="36">
        <f t="shared" si="39"/>
        <v>47</v>
      </c>
      <c r="D73" s="36">
        <f t="shared" si="6"/>
        <v>0.1</v>
      </c>
      <c r="E73" s="14">
        <f t="shared" ca="1" si="46"/>
        <v>1.3539035021781356E-4</v>
      </c>
      <c r="F73" s="14">
        <f t="shared" ca="1" si="47"/>
        <v>1.2033193332403265E-4</v>
      </c>
      <c r="G73" s="14">
        <f t="shared" ca="1" si="48"/>
        <v>3.8333668450467274E-5</v>
      </c>
      <c r="H73" s="14">
        <f t="shared" ca="1" si="49"/>
        <v>2.0952500536347332E-4</v>
      </c>
      <c r="I73" s="14">
        <f t="shared" ca="1" si="50"/>
        <v>9.5239423772400104E-4</v>
      </c>
      <c r="J73" s="14">
        <f t="shared" ca="1" si="51"/>
        <v>2.4106794757746425E-3</v>
      </c>
      <c r="K73" s="14">
        <f t="shared" ca="1" si="52"/>
        <v>2.0845284174453669E-3</v>
      </c>
      <c r="L73" s="14">
        <f t="shared" ca="1" si="53"/>
        <v>0.89656467769091042</v>
      </c>
      <c r="M73" s="14">
        <f t="shared" ca="1" si="54"/>
        <v>6.1614859164806711E-2</v>
      </c>
      <c r="N73" s="14">
        <f t="shared" ca="1" si="55"/>
        <v>4.5926908236745981E-3</v>
      </c>
      <c r="O73" s="14">
        <f t="shared" ca="1" si="56"/>
        <v>3.7050594538546727E-3</v>
      </c>
      <c r="P73" s="14">
        <f t="shared" ca="1" si="57"/>
        <v>2.7571529778455756E-2</v>
      </c>
      <c r="Q73"/>
      <c r="R73" s="44">
        <f t="shared" ca="1" si="43"/>
        <v>1.000000000000002</v>
      </c>
      <c r="S73" s="16">
        <f t="shared" ca="1" si="20"/>
        <v>1.386945517148793</v>
      </c>
      <c r="T73" s="16">
        <f t="shared" ca="1" si="29"/>
        <v>0.39607998542063699</v>
      </c>
      <c r="U73" s="16">
        <f t="shared" ca="1" si="30"/>
        <v>0.12617820931652074</v>
      </c>
      <c r="V73" s="16">
        <f t="shared" ca="1" si="31"/>
        <v>0.53520244284322305</v>
      </c>
      <c r="W73" s="16">
        <f t="shared" ca="1" si="32"/>
        <v>2.1894164180310529</v>
      </c>
      <c r="X73" s="16">
        <f t="shared" ca="1" si="33"/>
        <v>5.4686984386416153</v>
      </c>
      <c r="Y73" s="16">
        <f t="shared" ca="1" si="34"/>
        <v>5.0356565327219291</v>
      </c>
      <c r="Z73" s="16">
        <f t="shared" ca="1" si="58"/>
        <v>0</v>
      </c>
      <c r="AA73" s="16">
        <f t="shared" ca="1" si="35"/>
        <v>26.374089861758549</v>
      </c>
      <c r="AB73" s="16">
        <f t="shared" ca="1" si="36"/>
        <v>5.6903401021537778</v>
      </c>
      <c r="AC73" s="16">
        <f t="shared" ca="1" si="37"/>
        <v>0.69414758132356591</v>
      </c>
      <c r="AD73" s="16">
        <f t="shared" ca="1" si="38"/>
        <v>0</v>
      </c>
      <c r="AF73" s="16">
        <f t="shared" ca="1" si="41"/>
        <v>0.93243395774689553</v>
      </c>
      <c r="AG73" s="16">
        <f t="shared" ca="1" si="59"/>
        <v>1.0838159470630533E-3</v>
      </c>
      <c r="AH73" s="16">
        <f t="shared" ca="1" si="42"/>
        <v>1.0838159470630533E-3</v>
      </c>
      <c r="AI73" s="16">
        <f t="shared" ca="1" si="25"/>
        <v>1.2305826898945083E-3</v>
      </c>
      <c r="AJ73" s="16">
        <f t="shared" ca="1" si="44"/>
        <v>2.0488987733094026E-3</v>
      </c>
      <c r="AK73" s="16">
        <f t="shared" ca="1" si="45"/>
        <v>4.2798753742775557E-4</v>
      </c>
      <c r="AL73" s="16">
        <f t="shared" ca="1" si="60"/>
        <v>9.9520903156857517E-4</v>
      </c>
      <c r="AM73" s="16">
        <f t="shared" ca="1" si="61"/>
        <v>5.0769136933993455E-3</v>
      </c>
    </row>
    <row r="74" spans="1:39" ht="16.5" x14ac:dyDescent="0.3">
      <c r="A74"/>
      <c r="B74" s="36">
        <f t="shared" si="39"/>
        <v>48</v>
      </c>
      <c r="C74" s="36">
        <f t="shared" si="39"/>
        <v>48</v>
      </c>
      <c r="D74" s="36">
        <f t="shared" si="6"/>
        <v>0.1</v>
      </c>
      <c r="E74" s="14">
        <f t="shared" ca="1" si="46"/>
        <v>1.3536762333234015E-4</v>
      </c>
      <c r="F74" s="14">
        <f t="shared" ca="1" si="47"/>
        <v>1.2031118411191619E-4</v>
      </c>
      <c r="G74" s="14">
        <f t="shared" ca="1" si="48"/>
        <v>3.8326732899616456E-5</v>
      </c>
      <c r="H74" s="14">
        <f t="shared" ca="1" si="49"/>
        <v>2.0655455142000581E-4</v>
      </c>
      <c r="I74" s="14">
        <f t="shared" ca="1" si="50"/>
        <v>8.9875886940318003E-4</v>
      </c>
      <c r="J74" s="14">
        <f t="shared" ca="1" si="51"/>
        <v>2.3346365922436337E-3</v>
      </c>
      <c r="K74" s="14">
        <f t="shared" ca="1" si="52"/>
        <v>1.9930014133400504E-3</v>
      </c>
      <c r="L74" s="14">
        <f t="shared" ca="1" si="53"/>
        <v>0.89878315160059363</v>
      </c>
      <c r="M74" s="14">
        <f t="shared" ca="1" si="54"/>
        <v>5.9462918899986859E-2</v>
      </c>
      <c r="N74" s="14">
        <f t="shared" ca="1" si="55"/>
        <v>4.6422632800829306E-3</v>
      </c>
      <c r="O74" s="14">
        <f t="shared" ca="1" si="56"/>
        <v>3.7266755408665881E-3</v>
      </c>
      <c r="P74" s="14">
        <f t="shared" ca="1" si="57"/>
        <v>2.7658033711721135E-2</v>
      </c>
      <c r="Q74"/>
      <c r="R74" s="44">
        <f t="shared" ca="1" si="43"/>
        <v>1.0000000000000018</v>
      </c>
      <c r="S74" s="16">
        <f t="shared" ca="1" si="20"/>
        <v>1.386712701797659</v>
      </c>
      <c r="T74" s="16">
        <f t="shared" ca="1" si="29"/>
        <v>0.39601073656170765</v>
      </c>
      <c r="U74" s="16">
        <f t="shared" ca="1" si="30"/>
        <v>0.12615503957574503</v>
      </c>
      <c r="V74" s="16">
        <f t="shared" ca="1" si="31"/>
        <v>0.52748901890782351</v>
      </c>
      <c r="W74" s="16">
        <f t="shared" ca="1" si="32"/>
        <v>2.0660631985724232</v>
      </c>
      <c r="X74" s="16">
        <f t="shared" ca="1" si="33"/>
        <v>5.2962247455274234</v>
      </c>
      <c r="Y74" s="16">
        <f t="shared" ca="1" si="34"/>
        <v>4.8059805350552329</v>
      </c>
      <c r="Z74" s="16">
        <f t="shared" ca="1" si="58"/>
        <v>0</v>
      </c>
      <c r="AA74" s="16">
        <f t="shared" ca="1" si="35"/>
        <v>25.452365115890579</v>
      </c>
      <c r="AB74" s="16">
        <f t="shared" ca="1" si="36"/>
        <v>5.6908153009801898</v>
      </c>
      <c r="AC74" s="16">
        <f t="shared" ca="1" si="37"/>
        <v>0.69420554940808676</v>
      </c>
      <c r="AD74" s="16">
        <f t="shared" ca="1" si="38"/>
        <v>0</v>
      </c>
      <c r="AF74" s="16">
        <f t="shared" ca="1" si="41"/>
        <v>0.93481012413326425</v>
      </c>
      <c r="AG74" s="16">
        <f t="shared" ca="1" si="59"/>
        <v>1.0836146335318868E-3</v>
      </c>
      <c r="AH74" s="16">
        <f t="shared" ca="1" si="42"/>
        <v>1.0836146335318868E-3</v>
      </c>
      <c r="AI74" s="16">
        <f t="shared" ca="1" si="25"/>
        <v>1.2303541151559962E-3</v>
      </c>
      <c r="AJ74" s="16">
        <f t="shared" ca="1" si="44"/>
        <v>2.0485182003457223E-3</v>
      </c>
      <c r="AK74" s="16">
        <f t="shared" ca="1" si="45"/>
        <v>4.2790804082809E-4</v>
      </c>
      <c r="AL74" s="16">
        <f t="shared" ca="1" si="60"/>
        <v>9.6797827224841693E-4</v>
      </c>
      <c r="AM74" s="16">
        <f t="shared" ca="1" si="61"/>
        <v>4.8710917552768533E-3</v>
      </c>
    </row>
    <row r="75" spans="1:39" ht="16.5" x14ac:dyDescent="0.3">
      <c r="A75"/>
      <c r="B75" s="36">
        <f t="shared" si="39"/>
        <v>49</v>
      </c>
      <c r="C75" s="36">
        <f t="shared" si="39"/>
        <v>49</v>
      </c>
      <c r="D75" s="36">
        <f t="shared" si="6"/>
        <v>0.1</v>
      </c>
      <c r="E75" s="14">
        <f t="shared" ca="1" si="46"/>
        <v>1.3534548279011281E-4</v>
      </c>
      <c r="F75" s="14">
        <f t="shared" ca="1" si="47"/>
        <v>1.2029098546810954E-4</v>
      </c>
      <c r="G75" s="14">
        <f t="shared" ca="1" si="48"/>
        <v>3.8319992902680488E-5</v>
      </c>
      <c r="H75" s="14">
        <f t="shared" ca="1" si="49"/>
        <v>2.0372078081911971E-4</v>
      </c>
      <c r="I75" s="14">
        <f t="shared" ca="1" si="50"/>
        <v>8.4819605356156085E-4</v>
      </c>
      <c r="J75" s="14">
        <f t="shared" ca="1" si="51"/>
        <v>2.2609740203959469E-3</v>
      </c>
      <c r="K75" s="14">
        <f t="shared" ca="1" si="52"/>
        <v>1.9115404426768006E-3</v>
      </c>
      <c r="L75" s="14">
        <f t="shared" ca="1" si="53"/>
        <v>0.90091172111596551</v>
      </c>
      <c r="M75" s="14">
        <f t="shared" ca="1" si="54"/>
        <v>5.7389181439123582E-2</v>
      </c>
      <c r="N75" s="14">
        <f t="shared" ca="1" si="55"/>
        <v>4.6897832298913155E-3</v>
      </c>
      <c r="O75" s="14">
        <f t="shared" ca="1" si="56"/>
        <v>3.746868164405255E-3</v>
      </c>
      <c r="P75" s="14">
        <f t="shared" ca="1" si="57"/>
        <v>2.7744058292001848E-2</v>
      </c>
      <c r="Q75"/>
      <c r="R75" s="44">
        <f t="shared" ca="1" si="43"/>
        <v>1.000000000000002</v>
      </c>
      <c r="S75" s="16">
        <f t="shared" ca="1" si="20"/>
        <v>1.3864858929760551</v>
      </c>
      <c r="T75" s="16">
        <f t="shared" ca="1" si="29"/>
        <v>0.39594335133682562</v>
      </c>
      <c r="U75" s="16">
        <f t="shared" ca="1" si="30"/>
        <v>0.12613253461566293</v>
      </c>
      <c r="V75" s="16">
        <f t="shared" ca="1" si="31"/>
        <v>0.52013065519947377</v>
      </c>
      <c r="W75" s="16">
        <f t="shared" ca="1" si="32"/>
        <v>1.9497680996812328</v>
      </c>
      <c r="X75" s="16">
        <f t="shared" ca="1" si="33"/>
        <v>5.1291391971778024</v>
      </c>
      <c r="Y75" s="16">
        <f t="shared" ca="1" si="34"/>
        <v>4.6020882585942617</v>
      </c>
      <c r="Z75" s="16">
        <f t="shared" ca="1" si="58"/>
        <v>0</v>
      </c>
      <c r="AA75" s="16">
        <f t="shared" ca="1" si="35"/>
        <v>24.564064272786105</v>
      </c>
      <c r="AB75" s="16">
        <f t="shared" ca="1" si="36"/>
        <v>5.691210457284039</v>
      </c>
      <c r="AC75" s="16">
        <f t="shared" ca="1" si="37"/>
        <v>0.69425375334451966</v>
      </c>
      <c r="AD75" s="16">
        <f t="shared" ca="1" si="38"/>
        <v>0</v>
      </c>
      <c r="AF75" s="16">
        <f t="shared" ca="1" si="41"/>
        <v>0.9370924308022639</v>
      </c>
      <c r="AG75" s="16">
        <f t="shared" ca="1" si="59"/>
        <v>1.0834190749306571E-3</v>
      </c>
      <c r="AH75" s="16">
        <f t="shared" ca="1" si="42"/>
        <v>1.0834190749306571E-3</v>
      </c>
      <c r="AI75" s="16">
        <f t="shared" ca="1" si="25"/>
        <v>1.2301320746608501E-3</v>
      </c>
      <c r="AJ75" s="16">
        <f t="shared" ca="1" si="44"/>
        <v>2.0481485067835861E-3</v>
      </c>
      <c r="AK75" s="16">
        <f t="shared" ca="1" si="45"/>
        <v>4.278308167898297E-4</v>
      </c>
      <c r="AL75" s="16">
        <f t="shared" ca="1" si="60"/>
        <v>9.419048167880618E-4</v>
      </c>
      <c r="AM75" s="16">
        <f t="shared" ca="1" si="61"/>
        <v>4.6807675458944761E-3</v>
      </c>
    </row>
    <row r="76" spans="1:39" ht="16.5" x14ac:dyDescent="0.3">
      <c r="A76"/>
      <c r="B76" s="36">
        <f t="shared" si="39"/>
        <v>50</v>
      </c>
      <c r="C76" s="36">
        <f t="shared" si="39"/>
        <v>50</v>
      </c>
      <c r="D76" s="36">
        <f t="shared" si="6"/>
        <v>0.1</v>
      </c>
      <c r="E76" s="14">
        <f t="shared" ca="1" si="46"/>
        <v>1.3532389758595973E-4</v>
      </c>
      <c r="F76" s="14">
        <f t="shared" ca="1" si="47"/>
        <v>1.2027130802257495E-4</v>
      </c>
      <c r="G76" s="14">
        <f t="shared" ca="1" si="48"/>
        <v>3.8313436963150326E-5</v>
      </c>
      <c r="H76" s="14">
        <f t="shared" ca="1" si="49"/>
        <v>2.0101725057087753E-4</v>
      </c>
      <c r="I76" s="14">
        <f t="shared" ca="1" si="50"/>
        <v>8.0053548726683442E-4</v>
      </c>
      <c r="J76" s="14">
        <f t="shared" ca="1" si="51"/>
        <v>2.1896250201754951E-3</v>
      </c>
      <c r="K76" s="14">
        <f t="shared" ca="1" si="52"/>
        <v>1.838686187217681E-3</v>
      </c>
      <c r="L76" s="14">
        <f t="shared" ca="1" si="53"/>
        <v>0.90295444840371308</v>
      </c>
      <c r="M76" s="14">
        <f t="shared" ca="1" si="54"/>
        <v>5.5391080030134307E-2</v>
      </c>
      <c r="N76" s="14">
        <f t="shared" ca="1" si="55"/>
        <v>4.7353334025221107E-3</v>
      </c>
      <c r="O76" s="14">
        <f t="shared" ca="1" si="56"/>
        <v>3.7657290088853337E-3</v>
      </c>
      <c r="P76" s="14">
        <f t="shared" ca="1" si="57"/>
        <v>2.7829636566944538E-2</v>
      </c>
      <c r="Q76"/>
      <c r="R76" s="44">
        <f t="shared" ca="1" si="43"/>
        <v>1.000000000000002</v>
      </c>
      <c r="S76" s="16">
        <f t="shared" ca="1" si="20"/>
        <v>1.3862647730654507</v>
      </c>
      <c r="T76" s="16">
        <f t="shared" ca="1" si="29"/>
        <v>0.39587772984854258</v>
      </c>
      <c r="U76" s="16">
        <f t="shared" ca="1" si="30"/>
        <v>0.12611065435725649</v>
      </c>
      <c r="V76" s="16">
        <f t="shared" ca="1" si="31"/>
        <v>0.51311068667498294</v>
      </c>
      <c r="W76" s="16">
        <f t="shared" ca="1" si="32"/>
        <v>1.8401414489790888</v>
      </c>
      <c r="X76" s="16">
        <f t="shared" ca="1" si="33"/>
        <v>4.9672924697171705</v>
      </c>
      <c r="Y76" s="16">
        <f t="shared" ca="1" si="34"/>
        <v>4.4202046173251315</v>
      </c>
      <c r="Z76" s="16">
        <f t="shared" ca="1" si="58"/>
        <v>0</v>
      </c>
      <c r="AA76" s="16">
        <f t="shared" ca="1" si="35"/>
        <v>23.708102664760048</v>
      </c>
      <c r="AB76" s="16">
        <f t="shared" ca="1" si="36"/>
        <v>5.6915361155587041</v>
      </c>
      <c r="AC76" s="16">
        <f t="shared" ca="1" si="37"/>
        <v>0.69429347942409214</v>
      </c>
      <c r="AD76" s="16">
        <f t="shared" ca="1" si="38"/>
        <v>0</v>
      </c>
      <c r="AF76" s="16">
        <f t="shared" ca="1" si="41"/>
        <v>0.93928514738206514</v>
      </c>
      <c r="AG76" s="16">
        <f t="shared" ca="1" si="59"/>
        <v>1.0832289546938625E-3</v>
      </c>
      <c r="AH76" s="16">
        <f t="shared" ca="1" si="42"/>
        <v>1.0832289546938625E-3</v>
      </c>
      <c r="AI76" s="16">
        <f t="shared" ca="1" si="25"/>
        <v>1.2299162089753229E-3</v>
      </c>
      <c r="AJ76" s="16">
        <f t="shared" ca="1" si="44"/>
        <v>2.0477890941720577E-3</v>
      </c>
      <c r="AK76" s="16">
        <f t="shared" ca="1" si="45"/>
        <v>4.27755740304582E-4</v>
      </c>
      <c r="AL76" s="16">
        <f t="shared" ca="1" si="60"/>
        <v>9.1693802956519877E-4</v>
      </c>
      <c r="AM76" s="16">
        <f t="shared" ca="1" si="61"/>
        <v>4.5041421436432536E-3</v>
      </c>
    </row>
    <row r="77" spans="1:39" ht="16.5" x14ac:dyDescent="0.3">
      <c r="A77"/>
      <c r="B77" s="36">
        <f t="shared" si="39"/>
        <v>51</v>
      </c>
      <c r="C77" s="36">
        <f t="shared" si="39"/>
        <v>51</v>
      </c>
      <c r="D77" s="36">
        <f t="shared" si="6"/>
        <v>0.1</v>
      </c>
      <c r="E77" s="14">
        <f t="shared" ca="1" si="46"/>
        <v>1.3530283859176175E-4</v>
      </c>
      <c r="F77" s="14">
        <f t="shared" ca="1" si="47"/>
        <v>1.2025212421354518E-4</v>
      </c>
      <c r="G77" s="14">
        <f t="shared" ca="1" si="48"/>
        <v>3.8307054641098881E-5</v>
      </c>
      <c r="H77" s="14">
        <f t="shared" ca="1" si="49"/>
        <v>1.9843777948912492E-4</v>
      </c>
      <c r="I77" s="14">
        <f t="shared" ca="1" si="50"/>
        <v>7.5561523328993333E-4</v>
      </c>
      <c r="J77" s="14">
        <f t="shared" ca="1" si="51"/>
        <v>2.1205234577034958E-3</v>
      </c>
      <c r="K77" s="14">
        <f t="shared" ca="1" si="52"/>
        <v>1.7732156973328304E-3</v>
      </c>
      <c r="L77" s="14">
        <f t="shared" ca="1" si="53"/>
        <v>0.90491512517959471</v>
      </c>
      <c r="M77" s="14">
        <f t="shared" ca="1" si="54"/>
        <v>5.3466085131579119E-2</v>
      </c>
      <c r="N77" s="14">
        <f t="shared" ca="1" si="55"/>
        <v>4.7789934506577824E-3</v>
      </c>
      <c r="O77" s="14">
        <f t="shared" ca="1" si="56"/>
        <v>3.7833440614618435E-3</v>
      </c>
      <c r="P77" s="14">
        <f t="shared" ca="1" si="57"/>
        <v>2.791479799144668E-2</v>
      </c>
      <c r="Q77"/>
      <c r="R77" s="44">
        <f t="shared" ca="1" si="43"/>
        <v>1.000000000000002</v>
      </c>
      <c r="S77" s="16">
        <f t="shared" ca="1" si="20"/>
        <v>1.3860490436759367</v>
      </c>
      <c r="T77" s="16">
        <f t="shared" ca="1" si="29"/>
        <v>0.39581377840788756</v>
      </c>
      <c r="U77" s="16">
        <f t="shared" ca="1" si="30"/>
        <v>0.12608936270115864</v>
      </c>
      <c r="V77" s="16">
        <f t="shared" ca="1" si="31"/>
        <v>0.5064131089088687</v>
      </c>
      <c r="W77" s="16">
        <f t="shared" ca="1" si="32"/>
        <v>1.7368124347984615</v>
      </c>
      <c r="X77" s="16">
        <f t="shared" ca="1" si="33"/>
        <v>4.8105362631773492</v>
      </c>
      <c r="Y77" s="16">
        <f t="shared" ca="1" si="34"/>
        <v>4.2571681562254611</v>
      </c>
      <c r="Z77" s="16">
        <f t="shared" ca="1" si="58"/>
        <v>0</v>
      </c>
      <c r="AA77" s="16">
        <f t="shared" ca="1" si="35"/>
        <v>22.883408974469589</v>
      </c>
      <c r="AB77" s="16">
        <f t="shared" ca="1" si="36"/>
        <v>5.6918011573633809</v>
      </c>
      <c r="AC77" s="16">
        <f t="shared" ca="1" si="37"/>
        <v>0.6943258110816668</v>
      </c>
      <c r="AD77" s="16">
        <f t="shared" ca="1" si="38"/>
        <v>0</v>
      </c>
      <c r="AF77" s="16">
        <f t="shared" ca="1" si="41"/>
        <v>0.94139226068316106</v>
      </c>
      <c r="AG77" s="16">
        <f t="shared" ca="1" si="59"/>
        <v>1.0830439769583245E-3</v>
      </c>
      <c r="AH77" s="16">
        <f t="shared" ca="1" si="42"/>
        <v>1.0830439769583245E-3</v>
      </c>
      <c r="AI77" s="16">
        <f t="shared" ca="1" si="25"/>
        <v>1.2297061821714308E-3</v>
      </c>
      <c r="AJ77" s="16">
        <f t="shared" ca="1" si="44"/>
        <v>2.0474394031968881E-3</v>
      </c>
      <c r="AK77" s="16">
        <f t="shared" ca="1" si="45"/>
        <v>4.2768269453908426E-4</v>
      </c>
      <c r="AL77" s="16">
        <f t="shared" ca="1" si="60"/>
        <v>8.9302916259848572E-4</v>
      </c>
      <c r="AM77" s="16">
        <f t="shared" ca="1" si="61"/>
        <v>4.3396842239336961E-3</v>
      </c>
    </row>
    <row r="78" spans="1:39" ht="16.5" x14ac:dyDescent="0.3">
      <c r="A78"/>
      <c r="B78" s="36">
        <f t="shared" si="39"/>
        <v>52</v>
      </c>
      <c r="C78" s="36">
        <f t="shared" si="39"/>
        <v>52</v>
      </c>
      <c r="D78" s="36">
        <f t="shared" si="6"/>
        <v>0.1</v>
      </c>
      <c r="E78" s="14">
        <f t="shared" ca="1" si="46"/>
        <v>1.3528227841571848E-4</v>
      </c>
      <c r="F78" s="14">
        <f t="shared" ca="1" si="47"/>
        <v>1.2023340814800542E-4</v>
      </c>
      <c r="G78" s="14">
        <f t="shared" ca="1" si="48"/>
        <v>3.830083634924854E-5</v>
      </c>
      <c r="H78" s="14">
        <f t="shared" ca="1" si="49"/>
        <v>1.9597644772122665E-4</v>
      </c>
      <c r="I78" s="14">
        <f t="shared" ca="1" si="50"/>
        <v>7.1328150551024962E-4</v>
      </c>
      <c r="J78" s="14">
        <f t="shared" ca="1" si="51"/>
        <v>2.0536040392572482E-3</v>
      </c>
      <c r="K78" s="14">
        <f t="shared" ca="1" si="52"/>
        <v>1.7141026593695671E-3</v>
      </c>
      <c r="L78" s="14">
        <f t="shared" ca="1" si="53"/>
        <v>0.90679730303743444</v>
      </c>
      <c r="M78" s="14">
        <f t="shared" ca="1" si="54"/>
        <v>5.1611712895422129E-2</v>
      </c>
      <c r="N78" s="14">
        <f t="shared" ca="1" si="55"/>
        <v>4.8208400199379001E-3</v>
      </c>
      <c r="O78" s="14">
        <f t="shared" ca="1" si="56"/>
        <v>3.799793926694162E-3</v>
      </c>
      <c r="P78" s="14">
        <f t="shared" ca="1" si="57"/>
        <v>2.7999568945742011E-2</v>
      </c>
      <c r="Q78"/>
      <c r="R78" s="44">
        <f t="shared" ca="1" si="43"/>
        <v>1.0000000000000018</v>
      </c>
      <c r="S78" s="16">
        <f t="shared" ca="1" si="20"/>
        <v>1.3858384242045407</v>
      </c>
      <c r="T78" s="16">
        <f t="shared" ca="1" si="29"/>
        <v>0.39575140904780032</v>
      </c>
      <c r="U78" s="16">
        <f t="shared" ca="1" si="30"/>
        <v>0.12606862668990038</v>
      </c>
      <c r="V78" s="16">
        <f t="shared" ca="1" si="31"/>
        <v>0.50002258068819538</v>
      </c>
      <c r="W78" s="16">
        <f t="shared" ca="1" si="32"/>
        <v>1.6394286798069817</v>
      </c>
      <c r="X78" s="16">
        <f t="shared" ca="1" si="33"/>
        <v>4.6587238918359848</v>
      </c>
      <c r="Y78" s="16">
        <f t="shared" ca="1" si="34"/>
        <v>4.1103277811272809</v>
      </c>
      <c r="Z78" s="16">
        <f t="shared" ca="1" si="58"/>
        <v>0</v>
      </c>
      <c r="AA78" s="16">
        <f t="shared" ca="1" si="35"/>
        <v>22.088929312246069</v>
      </c>
      <c r="AB78" s="16">
        <f t="shared" ca="1" si="36"/>
        <v>5.6920130789977357</v>
      </c>
      <c r="AC78" s="16">
        <f t="shared" ca="1" si="37"/>
        <v>0.69435166276843407</v>
      </c>
      <c r="AD78" s="16">
        <f t="shared" ca="1" si="38"/>
        <v>0</v>
      </c>
      <c r="AF78" s="16">
        <f t="shared" ca="1" si="41"/>
        <v>0.94341750592980844</v>
      </c>
      <c r="AG78" s="16">
        <f t="shared" ca="1" si="59"/>
        <v>1.0828638648039367E-3</v>
      </c>
      <c r="AH78" s="16">
        <f t="shared" ca="1" si="42"/>
        <v>1.0828638648039367E-3</v>
      </c>
      <c r="AI78" s="16">
        <f t="shared" ca="1" si="25"/>
        <v>1.2295016798294697E-3</v>
      </c>
      <c r="AJ78" s="16">
        <f t="shared" ca="1" si="44"/>
        <v>2.0470989103547376E-3</v>
      </c>
      <c r="AK78" s="16">
        <f t="shared" ca="1" si="45"/>
        <v>4.2761157014049417E-4</v>
      </c>
      <c r="AL78" s="16">
        <f t="shared" ca="1" si="60"/>
        <v>8.701313695596007E-4</v>
      </c>
      <c r="AM78" s="16">
        <f t="shared" ca="1" si="61"/>
        <v>4.1860863104569261E-3</v>
      </c>
    </row>
    <row r="79" spans="1:39" ht="16.5" x14ac:dyDescent="0.3">
      <c r="A79"/>
      <c r="B79" s="36">
        <f t="shared" si="39"/>
        <v>53</v>
      </c>
      <c r="C79" s="36">
        <f t="shared" si="39"/>
        <v>53</v>
      </c>
      <c r="D79" s="36">
        <f t="shared" si="6"/>
        <v>0.1</v>
      </c>
      <c r="E79" s="14">
        <f t="shared" ca="1" si="46"/>
        <v>1.3526219127564361E-4</v>
      </c>
      <c r="F79" s="14">
        <f t="shared" ca="1" si="47"/>
        <v>1.2021513547655565E-4</v>
      </c>
      <c r="G79" s="14">
        <f t="shared" ca="1" si="48"/>
        <v>3.8294773212738814E-5</v>
      </c>
      <c r="H79" s="14">
        <f t="shared" ca="1" si="49"/>
        <v>1.936275939347784E-4</v>
      </c>
      <c r="I79" s="14">
        <f t="shared" ca="1" si="50"/>
        <v>6.7338841967610834E-4</v>
      </c>
      <c r="J79" s="14">
        <f t="shared" ca="1" si="51"/>
        <v>1.9888024950034809E-3</v>
      </c>
      <c r="K79" s="14">
        <f t="shared" ca="1" si="52"/>
        <v>1.6604844224755394E-3</v>
      </c>
      <c r="L79" s="14">
        <f t="shared" ca="1" si="53"/>
        <v>0.90860431918718576</v>
      </c>
      <c r="M79" s="14">
        <f t="shared" ca="1" si="54"/>
        <v>4.9825531655418358E-2</v>
      </c>
      <c r="N79" s="14">
        <f t="shared" ca="1" si="55"/>
        <v>4.8609468255200877E-3</v>
      </c>
      <c r="O79" s="14">
        <f t="shared" ca="1" si="56"/>
        <v>3.8151541311050299E-3</v>
      </c>
      <c r="P79" s="14">
        <f t="shared" ca="1" si="57"/>
        <v>2.8083973169717918E-2</v>
      </c>
      <c r="Q79"/>
      <c r="R79" s="44">
        <f t="shared" ca="1" si="43"/>
        <v>1.000000000000002</v>
      </c>
      <c r="S79" s="16">
        <f t="shared" ca="1" si="20"/>
        <v>1.3856326505372567</v>
      </c>
      <c r="T79" s="16">
        <f t="shared" ca="1" si="29"/>
        <v>0.39569053908760454</v>
      </c>
      <c r="U79" s="16">
        <f t="shared" ca="1" si="30"/>
        <v>0.12604841594154106</v>
      </c>
      <c r="V79" s="16">
        <f t="shared" ca="1" si="31"/>
        <v>0.49392441984981694</v>
      </c>
      <c r="W79" s="16">
        <f t="shared" ca="1" si="32"/>
        <v>1.5476557233241739</v>
      </c>
      <c r="X79" s="16">
        <f t="shared" ca="1" si="33"/>
        <v>4.5117107504230773</v>
      </c>
      <c r="Y79" s="16">
        <f t="shared" ca="1" si="34"/>
        <v>3.9774570640167348</v>
      </c>
      <c r="Z79" s="16">
        <f t="shared" ca="1" si="58"/>
        <v>0</v>
      </c>
      <c r="AA79" s="16">
        <f t="shared" ca="1" si="35"/>
        <v>21.323630363254935</v>
      </c>
      <c r="AB79" s="16">
        <f t="shared" ca="1" si="36"/>
        <v>5.6921782220124326</v>
      </c>
      <c r="AC79" s="16">
        <f t="shared" ca="1" si="37"/>
        <v>0.69437180807120347</v>
      </c>
      <c r="AD79" s="16">
        <f t="shared" ca="1" si="38"/>
        <v>0</v>
      </c>
      <c r="AF79" s="16">
        <f t="shared" ca="1" si="41"/>
        <v>0.94536439331352873</v>
      </c>
      <c r="AG79" s="16">
        <f t="shared" ca="1" si="59"/>
        <v>1.0826883586950104E-3</v>
      </c>
      <c r="AH79" s="16">
        <f t="shared" ca="1" si="42"/>
        <v>1.0826883586950104E-3</v>
      </c>
      <c r="AI79" s="16">
        <f t="shared" ca="1" si="25"/>
        <v>1.2293024072682929E-3</v>
      </c>
      <c r="AJ79" s="16">
        <f t="shared" ca="1" si="44"/>
        <v>2.0467671250066241E-3</v>
      </c>
      <c r="AK79" s="16">
        <f t="shared" ca="1" si="45"/>
        <v>4.2754226462089328E-4</v>
      </c>
      <c r="AL79" s="16">
        <f t="shared" ca="1" si="60"/>
        <v>8.4819969962288805E-4</v>
      </c>
      <c r="AM79" s="16">
        <f t="shared" ca="1" si="61"/>
        <v>4.042228403290167E-3</v>
      </c>
    </row>
    <row r="80" spans="1:39" ht="16.5" x14ac:dyDescent="0.3">
      <c r="A80"/>
      <c r="B80" s="36">
        <f t="shared" si="39"/>
        <v>54</v>
      </c>
      <c r="C80" s="36">
        <f t="shared" si="39"/>
        <v>54</v>
      </c>
      <c r="D80" s="36">
        <f t="shared" si="6"/>
        <v>0.1</v>
      </c>
      <c r="E80" s="14">
        <f t="shared" ca="1" si="46"/>
        <v>1.3524255288447577E-4</v>
      </c>
      <c r="F80" s="14">
        <f t="shared" ca="1" si="47"/>
        <v>1.2019728328074989E-4</v>
      </c>
      <c r="G80" s="14">
        <f t="shared" ca="1" si="48"/>
        <v>3.828885696940885E-5</v>
      </c>
      <c r="H80" s="14">
        <f t="shared" ca="1" si="49"/>
        <v>1.9138581069222442E-4</v>
      </c>
      <c r="I80" s="14">
        <f t="shared" ca="1" si="50"/>
        <v>6.3579771963710187E-4</v>
      </c>
      <c r="J80" s="14">
        <f t="shared" ca="1" si="51"/>
        <v>1.926055721372333E-3</v>
      </c>
      <c r="K80" s="14">
        <f t="shared" ca="1" si="52"/>
        <v>1.6116346304379638E-3</v>
      </c>
      <c r="L80" s="14">
        <f t="shared" ca="1" si="53"/>
        <v>0.91033931836526227</v>
      </c>
      <c r="M80" s="14">
        <f t="shared" ca="1" si="54"/>
        <v>4.8105166781905809E-2</v>
      </c>
      <c r="N80" s="14">
        <f t="shared" ca="1" si="55"/>
        <v>4.8993847335601741E-3</v>
      </c>
      <c r="O80" s="14">
        <f t="shared" ca="1" si="56"/>
        <v>3.8294954164613303E-3</v>
      </c>
      <c r="P80" s="14">
        <f t="shared" ca="1" si="57"/>
        <v>2.8168032127538239E-2</v>
      </c>
      <c r="Q80"/>
      <c r="R80" s="44">
        <f t="shared" ca="1" si="43"/>
        <v>1.0000000000000022</v>
      </c>
      <c r="S80" s="16">
        <f t="shared" ca="1" si="20"/>
        <v>1.3854314738762139</v>
      </c>
      <c r="T80" s="16">
        <f t="shared" ca="1" si="29"/>
        <v>0.39563109074167851</v>
      </c>
      <c r="U80" s="16">
        <f t="shared" ca="1" si="30"/>
        <v>0.12602870225479859</v>
      </c>
      <c r="V80" s="16">
        <f t="shared" ca="1" si="31"/>
        <v>0.4881045938499291</v>
      </c>
      <c r="W80" s="16">
        <f t="shared" ca="1" si="32"/>
        <v>1.4611764375956067</v>
      </c>
      <c r="X80" s="16">
        <f t="shared" ca="1" si="33"/>
        <v>4.3693546780878165</v>
      </c>
      <c r="Y80" s="16">
        <f t="shared" ca="1" si="34"/>
        <v>3.8566831217165007</v>
      </c>
      <c r="Z80" s="16">
        <f t="shared" ca="1" si="58"/>
        <v>0</v>
      </c>
      <c r="AA80" s="16">
        <f t="shared" ca="1" si="35"/>
        <v>20.586501772002098</v>
      </c>
      <c r="AB80" s="16">
        <f t="shared" ca="1" si="36"/>
        <v>5.6923019646082835</v>
      </c>
      <c r="AC80" s="16">
        <f t="shared" ca="1" si="37"/>
        <v>0.69438690306061912</v>
      </c>
      <c r="AD80" s="16">
        <f t="shared" ca="1" si="38"/>
        <v>0</v>
      </c>
      <c r="AF80" s="16">
        <f t="shared" ca="1" si="41"/>
        <v>0.94723623064282214</v>
      </c>
      <c r="AG80" s="16">
        <f t="shared" ca="1" si="59"/>
        <v>1.0825172150938259E-3</v>
      </c>
      <c r="AH80" s="16">
        <f t="shared" ca="1" si="42"/>
        <v>1.0825172150938259E-3</v>
      </c>
      <c r="AI80" s="16">
        <f t="shared" ca="1" si="25"/>
        <v>1.2291080879711146E-3</v>
      </c>
      <c r="AJ80" s="16">
        <f t="shared" ca="1" si="44"/>
        <v>2.046443586756908E-3</v>
      </c>
      <c r="AK80" s="16">
        <f t="shared" ca="1" si="45"/>
        <v>4.2747468180979331E-4</v>
      </c>
      <c r="AL80" s="16">
        <f t="shared" ca="1" si="60"/>
        <v>8.2719107555917124E-4</v>
      </c>
      <c r="AM80" s="16">
        <f t="shared" ca="1" si="61"/>
        <v>3.9071477276053802E-3</v>
      </c>
    </row>
    <row r="81" spans="1:39" ht="16.5" x14ac:dyDescent="0.3">
      <c r="A81"/>
      <c r="B81" s="36">
        <f t="shared" si="39"/>
        <v>55</v>
      </c>
      <c r="C81" s="36">
        <f t="shared" si="39"/>
        <v>55</v>
      </c>
      <c r="D81" s="36">
        <f t="shared" si="6"/>
        <v>0.2</v>
      </c>
      <c r="E81" s="14">
        <f t="shared" ca="1" si="46"/>
        <v>1.3522334034646809E-4</v>
      </c>
      <c r="F81" s="14">
        <f t="shared" ca="1" si="47"/>
        <v>1.2017982997129941E-4</v>
      </c>
      <c r="G81" s="14">
        <f t="shared" ca="1" si="48"/>
        <v>3.8283079896210232E-5</v>
      </c>
      <c r="H81" s="14">
        <f t="shared" ca="1" si="49"/>
        <v>1.8924593844875848E-4</v>
      </c>
      <c r="I81" s="14">
        <f t="shared" ca="1" si="50"/>
        <v>6.0037848718782246E-4</v>
      </c>
      <c r="J81" s="14">
        <f t="shared" ca="1" si="51"/>
        <v>1.8653018894305847E-3</v>
      </c>
      <c r="K81" s="14">
        <f t="shared" ca="1" si="52"/>
        <v>1.5669405015148652E-3</v>
      </c>
      <c r="L81" s="14">
        <f t="shared" ca="1" si="53"/>
        <v>0.91200527155056266</v>
      </c>
      <c r="M81" s="14">
        <f t="shared" ca="1" si="54"/>
        <v>4.6448304201364525E-2</v>
      </c>
      <c r="N81" s="14">
        <f t="shared" ca="1" si="55"/>
        <v>4.9362218460309668E-3</v>
      </c>
      <c r="O81" s="14">
        <f t="shared" ca="1" si="56"/>
        <v>3.8428840209969958E-3</v>
      </c>
      <c r="P81" s="14">
        <f t="shared" ca="1" si="57"/>
        <v>2.8251765314251064E-2</v>
      </c>
      <c r="Q81"/>
      <c r="R81" s="44">
        <f t="shared" ca="1" si="43"/>
        <v>1.000000000000002</v>
      </c>
      <c r="S81" s="16">
        <f t="shared" ca="1" si="20"/>
        <v>1.3852346596762364</v>
      </c>
      <c r="T81" s="16">
        <f t="shared" ca="1" si="29"/>
        <v>0.39557299076653613</v>
      </c>
      <c r="U81" s="16">
        <f t="shared" ca="1" si="30"/>
        <v>0.12600945932385305</v>
      </c>
      <c r="V81" s="16">
        <f t="shared" ca="1" si="31"/>
        <v>0.48254970629097249</v>
      </c>
      <c r="W81" s="16">
        <f t="shared" ca="1" si="32"/>
        <v>1.3796903984000701</v>
      </c>
      <c r="X81" s="16">
        <f t="shared" ca="1" si="33"/>
        <v>4.2315162382563569</v>
      </c>
      <c r="Y81" s="16">
        <f t="shared" ca="1" si="34"/>
        <v>3.7464275792762023</v>
      </c>
      <c r="Z81" s="16">
        <f t="shared" ca="1" si="58"/>
        <v>0</v>
      </c>
      <c r="AA81" s="16">
        <f t="shared" ca="1" si="35"/>
        <v>19.876557902748171</v>
      </c>
      <c r="AB81" s="16">
        <f t="shared" ca="1" si="36"/>
        <v>5.6923888805996254</v>
      </c>
      <c r="AC81" s="16">
        <f t="shared" ca="1" si="37"/>
        <v>0.69439750568262282</v>
      </c>
      <c r="AD81" s="16">
        <f t="shared" ca="1" si="38"/>
        <v>0</v>
      </c>
      <c r="AF81" s="16">
        <f t="shared" ca="1" si="41"/>
        <v>0.94903614273184167</v>
      </c>
      <c r="AG81" s="16">
        <f t="shared" ca="1" si="59"/>
        <v>1.0823502052224802E-3</v>
      </c>
      <c r="AH81" s="16">
        <f t="shared" ca="1" si="42"/>
        <v>1.0823502052224802E-3</v>
      </c>
      <c r="AI81" s="16">
        <f t="shared" ca="1" si="25"/>
        <v>1.2289184621796909E-3</v>
      </c>
      <c r="AJ81" s="16">
        <f t="shared" ca="1" si="44"/>
        <v>2.0461278631126326E-3</v>
      </c>
      <c r="AK81" s="16">
        <f t="shared" ca="1" si="45"/>
        <v>4.2740873136520261E-4</v>
      </c>
      <c r="AL81" s="16">
        <f t="shared" ca="1" si="60"/>
        <v>8.0706425968119335E-4</v>
      </c>
      <c r="AM81" s="16">
        <f t="shared" ca="1" si="61"/>
        <v>3.7800135613539399E-3</v>
      </c>
    </row>
    <row r="82" spans="1:39" ht="16.5" x14ac:dyDescent="0.3">
      <c r="A82"/>
      <c r="B82" s="36">
        <f t="shared" si="39"/>
        <v>56</v>
      </c>
      <c r="C82" s="36">
        <f t="shared" si="39"/>
        <v>56</v>
      </c>
      <c r="D82" s="36">
        <f t="shared" si="6"/>
        <v>0.2</v>
      </c>
      <c r="E82" s="14">
        <f t="shared" ca="1" si="46"/>
        <v>1.3520453206274674E-4</v>
      </c>
      <c r="F82" s="14">
        <f t="shared" ca="1" si="47"/>
        <v>1.2016275519577264E-4</v>
      </c>
      <c r="G82" s="14">
        <f t="shared" ca="1" si="48"/>
        <v>3.8277434752780115E-5</v>
      </c>
      <c r="H82" s="14">
        <f t="shared" ca="1" si="49"/>
        <v>1.8720305852888447E-4</v>
      </c>
      <c r="I82" s="14">
        <f t="shared" ca="1" si="50"/>
        <v>5.6700684203821953E-4</v>
      </c>
      <c r="J82" s="14">
        <f t="shared" ca="1" si="51"/>
        <v>1.8064805253467499E-3</v>
      </c>
      <c r="K82" s="14">
        <f t="shared" ca="1" si="52"/>
        <v>1.5258839628777832E-3</v>
      </c>
      <c r="L82" s="14">
        <f t="shared" ca="1" si="53"/>
        <v>0.91360499201202183</v>
      </c>
      <c r="M82" s="14">
        <f t="shared" ca="1" si="54"/>
        <v>4.4852692827389795E-2</v>
      </c>
      <c r="N82" s="14">
        <f t="shared" ca="1" si="55"/>
        <v>4.9715235875997009E-3</v>
      </c>
      <c r="O82" s="14">
        <f t="shared" ca="1" si="56"/>
        <v>3.8553819481117941E-3</v>
      </c>
      <c r="P82" s="14">
        <f t="shared" ca="1" si="57"/>
        <v>2.8335190514076191E-2</v>
      </c>
      <c r="Q82"/>
      <c r="R82" s="44">
        <f t="shared" ca="1" si="43"/>
        <v>1.0000000000000022</v>
      </c>
      <c r="S82" s="16">
        <f t="shared" ca="1" si="20"/>
        <v>1.3850419866773807</v>
      </c>
      <c r="T82" s="16">
        <f t="shared" ca="1" si="29"/>
        <v>0.3955161701414146</v>
      </c>
      <c r="U82" s="16">
        <f t="shared" ca="1" si="30"/>
        <v>0.12599066252439123</v>
      </c>
      <c r="V82" s="16">
        <f t="shared" ca="1" si="31"/>
        <v>0.4772469804083766</v>
      </c>
      <c r="W82" s="16">
        <f t="shared" ca="1" si="32"/>
        <v>1.3029132263458807</v>
      </c>
      <c r="X82" s="16">
        <f t="shared" ca="1" si="33"/>
        <v>4.0980589293933747</v>
      </c>
      <c r="Y82" s="16">
        <f t="shared" ca="1" si="34"/>
        <v>3.6453575549563957</v>
      </c>
      <c r="Z82" s="16">
        <f t="shared" ca="1" si="58"/>
        <v>0</v>
      </c>
      <c r="AA82" s="16">
        <f t="shared" ca="1" si="35"/>
        <v>19.192839090399591</v>
      </c>
      <c r="AB82" s="16">
        <f t="shared" ca="1" si="36"/>
        <v>5.6924428714757331</v>
      </c>
      <c r="AC82" s="16">
        <f t="shared" ca="1" si="37"/>
        <v>0.69440409186822594</v>
      </c>
      <c r="AD82" s="16">
        <f t="shared" ca="1" si="38"/>
        <v>0</v>
      </c>
      <c r="AF82" s="16">
        <f t="shared" ca="1" si="41"/>
        <v>0.95076708806180943</v>
      </c>
      <c r="AG82" s="16">
        <f t="shared" ca="1" si="59"/>
        <v>1.0821871139528869E-3</v>
      </c>
      <c r="AH82" s="16">
        <f t="shared" ca="1" si="42"/>
        <v>1.0821871139528869E-3</v>
      </c>
      <c r="AI82" s="16">
        <f t="shared" ca="1" si="25"/>
        <v>1.2287332856340068E-3</v>
      </c>
      <c r="AJ82" s="16">
        <f t="shared" ca="1" si="44"/>
        <v>2.0458195473851211E-3</v>
      </c>
      <c r="AK82" s="16">
        <f t="shared" ca="1" si="45"/>
        <v>4.2734432833529853E-4</v>
      </c>
      <c r="AL82" s="16">
        <f t="shared" ca="1" si="60"/>
        <v>7.8777981058482816E-4</v>
      </c>
      <c r="AM82" s="16">
        <f t="shared" ca="1" si="61"/>
        <v>3.6601062782146447E-3</v>
      </c>
    </row>
    <row r="83" spans="1:39" ht="16.5" x14ac:dyDescent="0.3">
      <c r="A83"/>
      <c r="B83" s="36">
        <f t="shared" si="39"/>
        <v>57</v>
      </c>
      <c r="C83" s="36">
        <f t="shared" si="39"/>
        <v>57</v>
      </c>
      <c r="D83" s="36">
        <f t="shared" si="6"/>
        <v>0.2</v>
      </c>
      <c r="E83" s="14">
        <f t="shared" ca="1" si="46"/>
        <v>1.3518610764512334E-4</v>
      </c>
      <c r="F83" s="14">
        <f t="shared" ca="1" si="47"/>
        <v>1.2014603975462685E-4</v>
      </c>
      <c r="G83" s="14">
        <f t="shared" ca="1" si="48"/>
        <v>3.8271914736542853E-5</v>
      </c>
      <c r="H83" s="14">
        <f t="shared" ca="1" si="49"/>
        <v>1.8525248537035608E-4</v>
      </c>
      <c r="I83" s="14">
        <f t="shared" ca="1" si="50"/>
        <v>5.3556563709305355E-4</v>
      </c>
      <c r="J83" s="14">
        <f t="shared" ca="1" si="51"/>
        <v>1.7495325679913738E-3</v>
      </c>
      <c r="K83" s="14">
        <f t="shared" ca="1" si="52"/>
        <v>1.4880259819351515E-3</v>
      </c>
      <c r="L83" s="14">
        <f t="shared" ca="1" si="53"/>
        <v>0.91514114912431199</v>
      </c>
      <c r="M83" s="14">
        <f t="shared" ca="1" si="54"/>
        <v>4.3316146106883634E-2</v>
      </c>
      <c r="N83" s="14">
        <f t="shared" ca="1" si="55"/>
        <v>5.0053527935321491E-3</v>
      </c>
      <c r="O83" s="14">
        <f t="shared" ca="1" si="56"/>
        <v>3.8670472223275801E-3</v>
      </c>
      <c r="P83" s="14">
        <f t="shared" ca="1" si="57"/>
        <v>2.8418324018420742E-2</v>
      </c>
      <c r="Q83"/>
      <c r="R83" s="44">
        <f t="shared" ca="1" si="43"/>
        <v>1.0000000000000024</v>
      </c>
      <c r="S83" s="16">
        <f t="shared" ca="1" si="20"/>
        <v>1.3848532460220258</v>
      </c>
      <c r="T83" s="16">
        <f t="shared" ca="1" si="29"/>
        <v>0.39546056377820066</v>
      </c>
      <c r="U83" s="16">
        <f t="shared" ca="1" si="30"/>
        <v>0.125972288746862</v>
      </c>
      <c r="V83" s="16">
        <f t="shared" ca="1" si="31"/>
        <v>0.47218424033370127</v>
      </c>
      <c r="W83" s="16">
        <f t="shared" ca="1" si="32"/>
        <v>1.2305759119120654</v>
      </c>
      <c r="X83" s="16">
        <f t="shared" ca="1" si="33"/>
        <v>3.9688493390961952</v>
      </c>
      <c r="Y83" s="16">
        <f t="shared" ca="1" si="34"/>
        <v>3.5523449564537661</v>
      </c>
      <c r="Z83" s="16">
        <f t="shared" ca="1" si="58"/>
        <v>0</v>
      </c>
      <c r="AA83" s="16">
        <f t="shared" ca="1" si="35"/>
        <v>18.534412476568292</v>
      </c>
      <c r="AB83" s="16">
        <f t="shared" ca="1" si="36"/>
        <v>5.6924672761483661</v>
      </c>
      <c r="AC83" s="16">
        <f t="shared" ca="1" si="37"/>
        <v>0.69440706892129955</v>
      </c>
      <c r="AD83" s="16">
        <f t="shared" ca="1" si="38"/>
        <v>0</v>
      </c>
      <c r="AF83" s="16">
        <f t="shared" ca="1" si="41"/>
        <v>0.95243187315859246</v>
      </c>
      <c r="AG83" s="16">
        <f t="shared" ca="1" si="59"/>
        <v>1.0820277388078974E-3</v>
      </c>
      <c r="AH83" s="16">
        <f t="shared" ca="1" si="42"/>
        <v>1.0820277388078974E-3</v>
      </c>
      <c r="AI83" s="16">
        <f t="shared" ca="1" si="25"/>
        <v>1.2285523284381334E-3</v>
      </c>
      <c r="AJ83" s="16">
        <f t="shared" ca="1" si="44"/>
        <v>2.0455182568016512E-3</v>
      </c>
      <c r="AK83" s="16">
        <f t="shared" ca="1" si="45"/>
        <v>4.2728139276398117E-4</v>
      </c>
      <c r="AL83" s="16">
        <f t="shared" ca="1" si="60"/>
        <v>7.6930003308090097E-4</v>
      </c>
      <c r="AM83" s="16">
        <f t="shared" ca="1" si="61"/>
        <v>3.5467998895836817E-3</v>
      </c>
    </row>
    <row r="84" spans="1:39" ht="16.5" x14ac:dyDescent="0.3">
      <c r="A84"/>
      <c r="B84" s="36">
        <f t="shared" si="39"/>
        <v>58</v>
      </c>
      <c r="C84" s="36">
        <f t="shared" si="39"/>
        <v>58</v>
      </c>
      <c r="D84" s="36">
        <f t="shared" si="6"/>
        <v>0.2</v>
      </c>
      <c r="E84" s="14">
        <f t="shared" ca="1" si="46"/>
        <v>1.3516804783720652E-4</v>
      </c>
      <c r="F84" s="14">
        <f t="shared" ca="1" si="47"/>
        <v>1.2012966552457996E-4</v>
      </c>
      <c r="G84" s="14">
        <f t="shared" ca="1" si="48"/>
        <v>3.8266513445771816E-5</v>
      </c>
      <c r="H84" s="14">
        <f t="shared" ca="1" si="49"/>
        <v>1.8338975826890394E-4</v>
      </c>
      <c r="I84" s="14">
        <f t="shared" ca="1" si="50"/>
        <v>5.0594415313101615E-4</v>
      </c>
      <c r="J84" s="14">
        <f t="shared" ca="1" si="51"/>
        <v>1.6944004078462498E-3</v>
      </c>
      <c r="K84" s="14">
        <f t="shared" ca="1" si="52"/>
        <v>1.4529935492503684E-3</v>
      </c>
      <c r="L84" s="14">
        <f t="shared" ca="1" si="53"/>
        <v>0.91661628031434028</v>
      </c>
      <c r="M84" s="14">
        <f t="shared" ca="1" si="54"/>
        <v>4.1836542849778127E-2</v>
      </c>
      <c r="N84" s="14">
        <f t="shared" ca="1" si="55"/>
        <v>5.0377697977957384E-3</v>
      </c>
      <c r="O84" s="14">
        <f t="shared" ca="1" si="56"/>
        <v>3.8779341324778069E-3</v>
      </c>
      <c r="P84" s="14">
        <f t="shared" ca="1" si="57"/>
        <v>2.8501180810306326E-2</v>
      </c>
      <c r="Q84"/>
      <c r="R84" s="44">
        <f t="shared" ca="1" si="43"/>
        <v>1.0000000000000024</v>
      </c>
      <c r="S84" s="16">
        <f t="shared" ca="1" si="20"/>
        <v>1.3846682404467354</v>
      </c>
      <c r="T84" s="16">
        <f t="shared" ca="1" si="29"/>
        <v>0.3954061102571475</v>
      </c>
      <c r="U84" s="16">
        <f t="shared" ca="1" si="30"/>
        <v>0.1259543162618034</v>
      </c>
      <c r="V84" s="16">
        <f t="shared" ca="1" si="31"/>
        <v>0.46734989079610822</v>
      </c>
      <c r="W84" s="16">
        <f t="shared" ca="1" si="32"/>
        <v>1.1624241345840209</v>
      </c>
      <c r="X84" s="16">
        <f t="shared" ca="1" si="33"/>
        <v>3.8437572518085998</v>
      </c>
      <c r="Y84" s="16">
        <f t="shared" ca="1" si="34"/>
        <v>3.4664326704318129</v>
      </c>
      <c r="Z84" s="16">
        <f t="shared" ca="1" si="58"/>
        <v>0</v>
      </c>
      <c r="AA84" s="16">
        <f t="shared" ca="1" si="35"/>
        <v>17.900372509024653</v>
      </c>
      <c r="AB84" s="16">
        <f t="shared" ca="1" si="36"/>
        <v>5.6924649621891215</v>
      </c>
      <c r="AC84" s="16">
        <f t="shared" ca="1" si="37"/>
        <v>0.69440678664832645</v>
      </c>
      <c r="AD84" s="16">
        <f t="shared" ca="1" si="38"/>
        <v>0</v>
      </c>
      <c r="AF84" s="16">
        <f t="shared" ca="1" si="41"/>
        <v>0.95403316505492008</v>
      </c>
      <c r="AG84" s="16">
        <f t="shared" ca="1" si="59"/>
        <v>1.0818718890591443E-3</v>
      </c>
      <c r="AH84" s="16">
        <f t="shared" ca="1" si="42"/>
        <v>1.0818718890591443E-3</v>
      </c>
      <c r="AI84" s="16">
        <f t="shared" ca="1" si="25"/>
        <v>1.2283753740359032E-3</v>
      </c>
      <c r="AJ84" s="16">
        <f t="shared" ca="1" si="44"/>
        <v>2.0452236307999705E-3</v>
      </c>
      <c r="AK84" s="16">
        <f t="shared" ca="1" si="45"/>
        <v>4.2721984933462092E-4</v>
      </c>
      <c r="AL84" s="16">
        <f t="shared" ca="1" si="60"/>
        <v>7.5158892325842726E-4</v>
      </c>
      <c r="AM84" s="16">
        <f t="shared" ca="1" si="61"/>
        <v>3.4395474916567347E-3</v>
      </c>
    </row>
    <row r="85" spans="1:39" ht="16.5" x14ac:dyDescent="0.3">
      <c r="A85"/>
      <c r="B85" s="36">
        <f t="shared" si="39"/>
        <v>59</v>
      </c>
      <c r="C85" s="36">
        <f t="shared" si="39"/>
        <v>59</v>
      </c>
      <c r="D85" s="36">
        <f t="shared" si="6"/>
        <v>0.2</v>
      </c>
      <c r="E85" s="14">
        <f t="shared" ca="1" si="46"/>
        <v>1.3515033444199369E-4</v>
      </c>
      <c r="F85" s="14">
        <f t="shared" ca="1" si="47"/>
        <v>1.2011361538847315E-4</v>
      </c>
      <c r="G85" s="14">
        <f t="shared" ca="1" si="48"/>
        <v>3.8261224848323329E-5</v>
      </c>
      <c r="H85" s="14">
        <f t="shared" ca="1" si="49"/>
        <v>1.8161063281140529E-4</v>
      </c>
      <c r="I85" s="14">
        <f t="shared" ca="1" si="50"/>
        <v>4.7803779608108148E-4</v>
      </c>
      <c r="J85" s="14">
        <f t="shared" ca="1" si="51"/>
        <v>1.6410279106755508E-3</v>
      </c>
      <c r="K85" s="14">
        <f t="shared" ca="1" si="52"/>
        <v>1.4204688609783054E-3</v>
      </c>
      <c r="L85" s="14">
        <f t="shared" ca="1" si="53"/>
        <v>0.91803280143985189</v>
      </c>
      <c r="M85" s="14">
        <f t="shared" ca="1" si="54"/>
        <v>4.0411827481207578E-2</v>
      </c>
      <c r="N85" s="14">
        <f t="shared" ca="1" si="55"/>
        <v>5.0688325207022622E-3</v>
      </c>
      <c r="O85" s="14">
        <f t="shared" ca="1" si="56"/>
        <v>3.8880934622566826E-3</v>
      </c>
      <c r="P85" s="14">
        <f t="shared" ca="1" si="57"/>
        <v>2.8583774720758924E-2</v>
      </c>
      <c r="Q85"/>
      <c r="R85" s="44">
        <f t="shared" ca="1" si="43"/>
        <v>1.0000000000000024</v>
      </c>
      <c r="S85" s="16">
        <f t="shared" ca="1" si="20"/>
        <v>1.3844867835405053</v>
      </c>
      <c r="T85" s="16">
        <f t="shared" ca="1" si="29"/>
        <v>0.39535275158535216</v>
      </c>
      <c r="U85" s="16">
        <f t="shared" ca="1" si="30"/>
        <v>0.12593672460760325</v>
      </c>
      <c r="V85" s="16">
        <f t="shared" ca="1" si="31"/>
        <v>0.46273289579597282</v>
      </c>
      <c r="W85" s="16">
        <f t="shared" ca="1" si="32"/>
        <v>1.0982175842179009</v>
      </c>
      <c r="X85" s="16">
        <f t="shared" ca="1" si="33"/>
        <v>3.7226557186664615</v>
      </c>
      <c r="Y85" s="16">
        <f t="shared" ca="1" si="34"/>
        <v>3.3868064698160265</v>
      </c>
      <c r="Z85" s="16">
        <f t="shared" ca="1" si="58"/>
        <v>0</v>
      </c>
      <c r="AA85" s="16">
        <f t="shared" ca="1" si="35"/>
        <v>17.289841169128159</v>
      </c>
      <c r="AB85" s="16">
        <f t="shared" ca="1" si="36"/>
        <v>5.6924384017098282</v>
      </c>
      <c r="AC85" s="16">
        <f t="shared" ca="1" si="37"/>
        <v>0.69440354661484349</v>
      </c>
      <c r="AD85" s="16">
        <f t="shared" ca="1" si="38"/>
        <v>0</v>
      </c>
      <c r="AF85" s="16">
        <f t="shared" ca="1" si="41"/>
        <v>0.95557350214356973</v>
      </c>
      <c r="AG85" s="16">
        <f t="shared" ca="1" si="59"/>
        <v>1.0817193849093762E-3</v>
      </c>
      <c r="AH85" s="16">
        <f t="shared" ca="1" si="42"/>
        <v>1.0817193849093762E-3</v>
      </c>
      <c r="AI85" s="16">
        <f t="shared" ca="1" si="25"/>
        <v>1.2282022182825206E-3</v>
      </c>
      <c r="AJ85" s="16">
        <f t="shared" ca="1" si="44"/>
        <v>2.0449353294825453E-3</v>
      </c>
      <c r="AK85" s="16">
        <f t="shared" ca="1" si="45"/>
        <v>4.2715962704717111E-4</v>
      </c>
      <c r="AL85" s="16">
        <f t="shared" ca="1" si="60"/>
        <v>7.3461211024547838E-4</v>
      </c>
      <c r="AM85" s="16">
        <f t="shared" ca="1" si="61"/>
        <v>3.3378691250191368E-3</v>
      </c>
    </row>
    <row r="86" spans="1:39" ht="16.5" x14ac:dyDescent="0.3">
      <c r="A86"/>
      <c r="B86" s="36">
        <f t="shared" si="39"/>
        <v>60</v>
      </c>
      <c r="C86" s="36">
        <f t="shared" si="39"/>
        <v>60</v>
      </c>
      <c r="D86" s="36">
        <f t="shared" si="6"/>
        <v>0.2</v>
      </c>
      <c r="E86" s="14">
        <f t="shared" ca="1" si="46"/>
        <v>1.3513295025523891E-4</v>
      </c>
      <c r="F86" s="14">
        <f t="shared" ca="1" si="47"/>
        <v>1.2009787317089567E-4</v>
      </c>
      <c r="G86" s="14">
        <f t="shared" ca="1" si="48"/>
        <v>3.8256043254552901E-5</v>
      </c>
      <c r="H86" s="14">
        <f t="shared" ca="1" si="49"/>
        <v>1.7991107214741567E-4</v>
      </c>
      <c r="I86" s="14">
        <f t="shared" ca="1" si="50"/>
        <v>4.5174779936479914E-4</v>
      </c>
      <c r="J86" s="14">
        <f t="shared" ca="1" si="51"/>
        <v>1.5893604288145801E-3</v>
      </c>
      <c r="K86" s="14">
        <f t="shared" ca="1" si="52"/>
        <v>1.3901803260094889E-3</v>
      </c>
      <c r="L86" s="14">
        <f t="shared" ca="1" si="53"/>
        <v>0.91939301585057309</v>
      </c>
      <c r="M86" s="14">
        <f t="shared" ca="1" si="54"/>
        <v>3.9040009830700328E-2</v>
      </c>
      <c r="N86" s="14">
        <f t="shared" ca="1" si="55"/>
        <v>5.0985965555691553E-3</v>
      </c>
      <c r="O86" s="14">
        <f t="shared" ca="1" si="56"/>
        <v>3.8975727083694002E-3</v>
      </c>
      <c r="P86" s="14">
        <f t="shared" ca="1" si="57"/>
        <v>2.8666118561773559E-2</v>
      </c>
      <c r="Q86"/>
      <c r="R86" s="44">
        <f t="shared" ca="1" si="43"/>
        <v>1.0000000000000024</v>
      </c>
      <c r="S86" s="16">
        <f t="shared" ca="1" si="20"/>
        <v>1.38430869906218</v>
      </c>
      <c r="T86" s="16">
        <f t="shared" ca="1" si="29"/>
        <v>0.39530043297539691</v>
      </c>
      <c r="U86" s="16">
        <f t="shared" ca="1" si="30"/>
        <v>0.12591949449447673</v>
      </c>
      <c r="V86" s="16">
        <f t="shared" ca="1" si="31"/>
        <v>0.4583227566785949</v>
      </c>
      <c r="W86" s="16">
        <f t="shared" ca="1" si="32"/>
        <v>1.0377292909578339</v>
      </c>
      <c r="X86" s="16">
        <f t="shared" ca="1" si="33"/>
        <v>3.6054210965163009</v>
      </c>
      <c r="Y86" s="16">
        <f t="shared" ca="1" si="34"/>
        <v>3.3127716642431642</v>
      </c>
      <c r="Z86" s="16">
        <f t="shared" ca="1" si="58"/>
        <v>0</v>
      </c>
      <c r="AA86" s="16">
        <f t="shared" ca="1" si="35"/>
        <v>16.701967980522721</v>
      </c>
      <c r="AB86" s="16">
        <f t="shared" ca="1" si="36"/>
        <v>5.6923897345008339</v>
      </c>
      <c r="AC86" s="16">
        <f t="shared" ca="1" si="37"/>
        <v>0.69439760984747867</v>
      </c>
      <c r="AD86" s="16">
        <f t="shared" ca="1" si="38"/>
        <v>0</v>
      </c>
      <c r="AF86" s="16">
        <f t="shared" ca="1" si="41"/>
        <v>0.95705530367628522</v>
      </c>
      <c r="AG86" s="16">
        <f t="shared" ca="1" si="59"/>
        <v>1.0815700567488966E-3</v>
      </c>
      <c r="AH86" s="16">
        <f t="shared" ca="1" si="42"/>
        <v>1.0815700567488966E-3</v>
      </c>
      <c r="AI86" s="16">
        <f t="shared" ca="1" si="25"/>
        <v>1.2280326686003094E-3</v>
      </c>
      <c r="AJ86" s="16">
        <f t="shared" ca="1" si="44"/>
        <v>2.044653032210895E-3</v>
      </c>
      <c r="AK86" s="16">
        <f t="shared" ca="1" si="45"/>
        <v>4.2710065892454337E-4</v>
      </c>
      <c r="AL86" s="16">
        <f t="shared" ca="1" si="60"/>
        <v>7.1833679592534373E-4</v>
      </c>
      <c r="AM86" s="16">
        <f t="shared" ca="1" si="61"/>
        <v>3.2413416381957085E-3</v>
      </c>
    </row>
    <row r="87" spans="1:39" ht="16.5" x14ac:dyDescent="0.3">
      <c r="A87"/>
      <c r="B87" s="36">
        <f t="shared" si="39"/>
        <v>61</v>
      </c>
      <c r="C87" s="36">
        <f t="shared" si="39"/>
        <v>61</v>
      </c>
      <c r="D87" s="36">
        <f t="shared" si="6"/>
        <v>0.2</v>
      </c>
      <c r="E87" s="14">
        <f t="shared" ca="1" si="46"/>
        <v>1.3511587900398811E-4</v>
      </c>
      <c r="F87" s="14">
        <f t="shared" ca="1" si="47"/>
        <v>1.2008242357894616E-4</v>
      </c>
      <c r="G87" s="14">
        <f t="shared" ca="1" si="48"/>
        <v>3.8250963293424772E-5</v>
      </c>
      <c r="H87" s="14">
        <f t="shared" ca="1" si="49"/>
        <v>1.7828723821793462E-4</v>
      </c>
      <c r="I87" s="14">
        <f t="shared" ca="1" si="50"/>
        <v>4.2698093317977269E-4</v>
      </c>
      <c r="J87" s="14">
        <f t="shared" ca="1" si="51"/>
        <v>1.539344802436865E-3</v>
      </c>
      <c r="K87" s="14">
        <f t="shared" ca="1" si="52"/>
        <v>1.3618950870603428E-3</v>
      </c>
      <c r="L87" s="14">
        <f t="shared" ca="1" si="53"/>
        <v>0.92069912234014073</v>
      </c>
      <c r="M87" s="14">
        <f t="shared" ca="1" si="54"/>
        <v>3.7719164552800548E-2</v>
      </c>
      <c r="N87" s="14">
        <f t="shared" ca="1" si="55"/>
        <v>5.1271152539919592E-3</v>
      </c>
      <c r="O87" s="14">
        <f t="shared" ca="1" si="56"/>
        <v>3.9064162866111751E-3</v>
      </c>
      <c r="P87" s="14">
        <f t="shared" ca="1" si="57"/>
        <v>2.8748224239686787E-2</v>
      </c>
      <c r="Q87"/>
      <c r="R87" s="44">
        <f t="shared" ca="1" si="43"/>
        <v>1.0000000000000024</v>
      </c>
      <c r="S87" s="16">
        <f t="shared" ca="1" si="20"/>
        <v>1.3841338203108042</v>
      </c>
      <c r="T87" s="16">
        <f t="shared" ca="1" si="29"/>
        <v>0.39524910264192592</v>
      </c>
      <c r="U87" s="16">
        <f t="shared" ca="1" si="30"/>
        <v>0.12590260772058123</v>
      </c>
      <c r="V87" s="16">
        <f t="shared" ca="1" si="31"/>
        <v>0.45410948994877648</v>
      </c>
      <c r="W87" s="16">
        <f t="shared" ca="1" si="32"/>
        <v>0.98074496855423909</v>
      </c>
      <c r="X87" s="16">
        <f t="shared" ca="1" si="33"/>
        <v>3.4919330619288016</v>
      </c>
      <c r="Y87" s="16">
        <f t="shared" ca="1" si="34"/>
        <v>3.2437336856147572</v>
      </c>
      <c r="Z87" s="16">
        <f t="shared" ca="1" si="58"/>
        <v>0</v>
      </c>
      <c r="AA87" s="16">
        <f t="shared" ca="1" si="35"/>
        <v>16.13592984302764</v>
      </c>
      <c r="AB87" s="16">
        <f t="shared" ca="1" si="36"/>
        <v>5.6923208205948557</v>
      </c>
      <c r="AC87" s="16">
        <f t="shared" ca="1" si="37"/>
        <v>0.69438920324606246</v>
      </c>
      <c r="AD87" s="16">
        <f t="shared" ca="1" si="38"/>
        <v>0</v>
      </c>
      <c r="AF87" s="16">
        <f t="shared" ca="1" si="41"/>
        <v>0.9584808781204307</v>
      </c>
      <c r="AG87" s="16">
        <f t="shared" ca="1" si="59"/>
        <v>1.0814237444772411E-3</v>
      </c>
      <c r="AH87" s="16">
        <f t="shared" ca="1" si="42"/>
        <v>1.0814237444772411E-3</v>
      </c>
      <c r="AI87" s="16">
        <f t="shared" ca="1" si="25"/>
        <v>1.2278665432085341E-3</v>
      </c>
      <c r="AJ87" s="16">
        <f t="shared" ca="1" si="44"/>
        <v>2.0443764363232563E-3</v>
      </c>
      <c r="AK87" s="16">
        <f t="shared" ca="1" si="45"/>
        <v>4.270428817447455E-4</v>
      </c>
      <c r="AL87" s="16">
        <f t="shared" ca="1" si="60"/>
        <v>7.0273169361191894E-4</v>
      </c>
      <c r="AM87" s="16">
        <f t="shared" ca="1" si="61"/>
        <v>3.1495902162822038E-3</v>
      </c>
    </row>
    <row r="88" spans="1:39" ht="16.5" x14ac:dyDescent="0.3">
      <c r="A88"/>
      <c r="B88" s="36">
        <f t="shared" si="39"/>
        <v>62</v>
      </c>
      <c r="C88" s="36">
        <f t="shared" si="39"/>
        <v>62</v>
      </c>
      <c r="D88" s="36">
        <f t="shared" si="6"/>
        <v>0.2</v>
      </c>
      <c r="E88" s="14">
        <f t="shared" ca="1" si="46"/>
        <v>1.3509910528975477E-4</v>
      </c>
      <c r="F88" s="14">
        <f t="shared" ca="1" si="47"/>
        <v>1.2006725214758855E-4</v>
      </c>
      <c r="G88" s="14">
        <f t="shared" ca="1" si="48"/>
        <v>3.8245979891142929E-5</v>
      </c>
      <c r="H88" s="14">
        <f t="shared" ca="1" si="49"/>
        <v>1.7673548303480385E-4</v>
      </c>
      <c r="I88" s="14">
        <f t="shared" ca="1" si="50"/>
        <v>4.0364922211770705E-4</v>
      </c>
      <c r="J88" s="14">
        <f t="shared" ca="1" si="51"/>
        <v>1.4909293527501472E-3</v>
      </c>
      <c r="K88" s="14">
        <f t="shared" ca="1" si="52"/>
        <v>1.3354127980418785E-3</v>
      </c>
      <c r="L88" s="14">
        <f t="shared" ca="1" si="53"/>
        <v>0.92195322216206765</v>
      </c>
      <c r="M88" s="14">
        <f t="shared" ca="1" si="54"/>
        <v>3.6447430256838324E-2</v>
      </c>
      <c r="N88" s="14">
        <f t="shared" ca="1" si="55"/>
        <v>5.1544398094138374E-3</v>
      </c>
      <c r="O88" s="14">
        <f t="shared" ca="1" si="56"/>
        <v>3.914665726265862E-3</v>
      </c>
      <c r="P88" s="14">
        <f t="shared" ca="1" si="57"/>
        <v>2.8830102852143758E-2</v>
      </c>
      <c r="Q88"/>
      <c r="R88" s="44">
        <f t="shared" ca="1" si="43"/>
        <v>1.0000000000000024</v>
      </c>
      <c r="S88" s="16">
        <f t="shared" ca="1" si="20"/>
        <v>1.3839619895435122</v>
      </c>
      <c r="T88" s="16">
        <f t="shared" ca="1" si="29"/>
        <v>0.39519871161423598</v>
      </c>
      <c r="U88" s="16">
        <f t="shared" ca="1" si="30"/>
        <v>0.12588604709753606</v>
      </c>
      <c r="V88" s="16">
        <f t="shared" ca="1" si="31"/>
        <v>0.45008360509537176</v>
      </c>
      <c r="W88" s="16">
        <f t="shared" ca="1" si="32"/>
        <v>0.9270623747313379</v>
      </c>
      <c r="X88" s="16">
        <f t="shared" ca="1" si="33"/>
        <v>3.3820746050190915</v>
      </c>
      <c r="Y88" s="16">
        <f t="shared" ca="1" si="34"/>
        <v>3.179181938775733</v>
      </c>
      <c r="Z88" s="16">
        <f t="shared" ca="1" si="58"/>
        <v>0</v>
      </c>
      <c r="AA88" s="16">
        <f t="shared" ca="1" si="35"/>
        <v>15.590930727908235</v>
      </c>
      <c r="AB88" s="16">
        <f t="shared" ca="1" si="36"/>
        <v>5.6922332840540184</v>
      </c>
      <c r="AC88" s="16">
        <f t="shared" ca="1" si="37"/>
        <v>0.69437852492508312</v>
      </c>
      <c r="AD88" s="16">
        <f t="shared" ca="1" si="38"/>
        <v>0</v>
      </c>
      <c r="AF88" s="16">
        <f t="shared" ca="1" si="41"/>
        <v>0.95985243054989111</v>
      </c>
      <c r="AG88" s="16">
        <f t="shared" ca="1" si="59"/>
        <v>1.0812802968825201E-3</v>
      </c>
      <c r="AH88" s="16">
        <f t="shared" ca="1" si="42"/>
        <v>1.0812802968825201E-3</v>
      </c>
      <c r="AI88" s="16">
        <f t="shared" ca="1" si="25"/>
        <v>1.2277036704186944E-3</v>
      </c>
      <c r="AJ88" s="16">
        <f t="shared" ca="1" si="44"/>
        <v>2.0441052559612635E-3</v>
      </c>
      <c r="AK88" s="16">
        <f t="shared" ca="1" si="45"/>
        <v>4.2698623579578987E-4</v>
      </c>
      <c r="AL88" s="16">
        <f t="shared" ca="1" si="60"/>
        <v>6.8776696647997074E-4</v>
      </c>
      <c r="AM88" s="16">
        <f t="shared" ca="1" si="61"/>
        <v>3.062281293542178E-3</v>
      </c>
    </row>
    <row r="89" spans="1:39" ht="16.5" x14ac:dyDescent="0.3">
      <c r="A89"/>
      <c r="B89" s="36">
        <f t="shared" si="39"/>
        <v>63</v>
      </c>
      <c r="C89" s="36">
        <f t="shared" si="39"/>
        <v>63</v>
      </c>
      <c r="D89" s="36">
        <f t="shared" si="6"/>
        <v>0.2</v>
      </c>
      <c r="E89" s="14">
        <f t="shared" ca="1" si="46"/>
        <v>1.3508261453587853E-4</v>
      </c>
      <c r="F89" s="14">
        <f t="shared" ca="1" si="47"/>
        <v>1.2005234518913412E-4</v>
      </c>
      <c r="G89" s="14">
        <f t="shared" ca="1" si="48"/>
        <v>3.8241088251834573E-5</v>
      </c>
      <c r="H89" s="14">
        <f t="shared" ca="1" si="49"/>
        <v>1.7525234008327695E-4</v>
      </c>
      <c r="I89" s="14">
        <f t="shared" ca="1" si="50"/>
        <v>3.8166967212045235E-4</v>
      </c>
      <c r="J89" s="14">
        <f t="shared" ca="1" si="51"/>
        <v>1.4440638687319453E-3</v>
      </c>
      <c r="K89" s="14">
        <f t="shared" ca="1" si="52"/>
        <v>1.3105604440524225E-3</v>
      </c>
      <c r="L89" s="14">
        <f t="shared" ca="1" si="53"/>
        <v>0.92315732525396443</v>
      </c>
      <c r="M89" s="14">
        <f t="shared" ca="1" si="54"/>
        <v>3.5223008409749332E-2</v>
      </c>
      <c r="N89" s="14">
        <f t="shared" ca="1" si="55"/>
        <v>5.1806193387542816E-3</v>
      </c>
      <c r="O89" s="14">
        <f t="shared" ca="1" si="56"/>
        <v>3.9223598532592439E-3</v>
      </c>
      <c r="P89" s="14">
        <f t="shared" ca="1" si="57"/>
        <v>2.8911764771310394E-2</v>
      </c>
      <c r="Q89"/>
      <c r="R89" s="44">
        <f t="shared" ca="1" si="43"/>
        <v>1.0000000000000027</v>
      </c>
      <c r="S89" s="16">
        <f t="shared" ca="1" si="20"/>
        <v>1.3837930574362665</v>
      </c>
      <c r="T89" s="16">
        <f t="shared" ca="1" si="29"/>
        <v>0.39514921356321764</v>
      </c>
      <c r="U89" s="16">
        <f t="shared" ca="1" si="30"/>
        <v>0.12586979638346879</v>
      </c>
      <c r="V89" s="16">
        <f t="shared" ca="1" si="31"/>
        <v>0.44623608263617814</v>
      </c>
      <c r="W89" s="16">
        <f t="shared" ca="1" si="32"/>
        <v>0.8764906912789342</v>
      </c>
      <c r="X89" s="16">
        <f t="shared" ca="1" si="33"/>
        <v>3.2757320070484375</v>
      </c>
      <c r="Y89" s="16">
        <f t="shared" ca="1" si="34"/>
        <v>3.118676361794448</v>
      </c>
      <c r="Z89" s="16">
        <f t="shared" ca="1" si="58"/>
        <v>0</v>
      </c>
      <c r="AA89" s="16">
        <f t="shared" ca="1" si="35"/>
        <v>15.066201264296723</v>
      </c>
      <c r="AB89" s="16">
        <f t="shared" ca="1" si="36"/>
        <v>5.692128549470568</v>
      </c>
      <c r="AC89" s="16">
        <f t="shared" ca="1" si="37"/>
        <v>0.69436574866628564</v>
      </c>
      <c r="AD89" s="16">
        <f t="shared" ca="1" si="38"/>
        <v>0</v>
      </c>
      <c r="AF89" s="16">
        <f t="shared" ca="1" si="41"/>
        <v>0.96117206921728837</v>
      </c>
      <c r="AG89" s="16">
        <f t="shared" ca="1" si="59"/>
        <v>1.0811395710719305E-3</v>
      </c>
      <c r="AH89" s="16">
        <f t="shared" ca="1" si="42"/>
        <v>1.0811395710719305E-3</v>
      </c>
      <c r="AI89" s="16">
        <f t="shared" ca="1" si="25"/>
        <v>1.2275438879879208E-3</v>
      </c>
      <c r="AJ89" s="16">
        <f t="shared" ca="1" si="44"/>
        <v>2.0438392209933599E-3</v>
      </c>
      <c r="AK89" s="16">
        <f t="shared" ca="1" si="45"/>
        <v>4.2693066465080912E-4</v>
      </c>
      <c r="AL89" s="16">
        <f t="shared" ca="1" si="60"/>
        <v>6.734141663752674E-4</v>
      </c>
      <c r="AM89" s="16">
        <f t="shared" ca="1" si="61"/>
        <v>2.9791166167437164E-3</v>
      </c>
    </row>
    <row r="90" spans="1:39" ht="16.5" x14ac:dyDescent="0.3">
      <c r="A90"/>
      <c r="B90" s="36">
        <f t="shared" si="39"/>
        <v>64</v>
      </c>
      <c r="C90" s="36">
        <f t="shared" si="39"/>
        <v>64</v>
      </c>
      <c r="D90" s="36">
        <f t="shared" si="6"/>
        <v>0.2</v>
      </c>
      <c r="E90" s="14">
        <f t="shared" ca="1" si="46"/>
        <v>1.3506639293866577E-4</v>
      </c>
      <c r="F90" s="14">
        <f t="shared" ca="1" si="47"/>
        <v>1.20037689746443E-4</v>
      </c>
      <c r="G90" s="14">
        <f t="shared" ca="1" si="48"/>
        <v>3.8236283839948877E-5</v>
      </c>
      <c r="H90" s="14">
        <f t="shared" ca="1" si="49"/>
        <v>1.7383451590327967E-4</v>
      </c>
      <c r="I90" s="14">
        <f t="shared" ca="1" si="50"/>
        <v>3.6096400746314563E-4</v>
      </c>
      <c r="J90" s="14">
        <f t="shared" ca="1" si="51"/>
        <v>1.3986995887337597E-3</v>
      </c>
      <c r="K90" s="14">
        <f t="shared" ca="1" si="52"/>
        <v>1.2871880268259931E-3</v>
      </c>
      <c r="L90" s="14">
        <f t="shared" ca="1" si="53"/>
        <v>0.92431335579015228</v>
      </c>
      <c r="M90" s="14">
        <f t="shared" ca="1" si="54"/>
        <v>3.4044162064410001E-2</v>
      </c>
      <c r="N90" s="14">
        <f t="shared" ca="1" si="55"/>
        <v>5.2057009619215196E-3</v>
      </c>
      <c r="O90" s="14">
        <f t="shared" ca="1" si="56"/>
        <v>3.9295349625314653E-3</v>
      </c>
      <c r="P90" s="14">
        <f t="shared" ca="1" si="57"/>
        <v>2.8993219715536169E-2</v>
      </c>
      <c r="Q90"/>
      <c r="R90" s="44">
        <f t="shared" ref="R90:R121" ca="1" si="62">SUM(E90:P90)</f>
        <v>1.0000000000000027</v>
      </c>
      <c r="S90" s="16">
        <f t="shared" ca="1" si="20"/>
        <v>1.3836268825833391</v>
      </c>
      <c r="T90" s="16">
        <f t="shared" ca="1" si="29"/>
        <v>0.39510056464120846</v>
      </c>
      <c r="U90" s="16">
        <f t="shared" ca="1" si="30"/>
        <v>0.12585384022226204</v>
      </c>
      <c r="V90" s="16">
        <f t="shared" ca="1" si="31"/>
        <v>0.44255835254551701</v>
      </c>
      <c r="W90" s="16">
        <f t="shared" ca="1" si="32"/>
        <v>0.82884992575748206</v>
      </c>
      <c r="X90" s="16">
        <f t="shared" ca="1" si="33"/>
        <v>3.1727948050884129</v>
      </c>
      <c r="Y90" s="16">
        <f t="shared" ca="1" si="34"/>
        <v>3.061836235200845</v>
      </c>
      <c r="Z90" s="16">
        <f t="shared" ca="1" si="58"/>
        <v>0</v>
      </c>
      <c r="AA90" s="16">
        <f t="shared" ca="1" si="35"/>
        <v>14.560998241225406</v>
      </c>
      <c r="AB90" s="16">
        <f t="shared" ca="1" si="36"/>
        <v>5.6920078724173564</v>
      </c>
      <c r="AC90" s="16">
        <f t="shared" ca="1" si="37"/>
        <v>0.6943510276332554</v>
      </c>
      <c r="AD90" s="16">
        <f t="shared" ca="1" si="38"/>
        <v>0</v>
      </c>
      <c r="AF90" s="16">
        <f t="shared" ca="1" si="41"/>
        <v>0.9624418114301414</v>
      </c>
      <c r="AG90" s="16">
        <f t="shared" ca="1" si="59"/>
        <v>1.0810014319478497E-3</v>
      </c>
      <c r="AH90" s="16">
        <f t="shared" ca="1" si="42"/>
        <v>1.0810014319478497E-3</v>
      </c>
      <c r="AI90" s="16">
        <f t="shared" ca="1" si="25"/>
        <v>1.2273870425241209E-3</v>
      </c>
      <c r="AJ90" s="16">
        <f t="shared" ref="AJ90:AJ121" ca="1" si="63">(AH90*(i_Adv_Fals/i_Adv_Alar))*AJ$25</f>
        <v>2.0435780760243807E-3</v>
      </c>
      <c r="AK90" s="16">
        <f t="shared" ref="AK90:AK121" ca="1" si="64">(AH90*(i_Adv_Lead/i_Adv_Alar))*AK$25</f>
        <v>4.2687611496117038E-4</v>
      </c>
      <c r="AL90" s="16">
        <f t="shared" ca="1" si="60"/>
        <v>6.5964617349000497E-4</v>
      </c>
      <c r="AM90" s="16">
        <f t="shared" ca="1" si="61"/>
        <v>2.8998282657180848E-3</v>
      </c>
    </row>
    <row r="91" spans="1:39" ht="16.5" x14ac:dyDescent="0.3">
      <c r="A91"/>
      <c r="B91" s="36">
        <f t="shared" si="39"/>
        <v>65</v>
      </c>
      <c r="C91" s="36">
        <f t="shared" si="39"/>
        <v>65</v>
      </c>
      <c r="D91" s="36">
        <f t="shared" ref="D91:D136" si="65">ROUND(C91/365.25,1)</f>
        <v>0.2</v>
      </c>
      <c r="E91" s="14">
        <f t="shared" ref="E91:E117" ca="1" si="66">SUMPRODUCT($E90:$P90,$H$9:$S$9)</f>
        <v>1.3505042742196282E-4</v>
      </c>
      <c r="F91" s="14">
        <f t="shared" ref="F91:F117" ca="1" si="67">SUMPRODUCT($E90:$P90,$H$10:$S$10)</f>
        <v>1.2002327354948811E-4</v>
      </c>
      <c r="G91" s="14">
        <f t="shared" ref="G91:G117" ca="1" si="68">SUMPRODUCT($E90:$P90,$H$11:$S$11)</f>
        <v>3.8231562364120644E-5</v>
      </c>
      <c r="H91" s="14">
        <f t="shared" ref="H91:H117" ca="1" si="69">SUMPRODUCT($E90:$P90,$H$12:$S$12)</f>
        <v>1.7247888189101984E-4</v>
      </c>
      <c r="I91" s="14">
        <f t="shared" ref="I91:I117" ca="1" si="70">SUMPRODUCT($E90:$P90,$H$13:$S$13)</f>
        <v>3.4145841820138964E-4</v>
      </c>
      <c r="J91" s="14">
        <f t="shared" ref="J91:J117" ca="1" si="71">SUMPRODUCT($E90:$P90,$H$14:$S$14)</f>
        <v>1.354789178049678E-3</v>
      </c>
      <c r="K91" s="14">
        <f t="shared" ref="K91:K117" ca="1" si="72">SUMPRODUCT($E90:$P90,$H$15:$S$15)</f>
        <v>1.2651649687146114E-3</v>
      </c>
      <c r="L91" s="14">
        <f t="shared" ref="L91:L117" ca="1" si="73">SUMPRODUCT($E90:$P90,$H$16:$S$16)</f>
        <v>0.92542315716281953</v>
      </c>
      <c r="M91" s="14">
        <f t="shared" ref="M91:M117" ca="1" si="74">SUMPRODUCT($E90:$P90,$H$17:$S$17)</f>
        <v>3.2909214456492857E-2</v>
      </c>
      <c r="N91" s="14">
        <f t="shared" ref="N91:N117" ca="1" si="75">SUMPRODUCT($E90:$P90,$H$18:$S$18)</f>
        <v>5.2297298790838966E-3</v>
      </c>
      <c r="O91" s="14">
        <f t="shared" ref="O91:O117" ca="1" si="76">SUMPRODUCT($E90:$P90,$H$19:$S$19)</f>
        <v>3.9362249801104931E-3</v>
      </c>
      <c r="P91" s="14">
        <f t="shared" ref="P91:P117" ca="1" si="77">SUMPRODUCT($E90:$P90,$H$20:$S$20)</f>
        <v>2.9074476811303783E-2</v>
      </c>
      <c r="Q91"/>
      <c r="R91" s="44">
        <f t="shared" ca="1" si="62"/>
        <v>1.0000000000000029</v>
      </c>
      <c r="S91" s="16">
        <f t="shared" ref="S91:S136" ca="1" si="78">E91*S$25</f>
        <v>1.3834633310319582</v>
      </c>
      <c r="T91" s="16">
        <f t="shared" ca="1" si="29"/>
        <v>0.39505272333349961</v>
      </c>
      <c r="U91" s="16">
        <f t="shared" ca="1" si="30"/>
        <v>0.12583816408803394</v>
      </c>
      <c r="V91" s="16">
        <f t="shared" ca="1" si="31"/>
        <v>0.43904227318770117</v>
      </c>
      <c r="W91" s="16">
        <f t="shared" ca="1" si="32"/>
        <v>0.78397033607321365</v>
      </c>
      <c r="X91" s="16">
        <f t="shared" ca="1" si="33"/>
        <v>3.0731557464538661</v>
      </c>
      <c r="Y91" s="16">
        <f t="shared" ca="1" si="34"/>
        <v>3.0083308581939341</v>
      </c>
      <c r="Z91" s="16">
        <f t="shared" ref="Z91:Z122" ca="1" si="79">(L91-OFFSET(L91,-IF(C91-C90&gt;i_Cos_Days,1,MIN(B91,i_Cos_Days)),0))*MIN(i_Cos_Days,($C91-$C90))</f>
        <v>0</v>
      </c>
      <c r="AA91" s="16">
        <f t="shared" ca="1" si="35"/>
        <v>14.074604045341594</v>
      </c>
      <c r="AB91" s="16">
        <f t="shared" ca="1" si="36"/>
        <v>5.6918723648732898</v>
      </c>
      <c r="AC91" s="16">
        <f t="shared" ca="1" si="37"/>
        <v>0.69433449747296805</v>
      </c>
      <c r="AD91" s="16">
        <f t="shared" ca="1" si="38"/>
        <v>0</v>
      </c>
      <c r="AF91" s="16">
        <f t="shared" ca="1" si="41"/>
        <v>0.96366358883331771</v>
      </c>
      <c r="AG91" s="16">
        <f t="shared" ref="AG91:AG118" ca="1" si="80">MIN(1,SUM(OFFSET(E91,0,0,-i_Eve_ECG,1)))</f>
        <v>1.0808657517246891E-3</v>
      </c>
      <c r="AH91" s="16">
        <f t="shared" ca="1" si="42"/>
        <v>1.0808657517246891E-3</v>
      </c>
      <c r="AI91" s="16">
        <f t="shared" ref="AI91:AI119" ca="1" si="81">AH91*AI$25</f>
        <v>1.2272329889374072E-3</v>
      </c>
      <c r="AJ91" s="16">
        <f t="shared" ca="1" si="63"/>
        <v>2.0433215794821873E-3</v>
      </c>
      <c r="AK91" s="16">
        <f t="shared" ca="1" si="64"/>
        <v>4.2682253626568657E-4</v>
      </c>
      <c r="AL91" s="16">
        <f t="shared" ref="AL91:AL122" ca="1" si="82">((SUM(F90:J90)-((I90+J90)*(1-i_Bac_ICU)))+(SUM(F91:J91)-((I91+J91)*(1-i_Bac_ICU))))/2*(C91-C90)</f>
        <v>6.4643713727511524E-4</v>
      </c>
      <c r="AM91" s="16">
        <f t="shared" ref="AM91:AM122" ca="1" si="83">(((I90+J90)*(1-i_Bac_ICU))+((I91+J91)*(1-i_Bac_ICU))+K90+E90+E91+K91)/2*(C91-C90)</f>
        <v>2.8241744705466373E-3</v>
      </c>
    </row>
    <row r="92" spans="1:39" ht="16.5" x14ac:dyDescent="0.3">
      <c r="A92"/>
      <c r="B92" s="36">
        <f t="shared" si="39"/>
        <v>66</v>
      </c>
      <c r="C92" s="36">
        <f t="shared" si="39"/>
        <v>66</v>
      </c>
      <c r="D92" s="36">
        <f t="shared" si="65"/>
        <v>0.2</v>
      </c>
      <c r="E92" s="14">
        <f t="shared" ca="1" si="66"/>
        <v>1.350347055948534E-4</v>
      </c>
      <c r="F92" s="14">
        <f t="shared" ca="1" si="67"/>
        <v>1.2000908497497134E-4</v>
      </c>
      <c r="G92" s="14">
        <f t="shared" ca="1" si="68"/>
        <v>3.8226919762307315E-5</v>
      </c>
      <c r="H92" s="14">
        <f t="shared" ca="1" si="69"/>
        <v>1.711824663513638E-4</v>
      </c>
      <c r="I92" s="14">
        <f t="shared" ca="1" si="70"/>
        <v>3.2308331831827733E-4</v>
      </c>
      <c r="J92" s="14">
        <f t="shared" ca="1" si="71"/>
        <v>1.3122867033518715E-3</v>
      </c>
      <c r="K92" s="14">
        <f t="shared" ca="1" si="72"/>
        <v>1.2443771133576016E-3</v>
      </c>
      <c r="L92" s="14">
        <f t="shared" ca="1" si="73"/>
        <v>0.9264884964752822</v>
      </c>
      <c r="M92" s="14">
        <f t="shared" ca="1" si="74"/>
        <v>3.1816547505020935E-2</v>
      </c>
      <c r="N92" s="14">
        <f t="shared" ca="1" si="75"/>
        <v>5.2527494456167667E-3</v>
      </c>
      <c r="O92" s="14">
        <f t="shared" ca="1" si="76"/>
        <v>3.9424616153765175E-3</v>
      </c>
      <c r="P92" s="14">
        <f t="shared" ca="1" si="77"/>
        <v>2.9155544646995313E-2</v>
      </c>
      <c r="Q92"/>
      <c r="R92" s="44">
        <f t="shared" ca="1" si="62"/>
        <v>1.0000000000000029</v>
      </c>
      <c r="S92" s="16">
        <f t="shared" ca="1" si="78"/>
        <v>1.3833022758489579</v>
      </c>
      <c r="T92" s="16">
        <f t="shared" ref="T92:T136" ca="1" si="84">((F91+F92)/2)*T$25*($C92-$C91)</f>
        <v>0.39500565032039886</v>
      </c>
      <c r="U92" s="16">
        <f t="shared" ref="U92:U136" ca="1" si="85">((G91+G92)/2)*U$25*($C92-$C91)</f>
        <v>0.12582275423412426</v>
      </c>
      <c r="V92" s="16">
        <f t="shared" ref="V92:V136" ca="1" si="86">((H92+H91)/2)*V$25*($C92-$C91)</f>
        <v>0.43568011084776431</v>
      </c>
      <c r="W92" s="16">
        <f t="shared" ref="W92:W136" ca="1" si="87">((I91+I92)/2)*W$25*($C92-$C91)</f>
        <v>0.74169187867417508</v>
      </c>
      <c r="X92" s="16">
        <f t="shared" ref="X92:X136" ca="1" si="88">((J91+J92)/2)*X$25*($C92-$C91)</f>
        <v>2.9767107351349238</v>
      </c>
      <c r="Y92" s="16">
        <f t="shared" ref="Y92:Y136" ca="1" si="89">((K92+K91)/2)*Y$25*($C92-$C91)</f>
        <v>2.9578717750344139</v>
      </c>
      <c r="Z92" s="16">
        <f t="shared" ca="1" si="79"/>
        <v>0</v>
      </c>
      <c r="AA92" s="16">
        <f t="shared" ref="AA92:AA136" ca="1" si="90">((M91+M92)/2)*AA$25*($C92-$C91)</f>
        <v>13.606326050739622</v>
      </c>
      <c r="AB92" s="16">
        <f t="shared" ref="AB92:AB117" ca="1" si="91">(N92-(N91*$Q$18))*AB$25</f>
        <v>5.6917230164737145</v>
      </c>
      <c r="AC92" s="16">
        <f t="shared" ref="AC92:AC117" ca="1" si="92">(O92-(O91*$R$19))*AC$25</f>
        <v>0.69431627890809022</v>
      </c>
      <c r="AD92" s="16">
        <f t="shared" ref="AD92:AD136" ca="1" si="93">((P92-P91)*AD$25)</f>
        <v>0</v>
      </c>
      <c r="AF92" s="16">
        <f t="shared" ca="1" si="41"/>
        <v>0.96483925218327071</v>
      </c>
      <c r="AG92" s="16">
        <f t="shared" ca="1" si="80"/>
        <v>1.0807324094823359E-3</v>
      </c>
      <c r="AH92" s="16">
        <f t="shared" ca="1" si="42"/>
        <v>1.0807324094823359E-3</v>
      </c>
      <c r="AI92" s="16">
        <f t="shared" ca="1" si="81"/>
        <v>1.2270815899330686E-3</v>
      </c>
      <c r="AJ92" s="16">
        <f t="shared" ca="1" si="63"/>
        <v>2.0430695027734728E-3</v>
      </c>
      <c r="AK92" s="16">
        <f t="shared" ca="1" si="64"/>
        <v>4.2676988081427484E-4</v>
      </c>
      <c r="AL92" s="16">
        <f t="shared" ca="1" si="82"/>
        <v>6.3376241886840855E-4</v>
      </c>
      <c r="AM92" s="16">
        <f t="shared" ca="1" si="83"/>
        <v>2.7519360920833496E-3</v>
      </c>
    </row>
    <row r="93" spans="1:39" ht="16.5" x14ac:dyDescent="0.3">
      <c r="A93"/>
      <c r="B93" s="36">
        <f t="shared" si="39"/>
        <v>67</v>
      </c>
      <c r="C93" s="36">
        <f t="shared" si="39"/>
        <v>67</v>
      </c>
      <c r="D93" s="36">
        <f t="shared" si="65"/>
        <v>0.2</v>
      </c>
      <c r="E93" s="14">
        <f t="shared" ca="1" si="66"/>
        <v>1.3501921571220906E-4</v>
      </c>
      <c r="F93" s="14">
        <f t="shared" ca="1" si="67"/>
        <v>1.1999511300871728E-4</v>
      </c>
      <c r="G93" s="14">
        <f t="shared" ca="1" si="68"/>
        <v>3.8222352188048318E-5</v>
      </c>
      <c r="H93" s="14">
        <f t="shared" ca="1" si="69"/>
        <v>1.699424468223126E-4</v>
      </c>
      <c r="I93" s="14">
        <f t="shared" ca="1" si="70"/>
        <v>3.0577311464777848E-4</v>
      </c>
      <c r="J93" s="14">
        <f t="shared" ca="1" si="71"/>
        <v>1.2711476047353818E-3</v>
      </c>
      <c r="K93" s="14">
        <f t="shared" ca="1" si="72"/>
        <v>1.2247242219786136E-3</v>
      </c>
      <c r="L93" s="14">
        <f t="shared" ca="1" si="73"/>
        <v>0.92751106861714772</v>
      </c>
      <c r="M93" s="14">
        <f t="shared" ca="1" si="74"/>
        <v>3.0764600245329655E-2</v>
      </c>
      <c r="N93" s="14">
        <f t="shared" ca="1" si="75"/>
        <v>5.2748012446748272E-3</v>
      </c>
      <c r="O93" s="14">
        <f t="shared" ca="1" si="76"/>
        <v>3.9482745040078163E-3</v>
      </c>
      <c r="P93" s="14">
        <f t="shared" ca="1" si="77"/>
        <v>2.9236431319749987E-2</v>
      </c>
      <c r="Q93"/>
      <c r="R93" s="44">
        <f t="shared" ca="1" si="62"/>
        <v>1.0000000000000031</v>
      </c>
      <c r="S93" s="16">
        <f t="shared" ca="1" si="78"/>
        <v>1.383143596716655</v>
      </c>
      <c r="T93" s="16">
        <f t="shared" ca="1" si="84"/>
        <v>0.39495930834888743</v>
      </c>
      <c r="U93" s="16">
        <f t="shared" ca="1" si="85"/>
        <v>0.12580759764602348</v>
      </c>
      <c r="V93" s="16">
        <f t="shared" ca="1" si="86"/>
        <v>0.43246451992505996</v>
      </c>
      <c r="W93" s="16">
        <f t="shared" ca="1" si="87"/>
        <v>0.70186368071575722</v>
      </c>
      <c r="X93" s="16">
        <f t="shared" ca="1" si="88"/>
        <v>2.8833587720638909</v>
      </c>
      <c r="Y93" s="16">
        <f t="shared" ca="1" si="89"/>
        <v>2.9102062888940301</v>
      </c>
      <c r="Z93" s="16">
        <f t="shared" ca="1" si="79"/>
        <v>0</v>
      </c>
      <c r="AA93" s="16">
        <f t="shared" ca="1" si="90"/>
        <v>13.155495974339949</v>
      </c>
      <c r="AB93" s="16">
        <f t="shared" ca="1" si="91"/>
        <v>5.6915607122914311</v>
      </c>
      <c r="AC93" s="16">
        <f t="shared" ca="1" si="92"/>
        <v>0.6942964799060003</v>
      </c>
      <c r="AD93" s="16">
        <f t="shared" ca="1" si="93"/>
        <v>0</v>
      </c>
      <c r="AF93" s="16">
        <f t="shared" ca="1" si="41"/>
        <v>0.96597057568558031</v>
      </c>
      <c r="AG93" s="16">
        <f t="shared" ca="1" si="80"/>
        <v>1.0806012907525512E-3</v>
      </c>
      <c r="AH93" s="16">
        <f t="shared" ca="1" si="42"/>
        <v>1.0806012907525512E-3</v>
      </c>
      <c r="AI93" s="16">
        <f t="shared" ca="1" si="81"/>
        <v>1.226932715541959E-3</v>
      </c>
      <c r="AJ93" s="16">
        <f t="shared" ca="1" si="63"/>
        <v>2.0428216295018701E-3</v>
      </c>
      <c r="AK93" s="16">
        <f t="shared" ca="1" si="64"/>
        <v>4.2671810340462956E-4</v>
      </c>
      <c r="AL93" s="16">
        <f t="shared" ca="1" si="82"/>
        <v>6.2159853524236574E-4</v>
      </c>
      <c r="AM93" s="16">
        <f t="shared" ca="1" si="83"/>
        <v>2.6829136551597883E-3</v>
      </c>
    </row>
    <row r="94" spans="1:39" ht="16.5" x14ac:dyDescent="0.3">
      <c r="A94"/>
      <c r="B94" s="36">
        <f t="shared" si="39"/>
        <v>68</v>
      </c>
      <c r="C94" s="36">
        <f t="shared" si="39"/>
        <v>68</v>
      </c>
      <c r="D94" s="36">
        <f t="shared" si="65"/>
        <v>0.2</v>
      </c>
      <c r="E94" s="14">
        <f t="shared" ca="1" si="66"/>
        <v>1.3500394663785051E-4</v>
      </c>
      <c r="F94" s="14">
        <f t="shared" ca="1" si="67"/>
        <v>1.1998134721060374E-4</v>
      </c>
      <c r="G94" s="14">
        <f t="shared" ca="1" si="68"/>
        <v>3.8217855997724407E-5</v>
      </c>
      <c r="H94" s="14">
        <f t="shared" ca="1" si="69"/>
        <v>1.6875614268560036E-4</v>
      </c>
      <c r="I94" s="14">
        <f t="shared" ca="1" si="70"/>
        <v>2.8946598652595558E-4</v>
      </c>
      <c r="J94" s="14">
        <f t="shared" ca="1" si="71"/>
        <v>1.2313286659820179E-3</v>
      </c>
      <c r="K94" s="14">
        <f t="shared" ca="1" si="72"/>
        <v>1.2061178814851004E-3</v>
      </c>
      <c r="L94" s="14">
        <f t="shared" ca="1" si="73"/>
        <v>0.92849249997974426</v>
      </c>
      <c r="M94" s="14">
        <f t="shared" ca="1" si="74"/>
        <v>2.9751867217796511E-2</v>
      </c>
      <c r="N94" s="14">
        <f t="shared" ca="1" si="75"/>
        <v>5.2959251573666951E-3</v>
      </c>
      <c r="O94" s="14">
        <f t="shared" ca="1" si="76"/>
        <v>3.9536913420935259E-3</v>
      </c>
      <c r="P94" s="14">
        <f t="shared" ca="1" si="77"/>
        <v>2.9317144476477281E-2</v>
      </c>
      <c r="Q94"/>
      <c r="R94" s="44">
        <f t="shared" ca="1" si="62"/>
        <v>1.0000000000000031</v>
      </c>
      <c r="S94" s="16">
        <f t="shared" ca="1" si="78"/>
        <v>1.3829871795554725</v>
      </c>
      <c r="T94" s="16">
        <f t="shared" ca="1" si="84"/>
        <v>0.39491366211302237</v>
      </c>
      <c r="U94" s="16">
        <f t="shared" ca="1" si="85"/>
        <v>0.12579268199779411</v>
      </c>
      <c r="V94" s="16">
        <f t="shared" ca="1" si="86"/>
        <v>0.42938852383455178</v>
      </c>
      <c r="W94" s="16">
        <f t="shared" ca="1" si="87"/>
        <v>0.66434353622695097</v>
      </c>
      <c r="X94" s="16">
        <f t="shared" ca="1" si="88"/>
        <v>2.7930018907262451</v>
      </c>
      <c r="Y94" s="16">
        <f t="shared" ca="1" si="89"/>
        <v>2.865112045247507</v>
      </c>
      <c r="Z94" s="16">
        <f t="shared" ca="1" si="79"/>
        <v>0</v>
      </c>
      <c r="AA94" s="16">
        <f t="shared" ca="1" si="90"/>
        <v>12.721469207761068</v>
      </c>
      <c r="AB94" s="16">
        <f t="shared" ca="1" si="91"/>
        <v>5.6913862477327957</v>
      </c>
      <c r="AC94" s="16">
        <f t="shared" ca="1" si="92"/>
        <v>0.6942751974959458</v>
      </c>
      <c r="AD94" s="16">
        <f t="shared" ca="1" si="93"/>
        <v>0</v>
      </c>
      <c r="AF94" s="16">
        <f t="shared" ca="1" si="41"/>
        <v>0.96705926095568173</v>
      </c>
      <c r="AG94" s="16">
        <f t="shared" ca="1" si="80"/>
        <v>1.0804722871351629E-3</v>
      </c>
      <c r="AH94" s="16">
        <f t="shared" ca="1" si="42"/>
        <v>1.0804722871351629E-3</v>
      </c>
      <c r="AI94" s="16">
        <f t="shared" ca="1" si="81"/>
        <v>1.2267862426847162E-3</v>
      </c>
      <c r="AJ94" s="16">
        <f t="shared" ca="1" si="63"/>
        <v>2.0425777547423817E-3</v>
      </c>
      <c r="AK94" s="16">
        <f t="shared" ca="1" si="64"/>
        <v>4.2666716123066092E-4</v>
      </c>
      <c r="AL94" s="16">
        <f t="shared" ca="1" si="82"/>
        <v>6.0992310521467644E-4</v>
      </c>
      <c r="AM94" s="16">
        <f t="shared" ca="1" si="83"/>
        <v>2.6169248425942809E-3</v>
      </c>
    </row>
    <row r="95" spans="1:39" ht="16.5" x14ac:dyDescent="0.3">
      <c r="A95"/>
      <c r="B95" s="36">
        <f t="shared" si="39"/>
        <v>69</v>
      </c>
      <c r="C95" s="36">
        <f t="shared" si="39"/>
        <v>69</v>
      </c>
      <c r="D95" s="36">
        <f t="shared" si="65"/>
        <v>0.2</v>
      </c>
      <c r="E95" s="14">
        <f t="shared" ca="1" si="66"/>
        <v>1.3498888781010717E-4</v>
      </c>
      <c r="F95" s="14">
        <f t="shared" ca="1" si="67"/>
        <v>1.1996777768181327E-4</v>
      </c>
      <c r="G95" s="14">
        <f t="shared" ca="1" si="68"/>
        <v>3.8213427738715746E-5</v>
      </c>
      <c r="H95" s="14">
        <f t="shared" ca="1" si="69"/>
        <v>1.6762100807159083E-4</v>
      </c>
      <c r="I95" s="14">
        <f t="shared" ca="1" si="70"/>
        <v>2.7410367602439715E-4</v>
      </c>
      <c r="J95" s="14">
        <f t="shared" ca="1" si="71"/>
        <v>1.1927879835434035E-3</v>
      </c>
      <c r="K95" s="14">
        <f t="shared" ca="1" si="72"/>
        <v>1.1884797548332262E-3</v>
      </c>
      <c r="L95" s="14">
        <f t="shared" ca="1" si="73"/>
        <v>0.92943435186068568</v>
      </c>
      <c r="M95" s="14">
        <f t="shared" ca="1" si="74"/>
        <v>2.8776896831281311E-2</v>
      </c>
      <c r="N95" s="14">
        <f t="shared" ca="1" si="75"/>
        <v>5.3161594305301063E-3</v>
      </c>
      <c r="O95" s="14">
        <f t="shared" ca="1" si="76"/>
        <v>3.9587380118892958E-3</v>
      </c>
      <c r="P95" s="14">
        <f t="shared" ca="1" si="77"/>
        <v>2.9397691349913487E-2</v>
      </c>
      <c r="Q95"/>
      <c r="R95" s="44">
        <f t="shared" ca="1" si="62"/>
        <v>1.0000000000000031</v>
      </c>
      <c r="S95" s="16">
        <f t="shared" ca="1" si="78"/>
        <v>1.3828329161711284</v>
      </c>
      <c r="T95" s="16">
        <f t="shared" ca="1" si="84"/>
        <v>0.39486867814233267</v>
      </c>
      <c r="U95" s="16">
        <f t="shared" ca="1" si="85"/>
        <v>0.12577799561161668</v>
      </c>
      <c r="V95" s="16">
        <f t="shared" ca="1" si="86"/>
        <v>0.42644549664393672</v>
      </c>
      <c r="W95" s="16">
        <f t="shared" ca="1" si="87"/>
        <v>0.62899742606064535</v>
      </c>
      <c r="X95" s="16">
        <f t="shared" ca="1" si="88"/>
        <v>2.7055450893544393</v>
      </c>
      <c r="Y95" s="16">
        <f t="shared" ca="1" si="89"/>
        <v>2.8223925040465958</v>
      </c>
      <c r="Z95" s="16">
        <f t="shared" ca="1" si="79"/>
        <v>0</v>
      </c>
      <c r="AA95" s="16">
        <f t="shared" ca="1" si="90"/>
        <v>12.303624134576895</v>
      </c>
      <c r="AB95" s="16">
        <f t="shared" ca="1" si="91"/>
        <v>5.6912003410348202</v>
      </c>
      <c r="AC95" s="16">
        <f t="shared" ca="1" si="92"/>
        <v>0.69425251929351306</v>
      </c>
      <c r="AD95" s="16">
        <f t="shared" ca="1" si="93"/>
        <v>0</v>
      </c>
      <c r="AF95" s="16">
        <f t="shared" ca="1" si="41"/>
        <v>0.9681069406530185</v>
      </c>
      <c r="AG95" s="16">
        <f t="shared" ca="1" si="80"/>
        <v>1.080345295941282E-3</v>
      </c>
      <c r="AH95" s="16">
        <f t="shared" ca="1" si="42"/>
        <v>1.080345295941282E-3</v>
      </c>
      <c r="AI95" s="16">
        <f t="shared" ca="1" si="81"/>
        <v>1.2266420547666639E-3</v>
      </c>
      <c r="AJ95" s="16">
        <f t="shared" ca="1" si="63"/>
        <v>2.0423376843669008E-3</v>
      </c>
      <c r="AK95" s="16">
        <f t="shared" ca="1" si="64"/>
        <v>4.2661701374160487E-4</v>
      </c>
      <c r="AL95" s="16">
        <f t="shared" ca="1" si="82"/>
        <v>5.9871479741574897E-4</v>
      </c>
      <c r="AM95" s="16">
        <f t="shared" ca="1" si="83"/>
        <v>2.5538023736983049E-3</v>
      </c>
    </row>
    <row r="96" spans="1:39" ht="16.5" x14ac:dyDescent="0.3">
      <c r="A96"/>
      <c r="B96" s="36">
        <f t="shared" si="39"/>
        <v>70</v>
      </c>
      <c r="C96" s="36">
        <f t="shared" si="39"/>
        <v>70</v>
      </c>
      <c r="D96" s="36">
        <f t="shared" si="65"/>
        <v>0.2</v>
      </c>
      <c r="E96" s="14">
        <f t="shared" ca="1" si="66"/>
        <v>1.349740292095824E-4</v>
      </c>
      <c r="F96" s="14">
        <f t="shared" ca="1" si="67"/>
        <v>1.1995439503421705E-4</v>
      </c>
      <c r="G96" s="14">
        <f t="shared" ca="1" si="68"/>
        <v>3.8209064138373255E-5</v>
      </c>
      <c r="H96" s="14">
        <f t="shared" ca="1" si="69"/>
        <v>1.6653462506199411E-4</v>
      </c>
      <c r="I96" s="14">
        <f t="shared" ca="1" si="70"/>
        <v>2.5963128854598021E-4</v>
      </c>
      <c r="J96" s="14">
        <f t="shared" ca="1" si="71"/>
        <v>1.1554849346523367E-3</v>
      </c>
      <c r="K96" s="14">
        <f t="shared" ca="1" si="72"/>
        <v>1.1717401159675631E-3</v>
      </c>
      <c r="L96" s="14">
        <f t="shared" ca="1" si="73"/>
        <v>0.93033812359855461</v>
      </c>
      <c r="M96" s="14">
        <f t="shared" ca="1" si="74"/>
        <v>2.7838289716572349E-2</v>
      </c>
      <c r="N96" s="14">
        <f t="shared" ca="1" si="75"/>
        <v>5.3355407421232367E-3</v>
      </c>
      <c r="O96" s="14">
        <f t="shared" ca="1" si="76"/>
        <v>3.963438699679073E-3</v>
      </c>
      <c r="P96" s="14">
        <f t="shared" ca="1" si="77"/>
        <v>2.9478078790463914E-2</v>
      </c>
      <c r="Q96"/>
      <c r="R96" s="44">
        <f t="shared" ca="1" si="62"/>
        <v>1.0000000000000031</v>
      </c>
      <c r="S96" s="16">
        <f t="shared" ca="1" si="78"/>
        <v>1.3826807039244224</v>
      </c>
      <c r="T96" s="16">
        <f t="shared" ca="1" si="84"/>
        <v>0.39482432469754458</v>
      </c>
      <c r="U96" s="16">
        <f t="shared" ca="1" si="85"/>
        <v>0.12576352742015337</v>
      </c>
      <c r="V96" s="16">
        <f t="shared" ca="1" si="86"/>
        <v>0.42362914546143365</v>
      </c>
      <c r="W96" s="16">
        <f t="shared" ca="1" si="87"/>
        <v>0.59569906122003502</v>
      </c>
      <c r="X96" s="16">
        <f t="shared" ca="1" si="88"/>
        <v>2.6208962607192707</v>
      </c>
      <c r="Y96" s="16">
        <f t="shared" ca="1" si="89"/>
        <v>2.7818731507193504</v>
      </c>
      <c r="Z96" s="16">
        <f t="shared" ca="1" si="79"/>
        <v>0</v>
      </c>
      <c r="AA96" s="16">
        <f t="shared" ca="1" si="90"/>
        <v>11.901361440157057</v>
      </c>
      <c r="AB96" s="16">
        <f t="shared" ca="1" si="91"/>
        <v>5.6910036437656535</v>
      </c>
      <c r="AC96" s="16">
        <f t="shared" ca="1" si="92"/>
        <v>0.69422852478155295</v>
      </c>
      <c r="AD96" s="16">
        <f t="shared" ca="1" si="93"/>
        <v>0</v>
      </c>
      <c r="AF96" s="16">
        <f t="shared" ca="1" si="41"/>
        <v>0.9691151818308209</v>
      </c>
      <c r="AG96" s="16">
        <f t="shared" ca="1" si="80"/>
        <v>1.0802202198611096E-3</v>
      </c>
      <c r="AH96" s="16">
        <f t="shared" ca="1" si="42"/>
        <v>1.0802202198611096E-3</v>
      </c>
      <c r="AI96" s="16">
        <f t="shared" ca="1" si="81"/>
        <v>1.2265000413006347E-3</v>
      </c>
      <c r="AJ96" s="16">
        <f t="shared" ca="1" si="63"/>
        <v>2.0421012344162153E-3</v>
      </c>
      <c r="AK96" s="16">
        <f t="shared" ca="1" si="64"/>
        <v>4.2656762251084364E-4</v>
      </c>
      <c r="AL96" s="16">
        <f t="shared" ca="1" si="82"/>
        <v>5.879532802683065E-4</v>
      </c>
      <c r="AM96" s="16">
        <f t="shared" ca="1" si="83"/>
        <v>2.4933922038883438E-3</v>
      </c>
    </row>
    <row r="97" spans="1:39" ht="16.5" x14ac:dyDescent="0.3">
      <c r="A97"/>
      <c r="B97" s="36">
        <f t="shared" si="39"/>
        <v>71</v>
      </c>
      <c r="C97" s="36">
        <f t="shared" si="39"/>
        <v>71</v>
      </c>
      <c r="D97" s="36">
        <f t="shared" si="65"/>
        <v>0.2</v>
      </c>
      <c r="E97" s="14">
        <f t="shared" ca="1" si="66"/>
        <v>1.3495936132895363E-4</v>
      </c>
      <c r="F97" s="14">
        <f t="shared" ca="1" si="67"/>
        <v>1.1994119036171957E-4</v>
      </c>
      <c r="G97" s="14">
        <f t="shared" ca="1" si="68"/>
        <v>3.8204762093729867E-5</v>
      </c>
      <c r="H97" s="14">
        <f t="shared" ca="1" si="69"/>
        <v>1.6549469719026377E-4</v>
      </c>
      <c r="I97" s="14">
        <f t="shared" ca="1" si="70"/>
        <v>2.4599710350732811E-4</v>
      </c>
      <c r="J97" s="14">
        <f t="shared" ca="1" si="71"/>
        <v>1.1193801448964012E-3</v>
      </c>
      <c r="K97" s="14">
        <f t="shared" ca="1" si="72"/>
        <v>1.1558366214671463E-3</v>
      </c>
      <c r="L97" s="14">
        <f t="shared" ca="1" si="73"/>
        <v>0.93120525547212907</v>
      </c>
      <c r="M97" s="14">
        <f t="shared" ca="1" si="74"/>
        <v>2.6934697082124658E-2</v>
      </c>
      <c r="N97" s="14">
        <f t="shared" ca="1" si="75"/>
        <v>5.3541042642611747E-3</v>
      </c>
      <c r="O97" s="14">
        <f t="shared" ca="1" si="76"/>
        <v>3.9678160061911482E-3</v>
      </c>
      <c r="P97" s="14">
        <f t="shared" ca="1" si="77"/>
        <v>2.9558313294451723E-2</v>
      </c>
      <c r="Q97"/>
      <c r="R97" s="44">
        <f t="shared" ca="1" si="62"/>
        <v>1.0000000000000033</v>
      </c>
      <c r="S97" s="16">
        <f t="shared" ca="1" si="78"/>
        <v>1.3825304454218674</v>
      </c>
      <c r="T97" s="16">
        <f t="shared" ca="1" si="84"/>
        <v>0.39478057167304215</v>
      </c>
      <c r="U97" s="16">
        <f t="shared" ca="1" si="85"/>
        <v>0.12574926693146701</v>
      </c>
      <c r="V97" s="16">
        <f t="shared" ca="1" si="86"/>
        <v>0.42093349357852244</v>
      </c>
      <c r="W97" s="16">
        <f t="shared" ca="1" si="87"/>
        <v>0.56432944900808646</v>
      </c>
      <c r="X97" s="16">
        <f t="shared" ca="1" si="88"/>
        <v>2.5389661203481784</v>
      </c>
      <c r="Y97" s="16">
        <f t="shared" ca="1" si="89"/>
        <v>2.7433983215774203</v>
      </c>
      <c r="Z97" s="16">
        <f t="shared" ca="1" si="79"/>
        <v>0</v>
      </c>
      <c r="AA97" s="16">
        <f t="shared" ca="1" si="90"/>
        <v>11.514103419888091</v>
      </c>
      <c r="AB97" s="16">
        <f t="shared" ca="1" si="91"/>
        <v>5.6907967496629253</v>
      </c>
      <c r="AC97" s="16">
        <f t="shared" ca="1" si="92"/>
        <v>0.69420328638834206</v>
      </c>
      <c r="AD97" s="16">
        <f t="shared" ca="1" si="93"/>
        <v>0</v>
      </c>
      <c r="AF97" s="16">
        <f t="shared" ca="1" si="41"/>
        <v>0.97008548903703307</v>
      </c>
      <c r="AG97" s="16">
        <f t="shared" ca="1" si="80"/>
        <v>1.0800969666541847E-3</v>
      </c>
      <c r="AH97" s="16">
        <f t="shared" ca="1" si="42"/>
        <v>1.0800969666541847E-3</v>
      </c>
      <c r="AI97" s="16">
        <f t="shared" ca="1" si="81"/>
        <v>1.2263600975552719E-3</v>
      </c>
      <c r="AJ97" s="16">
        <f t="shared" ca="1" si="63"/>
        <v>2.041868230514437E-3</v>
      </c>
      <c r="AK97" s="16">
        <f t="shared" ca="1" si="64"/>
        <v>4.2651895111358765E-4</v>
      </c>
      <c r="AL97" s="16">
        <f t="shared" ca="1" si="82"/>
        <v>5.7761917400307001E-4</v>
      </c>
      <c r="AM97" s="16">
        <f t="shared" ca="1" si="83"/>
        <v>2.4355519927247247E-3</v>
      </c>
    </row>
    <row r="98" spans="1:39" ht="16.5" x14ac:dyDescent="0.3">
      <c r="A98"/>
      <c r="B98" s="36">
        <f t="shared" si="39"/>
        <v>72</v>
      </c>
      <c r="C98" s="36">
        <f t="shared" si="39"/>
        <v>72</v>
      </c>
      <c r="D98" s="36">
        <f t="shared" si="65"/>
        <v>0.2</v>
      </c>
      <c r="E98" s="14">
        <f t="shared" ca="1" si="66"/>
        <v>1.3494487514465291E-4</v>
      </c>
      <c r="F98" s="14">
        <f t="shared" ca="1" si="67"/>
        <v>1.1992815521341262E-4</v>
      </c>
      <c r="G98" s="14">
        <f t="shared" ca="1" si="68"/>
        <v>3.8200518661888015E-5</v>
      </c>
      <c r="H98" s="14">
        <f t="shared" ca="1" si="69"/>
        <v>1.6449904323666628E-4</v>
      </c>
      <c r="I98" s="14">
        <f t="shared" ca="1" si="70"/>
        <v>2.3315239479160913E-4</v>
      </c>
      <c r="J98" s="14">
        <f t="shared" ca="1" si="71"/>
        <v>1.084435455525546E-3</v>
      </c>
      <c r="K98" s="14">
        <f t="shared" ca="1" si="72"/>
        <v>1.1407132791737035E-3</v>
      </c>
      <c r="L98" s="14">
        <f t="shared" ca="1" si="73"/>
        <v>0.9320371313931296</v>
      </c>
      <c r="M98" s="14">
        <f t="shared" ca="1" si="74"/>
        <v>2.6064819081895941E-2</v>
      </c>
      <c r="N98" s="14">
        <f t="shared" ca="1" si="75"/>
        <v>5.3718837239371351E-3</v>
      </c>
      <c r="O98" s="14">
        <f t="shared" ca="1" si="76"/>
        <v>3.9718910499997951E-3</v>
      </c>
      <c r="P98" s="14">
        <f t="shared" ca="1" si="77"/>
        <v>2.9638401029293431E-2</v>
      </c>
      <c r="Q98"/>
      <c r="R98" s="44">
        <f t="shared" ca="1" si="62"/>
        <v>1.0000000000000036</v>
      </c>
      <c r="S98" s="16">
        <f t="shared" ca="1" si="78"/>
        <v>1.3823820482255815</v>
      </c>
      <c r="T98" s="16">
        <f t="shared" ca="1" si="84"/>
        <v>0.39473739050553264</v>
      </c>
      <c r="U98" s="16">
        <f t="shared" ca="1" si="85"/>
        <v>0.12573520419627121</v>
      </c>
      <c r="V98" s="16">
        <f t="shared" ca="1" si="86"/>
        <v>0.41835286436364483</v>
      </c>
      <c r="W98" s="16">
        <f t="shared" ca="1" si="87"/>
        <v>0.53477648133934752</v>
      </c>
      <c r="X98" s="16">
        <f t="shared" ca="1" si="88"/>
        <v>2.459668133846451</v>
      </c>
      <c r="Y98" s="16">
        <f t="shared" ca="1" si="89"/>
        <v>2.706828540390338</v>
      </c>
      <c r="Z98" s="16">
        <f t="shared" ca="1" si="79"/>
        <v>0</v>
      </c>
      <c r="AA98" s="16">
        <f t="shared" ca="1" si="90"/>
        <v>11.14129329041959</v>
      </c>
      <c r="AB98" s="16">
        <f t="shared" ca="1" si="91"/>
        <v>5.6905802020871477</v>
      </c>
      <c r="AC98" s="16">
        <f t="shared" ca="1" si="92"/>
        <v>0.69417687039680775</v>
      </c>
      <c r="AD98" s="16">
        <f t="shared" ca="1" si="93"/>
        <v>0</v>
      </c>
      <c r="AF98" s="16">
        <f t="shared" ca="1" si="41"/>
        <v>0.97101930719635998</v>
      </c>
      <c r="AG98" s="16">
        <f t="shared" ca="1" si="80"/>
        <v>1.0799754488601718E-3</v>
      </c>
      <c r="AH98" s="16">
        <f t="shared" ca="1" si="42"/>
        <v>1.0799754488601718E-3</v>
      </c>
      <c r="AI98" s="16">
        <f t="shared" ca="1" si="81"/>
        <v>1.2262221242266534E-3</v>
      </c>
      <c r="AJ98" s="16">
        <f t="shared" ca="1" si="63"/>
        <v>2.0416385073222633E-3</v>
      </c>
      <c r="AK98" s="16">
        <f t="shared" ca="1" si="64"/>
        <v>4.2647096501266882E-4</v>
      </c>
      <c r="AL98" s="16">
        <f t="shared" ca="1" si="82"/>
        <v>5.6769400470996646E-4</v>
      </c>
      <c r="AM98" s="16">
        <f t="shared" ca="1" si="83"/>
        <v>2.3801497965865439E-3</v>
      </c>
    </row>
    <row r="99" spans="1:39" ht="16.5" x14ac:dyDescent="0.3">
      <c r="A99"/>
      <c r="B99" s="36">
        <f t="shared" si="39"/>
        <v>73</v>
      </c>
      <c r="C99" s="36">
        <f t="shared" si="39"/>
        <v>73</v>
      </c>
      <c r="D99" s="36">
        <f t="shared" si="65"/>
        <v>0.2</v>
      </c>
      <c r="E99" s="14">
        <f t="shared" ca="1" si="66"/>
        <v>1.3493056209028893E-4</v>
      </c>
      <c r="F99" s="14">
        <f t="shared" ca="1" si="67"/>
        <v>1.1991528156840063E-4</v>
      </c>
      <c r="G99" s="14">
        <f t="shared" ca="1" si="68"/>
        <v>3.8196331051027396E-5</v>
      </c>
      <c r="H99" s="14">
        <f t="shared" ca="1" si="69"/>
        <v>1.6354559131281124E-4</v>
      </c>
      <c r="I99" s="14">
        <f t="shared" ca="1" si="70"/>
        <v>2.2105126062672555E-4</v>
      </c>
      <c r="J99" s="14">
        <f t="shared" ca="1" si="71"/>
        <v>1.0506138907138689E-3</v>
      </c>
      <c r="K99" s="14">
        <f t="shared" ca="1" si="72"/>
        <v>1.1263195808311481E-3</v>
      </c>
      <c r="L99" s="14">
        <f t="shared" ca="1" si="73"/>
        <v>0.93283508141692739</v>
      </c>
      <c r="M99" s="14">
        <f t="shared" ca="1" si="74"/>
        <v>2.5227403203042564E-2</v>
      </c>
      <c r="N99" s="14">
        <f t="shared" ca="1" si="75"/>
        <v>5.388911461476107E-3</v>
      </c>
      <c r="O99" s="14">
        <f t="shared" ca="1" si="76"/>
        <v>3.9756835643259478E-3</v>
      </c>
      <c r="P99" s="14">
        <f t="shared" ca="1" si="77"/>
        <v>2.9718347856037334E-2</v>
      </c>
      <c r="Q99"/>
      <c r="R99" s="44">
        <f t="shared" ca="1" si="62"/>
        <v>1.0000000000000038</v>
      </c>
      <c r="S99" s="16">
        <f t="shared" ca="1" si="78"/>
        <v>1.3822354245810242</v>
      </c>
      <c r="T99" s="16">
        <f t="shared" ca="1" si="84"/>
        <v>0.39469475408843924</v>
      </c>
      <c r="U99" s="16">
        <f t="shared" ca="1" si="85"/>
        <v>0.12572132977731354</v>
      </c>
      <c r="V99" s="16">
        <f t="shared" ca="1" si="86"/>
        <v>0.4158818658964456</v>
      </c>
      <c r="W99" s="16">
        <f t="shared" ca="1" si="87"/>
        <v>0.50693454447602249</v>
      </c>
      <c r="X99" s="16">
        <f t="shared" ca="1" si="88"/>
        <v>2.3829184438704041</v>
      </c>
      <c r="Y99" s="16">
        <f t="shared" ca="1" si="89"/>
        <v>2.6720382804447187</v>
      </c>
      <c r="Z99" s="16">
        <f t="shared" ca="1" si="79"/>
        <v>0</v>
      </c>
      <c r="AA99" s="16">
        <f t="shared" ca="1" si="90"/>
        <v>10.782394507628347</v>
      </c>
      <c r="AB99" s="16">
        <f t="shared" ca="1" si="91"/>
        <v>5.6903545003208107</v>
      </c>
      <c r="AC99" s="16">
        <f t="shared" ca="1" si="92"/>
        <v>0.69414933771292719</v>
      </c>
      <c r="AD99" s="16">
        <f t="shared" ca="1" si="93"/>
        <v>0</v>
      </c>
      <c r="AF99" s="16">
        <f t="shared" ca="1" si="41"/>
        <v>0.97191802429876684</v>
      </c>
      <c r="AG99" s="16">
        <f t="shared" ca="1" si="80"/>
        <v>1.0798555835284981E-3</v>
      </c>
      <c r="AH99" s="16">
        <f t="shared" ca="1" si="42"/>
        <v>1.0798555835284981E-3</v>
      </c>
      <c r="AI99" s="16">
        <f t="shared" ca="1" si="81"/>
        <v>1.2260860271313154E-3</v>
      </c>
      <c r="AJ99" s="16">
        <f t="shared" ca="1" si="63"/>
        <v>2.0414119080258658E-3</v>
      </c>
      <c r="AK99" s="16">
        <f t="shared" ca="1" si="64"/>
        <v>4.2642363145177687E-4</v>
      </c>
      <c r="AL99" s="16">
        <f t="shared" ca="1" si="82"/>
        <v>5.5816016040511512E-4</v>
      </c>
      <c r="AM99" s="16">
        <f t="shared" ca="1" si="83"/>
        <v>2.3270629495657598E-3</v>
      </c>
    </row>
    <row r="100" spans="1:39" ht="16.5" x14ac:dyDescent="0.3">
      <c r="A100"/>
      <c r="B100" s="36">
        <f t="shared" ref="B100:C136" si="94">B99+1</f>
        <v>74</v>
      </c>
      <c r="C100" s="36">
        <f t="shared" si="94"/>
        <v>74</v>
      </c>
      <c r="D100" s="36">
        <f t="shared" si="65"/>
        <v>0.2</v>
      </c>
      <c r="E100" s="14">
        <f t="shared" ca="1" si="66"/>
        <v>1.3491641403168476E-4</v>
      </c>
      <c r="F100" s="14">
        <f t="shared" ca="1" si="67"/>
        <v>1.199025618121746E-4</v>
      </c>
      <c r="G100" s="14">
        <f t="shared" ca="1" si="68"/>
        <v>3.8192196611983634E-5</v>
      </c>
      <c r="H100" s="14">
        <f t="shared" ca="1" si="69"/>
        <v>1.6263237322875607E-4</v>
      </c>
      <c r="I100" s="14">
        <f t="shared" ca="1" si="70"/>
        <v>2.0965046252509993E-4</v>
      </c>
      <c r="J100" s="14">
        <f t="shared" ca="1" si="71"/>
        <v>1.0178796249532985E-3</v>
      </c>
      <c r="K100" s="14">
        <f t="shared" ca="1" si="72"/>
        <v>1.1126097713655915E-3</v>
      </c>
      <c r="L100" s="14">
        <f t="shared" ca="1" si="73"/>
        <v>0.93360038409188018</v>
      </c>
      <c r="M100" s="14">
        <f t="shared" ca="1" si="74"/>
        <v>2.4421242679557312E-2</v>
      </c>
      <c r="N100" s="14">
        <f t="shared" ca="1" si="75"/>
        <v>5.4052184867747462E-3</v>
      </c>
      <c r="O100" s="14">
        <f t="shared" ca="1" si="76"/>
        <v>3.9792119876318009E-3</v>
      </c>
      <c r="P100" s="14">
        <f t="shared" ca="1" si="77"/>
        <v>2.9798159349631172E-2</v>
      </c>
      <c r="Q100"/>
      <c r="R100" s="44">
        <f t="shared" ca="1" si="62"/>
        <v>1.000000000000004</v>
      </c>
      <c r="S100" s="16">
        <f t="shared" ca="1" si="78"/>
        <v>1.3820904911612801</v>
      </c>
      <c r="T100" s="16">
        <f t="shared" ca="1" si="84"/>
        <v>0.3946526366915929</v>
      </c>
      <c r="U100" s="16">
        <f t="shared" ca="1" si="85"/>
        <v>0.12570763472071916</v>
      </c>
      <c r="V100" s="16">
        <f t="shared" ca="1" si="86"/>
        <v>0.41351537632721735</v>
      </c>
      <c r="W100" s="16">
        <f t="shared" ca="1" si="87"/>
        <v>0.48070414939728601</v>
      </c>
      <c r="X100" s="16">
        <f t="shared" ca="1" si="88"/>
        <v>2.3086357971966547</v>
      </c>
      <c r="Y100" s="16">
        <f t="shared" ca="1" si="89"/>
        <v>2.6389140809666869</v>
      </c>
      <c r="Z100" s="16">
        <f t="shared" ca="1" si="79"/>
        <v>0</v>
      </c>
      <c r="AA100" s="16">
        <f t="shared" ca="1" si="90"/>
        <v>10.436890094210732</v>
      </c>
      <c r="AB100" s="16">
        <f t="shared" ca="1" si="91"/>
        <v>5.690120104904107</v>
      </c>
      <c r="AC100" s="16">
        <f t="shared" ca="1" si="92"/>
        <v>0.69412074451662209</v>
      </c>
      <c r="AD100" s="16">
        <f t="shared" ca="1" si="93"/>
        <v>0</v>
      </c>
      <c r="AF100" s="16">
        <f t="shared" ca="1" si="41"/>
        <v>0.97278297391591795</v>
      </c>
      <c r="AG100" s="16">
        <f t="shared" ca="1" si="80"/>
        <v>1.0797372919653294E-3</v>
      </c>
      <c r="AH100" s="16">
        <f t="shared" ca="1" si="42"/>
        <v>1.0797372919653294E-3</v>
      </c>
      <c r="AI100" s="16">
        <f t="shared" ca="1" si="81"/>
        <v>1.2259517169189676E-3</v>
      </c>
      <c r="AJ100" s="16">
        <f t="shared" ca="1" si="63"/>
        <v>2.0411882838585653E-3</v>
      </c>
      <c r="AK100" s="16">
        <f t="shared" ca="1" si="64"/>
        <v>4.2637691935554293E-4</v>
      </c>
      <c r="AL100" s="16">
        <f t="shared" ca="1" si="82"/>
        <v>5.4900084907902661E-4</v>
      </c>
      <c r="AM100" s="16">
        <f t="shared" ca="1" si="83"/>
        <v>2.2761771022824034E-3</v>
      </c>
    </row>
    <row r="101" spans="1:39" ht="16.5" x14ac:dyDescent="0.3">
      <c r="A101"/>
      <c r="B101" s="36">
        <f t="shared" si="94"/>
        <v>75</v>
      </c>
      <c r="C101" s="36">
        <f t="shared" si="94"/>
        <v>75</v>
      </c>
      <c r="D101" s="36">
        <f t="shared" si="65"/>
        <v>0.2</v>
      </c>
      <c r="E101" s="14">
        <f t="shared" ca="1" si="66"/>
        <v>1.3490242324341577E-4</v>
      </c>
      <c r="F101" s="14">
        <f t="shared" ca="1" si="67"/>
        <v>1.1988998871442223E-4</v>
      </c>
      <c r="G101" s="14">
        <f t="shared" ca="1" si="68"/>
        <v>3.8188112830353616E-5</v>
      </c>
      <c r="H101" s="14">
        <f t="shared" ca="1" si="69"/>
        <v>1.6175751913456103E-4</v>
      </c>
      <c r="I101" s="14">
        <f t="shared" ca="1" si="70"/>
        <v>1.9890927291021644E-4</v>
      </c>
      <c r="J101" s="14">
        <f t="shared" ca="1" si="71"/>
        <v>9.8619795072170564E-4</v>
      </c>
      <c r="K101" s="14">
        <f t="shared" ca="1" si="72"/>
        <v>1.0995422320793737E-3</v>
      </c>
      <c r="L101" s="14">
        <f t="shared" ca="1" si="73"/>
        <v>0.93433426866482172</v>
      </c>
      <c r="M101" s="14">
        <f t="shared" ca="1" si="74"/>
        <v>2.36451749365496E-2</v>
      </c>
      <c r="N101" s="14">
        <f t="shared" ca="1" si="75"/>
        <v>5.4208345333858271E-3</v>
      </c>
      <c r="O101" s="14">
        <f t="shared" ca="1" si="76"/>
        <v>3.9824935483853859E-3</v>
      </c>
      <c r="P101" s="14">
        <f t="shared" ca="1" si="77"/>
        <v>2.9877840817227337E-2</v>
      </c>
      <c r="Q101"/>
      <c r="R101" s="44">
        <f t="shared" ca="1" si="62"/>
        <v>1.000000000000004</v>
      </c>
      <c r="S101" s="16">
        <f t="shared" ca="1" si="78"/>
        <v>1.3819471688267133</v>
      </c>
      <c r="T101" s="16">
        <f t="shared" ca="1" si="84"/>
        <v>0.39461101388583614</v>
      </c>
      <c r="U101" s="16">
        <f t="shared" ca="1" si="85"/>
        <v>0.12569411052914067</v>
      </c>
      <c r="V101" s="16">
        <f t="shared" ca="1" si="86"/>
        <v>0.41124852994251887</v>
      </c>
      <c r="W101" s="16">
        <f t="shared" ca="1" si="87"/>
        <v>0.45599158197744855</v>
      </c>
      <c r="X101" s="16">
        <f t="shared" ca="1" si="88"/>
        <v>2.2367414722448968</v>
      </c>
      <c r="Y101" s="16">
        <f t="shared" ca="1" si="89"/>
        <v>2.6073529588604081</v>
      </c>
      <c r="Z101" s="16">
        <f t="shared" ca="1" si="79"/>
        <v>0</v>
      </c>
      <c r="AA101" s="16">
        <f t="shared" ca="1" si="90"/>
        <v>10.104281979169915</v>
      </c>
      <c r="AB101" s="16">
        <f t="shared" ca="1" si="91"/>
        <v>5.6898774421664404</v>
      </c>
      <c r="AC101" s="16">
        <f t="shared" ca="1" si="92"/>
        <v>0.69409114281454432</v>
      </c>
      <c r="AD101" s="16">
        <f t="shared" ca="1" si="93"/>
        <v>0</v>
      </c>
      <c r="AF101" s="16">
        <f t="shared" ca="1" si="41"/>
        <v>0.9736154375638203</v>
      </c>
      <c r="AG101" s="16">
        <f t="shared" ca="1" si="80"/>
        <v>1.079620499496536E-3</v>
      </c>
      <c r="AH101" s="16">
        <f t="shared" ca="1" si="42"/>
        <v>1.079620499496536E-3</v>
      </c>
      <c r="AI101" s="16">
        <f t="shared" ca="1" si="81"/>
        <v>1.2258191088033584E-3</v>
      </c>
      <c r="AJ101" s="16">
        <f t="shared" ca="1" si="63"/>
        <v>2.0409674936527271E-3</v>
      </c>
      <c r="AK101" s="16">
        <f t="shared" ca="1" si="64"/>
        <v>4.2633079923593735E-4</v>
      </c>
      <c r="AL101" s="16">
        <f t="shared" ca="1" si="82"/>
        <v>5.4020005868020318E-4</v>
      </c>
      <c r="AM101" s="16">
        <f t="shared" ca="1" si="83"/>
        <v>2.2273853934011156E-3</v>
      </c>
    </row>
    <row r="102" spans="1:39" ht="16.5" x14ac:dyDescent="0.3">
      <c r="A102"/>
      <c r="B102" s="36">
        <f t="shared" si="94"/>
        <v>76</v>
      </c>
      <c r="C102" s="36">
        <f t="shared" si="94"/>
        <v>76</v>
      </c>
      <c r="D102" s="36">
        <f t="shared" si="65"/>
        <v>0.2</v>
      </c>
      <c r="E102" s="14">
        <f t="shared" ca="1" si="66"/>
        <v>1.3488858238674522E-4</v>
      </c>
      <c r="F102" s="14">
        <f t="shared" ca="1" si="67"/>
        <v>1.1987755540817158E-4</v>
      </c>
      <c r="G102" s="14">
        <f t="shared" ca="1" si="68"/>
        <v>3.8184077319087946E-5</v>
      </c>
      <c r="H102" s="14">
        <f t="shared" ca="1" si="69"/>
        <v>1.609192524272827E-4</v>
      </c>
      <c r="I102" s="14">
        <f t="shared" ca="1" si="70"/>
        <v>1.8878933105022166E-4</v>
      </c>
      <c r="J102" s="14">
        <f t="shared" ca="1" si="71"/>
        <v>9.5553524653894126E-4</v>
      </c>
      <c r="K102" s="14">
        <f t="shared" ca="1" si="72"/>
        <v>1.0870789588843842E-3</v>
      </c>
      <c r="L102" s="14">
        <f t="shared" ca="1" si="73"/>
        <v>0.93503791715760654</v>
      </c>
      <c r="M102" s="14">
        <f t="shared" ca="1" si="74"/>
        <v>2.2898080068736188E-2</v>
      </c>
      <c r="N102" s="14">
        <f t="shared" ca="1" si="75"/>
        <v>5.435788110508705E-3</v>
      </c>
      <c r="O102" s="14">
        <f t="shared" ca="1" si="76"/>
        <v>3.9855443443523129E-3</v>
      </c>
      <c r="P102" s="14">
        <f t="shared" ca="1" si="77"/>
        <v>2.9957397314785361E-2</v>
      </c>
      <c r="Q102"/>
      <c r="R102" s="44">
        <f t="shared" ca="1" si="62"/>
        <v>1.000000000000004</v>
      </c>
      <c r="S102" s="16">
        <f t="shared" ca="1" si="78"/>
        <v>1.3818053823989374</v>
      </c>
      <c r="T102" s="16">
        <f t="shared" ca="1" si="84"/>
        <v>0.39456986247218467</v>
      </c>
      <c r="U102" s="16">
        <f t="shared" ca="1" si="85"/>
        <v>0.12568074913657626</v>
      </c>
      <c r="V102" s="16">
        <f t="shared" ca="1" si="86"/>
        <v>0.40907670391524303</v>
      </c>
      <c r="W102" s="16">
        <f t="shared" ca="1" si="87"/>
        <v>0.43270857213083752</v>
      </c>
      <c r="X102" s="16">
        <f t="shared" ca="1" si="88"/>
        <v>2.1671592073399295</v>
      </c>
      <c r="Y102" s="16">
        <f t="shared" ca="1" si="89"/>
        <v>2.5772610667294336</v>
      </c>
      <c r="Z102" s="16">
        <f t="shared" ca="1" si="79"/>
        <v>0</v>
      </c>
      <c r="AA102" s="16">
        <f t="shared" ca="1" si="90"/>
        <v>9.7840903509361521</v>
      </c>
      <c r="AB102" s="16">
        <f t="shared" ca="1" si="91"/>
        <v>5.6896269080854758</v>
      </c>
      <c r="AC102" s="16">
        <f t="shared" ca="1" si="92"/>
        <v>0.6940605809108239</v>
      </c>
      <c r="AD102" s="16">
        <f t="shared" ca="1" si="93"/>
        <v>0</v>
      </c>
      <c r="AF102" s="16">
        <f t="shared" ca="1" si="41"/>
        <v>0.97441664692725283</v>
      </c>
      <c r="AG102" s="16">
        <f t="shared" ca="1" si="80"/>
        <v>1.0795051352454309E-3</v>
      </c>
      <c r="AH102" s="16">
        <f t="shared" ca="1" si="42"/>
        <v>1.0795051352454309E-3</v>
      </c>
      <c r="AI102" s="16">
        <f t="shared" ca="1" si="81"/>
        <v>1.2256881223099161E-3</v>
      </c>
      <c r="AJ102" s="16">
        <f t="shared" ca="1" si="63"/>
        <v>2.0407494034195895E-3</v>
      </c>
      <c r="AK102" s="16">
        <f t="shared" ca="1" si="64"/>
        <v>4.262852431045006E-4</v>
      </c>
      <c r="AL102" s="16">
        <f t="shared" ca="1" si="82"/>
        <v>5.3174251897998744E-4</v>
      </c>
      <c r="AM102" s="16">
        <f t="shared" ca="1" si="83"/>
        <v>2.1805877328444538E-3</v>
      </c>
    </row>
    <row r="103" spans="1:39" ht="16.5" x14ac:dyDescent="0.3">
      <c r="A103"/>
      <c r="B103" s="36">
        <f t="shared" si="94"/>
        <v>77</v>
      </c>
      <c r="C103" s="36">
        <f t="shared" si="94"/>
        <v>77</v>
      </c>
      <c r="D103" s="36">
        <f t="shared" si="65"/>
        <v>0.2</v>
      </c>
      <c r="E103" s="14">
        <f t="shared" ca="1" si="66"/>
        <v>1.348748844888607E-4</v>
      </c>
      <c r="F103" s="14">
        <f t="shared" ca="1" si="67"/>
        <v>1.1986525537017747E-4</v>
      </c>
      <c r="G103" s="14">
        <f t="shared" ca="1" si="68"/>
        <v>3.8180087811534937E-5</v>
      </c>
      <c r="H103" s="14">
        <f t="shared" ca="1" si="69"/>
        <v>1.6011588491378849E-4</v>
      </c>
      <c r="I103" s="14">
        <f t="shared" ca="1" si="70"/>
        <v>1.7925450691891586E-4</v>
      </c>
      <c r="J103" s="14">
        <f t="shared" ca="1" si="71"/>
        <v>9.2585894550034945E-4</v>
      </c>
      <c r="K103" s="14">
        <f t="shared" ca="1" si="72"/>
        <v>1.0751851198947191E-3</v>
      </c>
      <c r="L103" s="14">
        <f t="shared" ca="1" si="73"/>
        <v>0.93571246632742899</v>
      </c>
      <c r="M103" s="14">
        <f t="shared" ca="1" si="74"/>
        <v>2.2178879355782836E-2</v>
      </c>
      <c r="N103" s="14">
        <f t="shared" ca="1" si="75"/>
        <v>5.4501065529493587E-3</v>
      </c>
      <c r="O103" s="14">
        <f t="shared" ca="1" si="76"/>
        <v>3.9883794167532346E-3</v>
      </c>
      <c r="P103" s="14">
        <f t="shared" ca="1" si="77"/>
        <v>3.0036833662191127E-2</v>
      </c>
      <c r="Q103"/>
      <c r="R103" s="44">
        <f t="shared" ca="1" si="62"/>
        <v>1.000000000000004</v>
      </c>
      <c r="S103" s="16">
        <f t="shared" ca="1" si="78"/>
        <v>1.3816650604481133</v>
      </c>
      <c r="T103" s="16">
        <f t="shared" ca="1" si="84"/>
        <v>0.39452916041522845</v>
      </c>
      <c r="U103" s="16">
        <f t="shared" ca="1" si="85"/>
        <v>0.12566754288473259</v>
      </c>
      <c r="V103" s="16">
        <f t="shared" ca="1" si="86"/>
        <v>0.4069955057155164</v>
      </c>
      <c r="W103" s="16">
        <f t="shared" ca="1" si="87"/>
        <v>0.41077198107587132</v>
      </c>
      <c r="X103" s="16">
        <f t="shared" ca="1" si="88"/>
        <v>2.0998151299395569</v>
      </c>
      <c r="Y103" s="16">
        <f t="shared" ca="1" si="89"/>
        <v>2.5485525564529907</v>
      </c>
      <c r="Z103" s="16">
        <f t="shared" ca="1" si="79"/>
        <v>0</v>
      </c>
      <c r="AA103" s="16">
        <f t="shared" ca="1" si="90"/>
        <v>9.4758530254252662</v>
      </c>
      <c r="AB103" s="16">
        <f t="shared" ca="1" si="91"/>
        <v>5.6893688715836914</v>
      </c>
      <c r="AC103" s="16">
        <f t="shared" ca="1" si="92"/>
        <v>0.69402910380920957</v>
      </c>
      <c r="AD103" s="16">
        <f t="shared" ca="1" si="93"/>
        <v>0</v>
      </c>
      <c r="AF103" s="16">
        <f t="shared" ca="1" si="41"/>
        <v>0.97518778595932265</v>
      </c>
      <c r="AG103" s="16">
        <f t="shared" ca="1" si="80"/>
        <v>1.0793911319241843E-3</v>
      </c>
      <c r="AH103" s="16">
        <f t="shared" ca="1" si="42"/>
        <v>1.0793911319241843E-3</v>
      </c>
      <c r="AI103" s="16">
        <f t="shared" ca="1" si="81"/>
        <v>1.2255586810389174E-3</v>
      </c>
      <c r="AJ103" s="16">
        <f t="shared" ca="1" si="63"/>
        <v>2.0405338859549428E-3</v>
      </c>
      <c r="AK103" s="16">
        <f t="shared" ca="1" si="64"/>
        <v>4.2624022438997517E-4</v>
      </c>
      <c r="AL103" s="16">
        <f t="shared" ca="1" si="82"/>
        <v>5.2361366525849763E-4</v>
      </c>
      <c r="AM103" s="16">
        <f t="shared" ca="1" si="83"/>
        <v>2.1356901791980925E-3</v>
      </c>
    </row>
    <row r="104" spans="1:39" ht="16.5" x14ac:dyDescent="0.3">
      <c r="A104"/>
      <c r="B104" s="36">
        <f t="shared" si="94"/>
        <v>78</v>
      </c>
      <c r="C104" s="36">
        <f t="shared" si="94"/>
        <v>78</v>
      </c>
      <c r="D104" s="36">
        <f t="shared" si="65"/>
        <v>0.2</v>
      </c>
      <c r="E104" s="14">
        <f t="shared" ca="1" si="66"/>
        <v>1.3486132292332483E-4</v>
      </c>
      <c r="F104" s="14">
        <f t="shared" ca="1" si="67"/>
        <v>1.1985308240246412E-4</v>
      </c>
      <c r="G104" s="14">
        <f t="shared" ca="1" si="68"/>
        <v>3.8176142154903769E-5</v>
      </c>
      <c r="H104" s="14">
        <f t="shared" ca="1" si="69"/>
        <v>1.5934581221939786E-4</v>
      </c>
      <c r="I104" s="14">
        <f t="shared" ca="1" si="70"/>
        <v>1.7027077260830105E-4</v>
      </c>
      <c r="J104" s="14">
        <f t="shared" ca="1" si="71"/>
        <v>8.9713750435755106E-4</v>
      </c>
      <c r="K104" s="14">
        <f t="shared" ca="1" si="72"/>
        <v>1.0638286793488065E-3</v>
      </c>
      <c r="L104" s="14">
        <f t="shared" ca="1" si="73"/>
        <v>0.93635900952180884</v>
      </c>
      <c r="M104" s="14">
        <f t="shared" ca="1" si="74"/>
        <v>2.148653381637983E-2</v>
      </c>
      <c r="N104" s="14">
        <f t="shared" ca="1" si="75"/>
        <v>5.4638160691147615E-3</v>
      </c>
      <c r="O104" s="14">
        <f t="shared" ca="1" si="76"/>
        <v>3.9910128196072913E-3</v>
      </c>
      <c r="P104" s="14">
        <f t="shared" ca="1" si="77"/>
        <v>3.0116154457078489E-2</v>
      </c>
      <c r="Q104"/>
      <c r="R104" s="44">
        <f t="shared" ca="1" si="62"/>
        <v>1.000000000000004</v>
      </c>
      <c r="S104" s="16">
        <f t="shared" ca="1" si="78"/>
        <v>1.3815261350926857</v>
      </c>
      <c r="T104" s="16">
        <f t="shared" ca="1" si="84"/>
        <v>0.39448888678048105</v>
      </c>
      <c r="U104" s="16">
        <f t="shared" ca="1" si="85"/>
        <v>0.12565448450082037</v>
      </c>
      <c r="V104" s="16">
        <f t="shared" ca="1" si="86"/>
        <v>0.40500076115756833</v>
      </c>
      <c r="W104" s="16">
        <f t="shared" ca="1" si="87"/>
        <v>0.390103505875113</v>
      </c>
      <c r="X104" s="16">
        <f t="shared" ca="1" si="88"/>
        <v>2.0346376870061986</v>
      </c>
      <c r="Y104" s="16">
        <f t="shared" ca="1" si="89"/>
        <v>2.5211486144783821</v>
      </c>
      <c r="Z104" s="16">
        <f t="shared" ca="1" si="79"/>
        <v>0</v>
      </c>
      <c r="AA104" s="16">
        <f t="shared" ca="1" si="90"/>
        <v>9.1791248299861756</v>
      </c>
      <c r="AB104" s="16">
        <f t="shared" ca="1" si="91"/>
        <v>5.6891036773532857</v>
      </c>
      <c r="AC104" s="16">
        <f t="shared" ca="1" si="92"/>
        <v>0.6939967535576762</v>
      </c>
      <c r="AD104" s="16">
        <f t="shared" ca="1" si="93"/>
        <v>0</v>
      </c>
      <c r="AF104" s="16">
        <f t="shared" ca="1" si="41"/>
        <v>0.9759299928676094</v>
      </c>
      <c r="AG104" s="16">
        <f t="shared" ca="1" si="80"/>
        <v>1.0792784256379267E-3</v>
      </c>
      <c r="AH104" s="16">
        <f t="shared" ca="1" si="42"/>
        <v>1.0792784256379267E-3</v>
      </c>
      <c r="AI104" s="16">
        <f t="shared" ca="1" si="81"/>
        <v>1.2254307124430625E-3</v>
      </c>
      <c r="AJ104" s="16">
        <f t="shared" ca="1" si="63"/>
        <v>2.0403208204687931E-3</v>
      </c>
      <c r="AK104" s="16">
        <f t="shared" ca="1" si="64"/>
        <v>4.2619571786094802E-4</v>
      </c>
      <c r="AL104" s="16">
        <f t="shared" ca="1" si="82"/>
        <v>5.1579960374737734E-4</v>
      </c>
      <c r="AM104" s="16">
        <f t="shared" ca="1" si="83"/>
        <v>2.0926043967091704E-3</v>
      </c>
    </row>
    <row r="105" spans="1:39" ht="16.5" x14ac:dyDescent="0.3">
      <c r="A105"/>
      <c r="B105" s="36">
        <f t="shared" si="94"/>
        <v>79</v>
      </c>
      <c r="C105" s="36">
        <f t="shared" si="94"/>
        <v>79</v>
      </c>
      <c r="D105" s="36">
        <f t="shared" si="65"/>
        <v>0.2</v>
      </c>
      <c r="E105" s="14">
        <f t="shared" ca="1" si="66"/>
        <v>1.3484789139166039E-4</v>
      </c>
      <c r="F105" s="14">
        <f t="shared" ca="1" si="67"/>
        <v>1.1984103061494739E-4</v>
      </c>
      <c r="G105" s="14">
        <f t="shared" ca="1" si="68"/>
        <v>3.8172238304117494E-5</v>
      </c>
      <c r="H105" s="14">
        <f t="shared" ca="1" si="69"/>
        <v>1.5860750943215931E-4</v>
      </c>
      <c r="I105" s="14">
        <f t="shared" ca="1" si="70"/>
        <v>1.6180608092361928E-4</v>
      </c>
      <c r="J105" s="14">
        <f t="shared" ca="1" si="71"/>
        <v>8.6934037320003351E-4</v>
      </c>
      <c r="K105" s="14">
        <f t="shared" ca="1" si="72"/>
        <v>1.0529800770296284E-3</v>
      </c>
      <c r="L105" s="14">
        <f t="shared" ca="1" si="73"/>
        <v>0.93697859843760922</v>
      </c>
      <c r="M105" s="14">
        <f t="shared" ca="1" si="74"/>
        <v>2.0820042802316859E-2</v>
      </c>
      <c r="N105" s="14">
        <f t="shared" ca="1" si="75"/>
        <v>5.4769417871068796E-3</v>
      </c>
      <c r="O105" s="14">
        <f t="shared" ca="1" si="76"/>
        <v>3.9934576845640285E-3</v>
      </c>
      <c r="P105" s="14">
        <f t="shared" ca="1" si="77"/>
        <v>3.019536408751081E-2</v>
      </c>
      <c r="Q105"/>
      <c r="R105" s="44">
        <f t="shared" ca="1" si="62"/>
        <v>1.000000000000004</v>
      </c>
      <c r="S105" s="16">
        <f t="shared" ca="1" si="78"/>
        <v>1.3813885418107386</v>
      </c>
      <c r="T105" s="16">
        <f t="shared" ca="1" si="84"/>
        <v>0.39444902167540796</v>
      </c>
      <c r="U105" s="16">
        <f t="shared" ca="1" si="85"/>
        <v>0.12564156707668145</v>
      </c>
      <c r="V105" s="16">
        <f t="shared" ca="1" si="86"/>
        <v>0.40308850305697813</v>
      </c>
      <c r="W105" s="16">
        <f t="shared" ca="1" si="87"/>
        <v>0.37062940041992337</v>
      </c>
      <c r="X105" s="16">
        <f t="shared" ca="1" si="88"/>
        <v>1.971557576659867</v>
      </c>
      <c r="Y105" s="16">
        <f t="shared" ca="1" si="89"/>
        <v>2.4949766407054428</v>
      </c>
      <c r="Z105" s="16">
        <f t="shared" ca="1" si="79"/>
        <v>0</v>
      </c>
      <c r="AA105" s="16">
        <f t="shared" ca="1" si="90"/>
        <v>8.8934770038993243</v>
      </c>
      <c r="AB105" s="16">
        <f t="shared" ca="1" si="91"/>
        <v>5.6888316482858228</v>
      </c>
      <c r="AC105" s="16">
        <f t="shared" ca="1" si="92"/>
        <v>0.69396356954479732</v>
      </c>
      <c r="AD105" s="16">
        <f t="shared" ca="1" si="93"/>
        <v>0</v>
      </c>
      <c r="AF105" s="16">
        <f t="shared" ca="1" si="41"/>
        <v>0.97664436199679094</v>
      </c>
      <c r="AG105" s="16">
        <f t="shared" ca="1" si="80"/>
        <v>1.0791669557006335E-3</v>
      </c>
      <c r="AH105" s="16">
        <f t="shared" ca="1" si="42"/>
        <v>1.0791669557006335E-3</v>
      </c>
      <c r="AI105" s="16">
        <f t="shared" ca="1" si="81"/>
        <v>1.2253041476184274E-3</v>
      </c>
      <c r="AJ105" s="16">
        <f t="shared" ca="1" si="63"/>
        <v>2.0401100922373071E-3</v>
      </c>
      <c r="AK105" s="16">
        <f t="shared" ca="1" si="64"/>
        <v>4.2615169955314533E-4</v>
      </c>
      <c r="AL105" s="16">
        <f t="shared" ca="1" si="82"/>
        <v>5.0828707876250212E-4</v>
      </c>
      <c r="AM105" s="16">
        <f t="shared" ca="1" si="83"/>
        <v>2.0512471796929554E-3</v>
      </c>
    </row>
    <row r="106" spans="1:39" ht="16.5" x14ac:dyDescent="0.3">
      <c r="A106"/>
      <c r="B106" s="36">
        <f t="shared" si="94"/>
        <v>80</v>
      </c>
      <c r="C106" s="36">
        <f t="shared" si="94"/>
        <v>80</v>
      </c>
      <c r="D106" s="36">
        <f t="shared" si="65"/>
        <v>0.2</v>
      </c>
      <c r="E106" s="14">
        <f t="shared" ca="1" si="66"/>
        <v>1.3483458390599527E-4</v>
      </c>
      <c r="F106" s="14">
        <f t="shared" ca="1" si="67"/>
        <v>1.1982909440906533E-4</v>
      </c>
      <c r="G106" s="14">
        <f t="shared" ca="1" si="68"/>
        <v>3.8168374316029213E-5</v>
      </c>
      <c r="H106" s="14">
        <f t="shared" ca="1" si="69"/>
        <v>1.5789952697251578E-4</v>
      </c>
      <c r="I106" s="14">
        <f t="shared" ca="1" si="70"/>
        <v>1.5383025080080266E-4</v>
      </c>
      <c r="J106" s="14">
        <f t="shared" ca="1" si="71"/>
        <v>8.4243796577770881E-4</v>
      </c>
      <c r="K106" s="14">
        <f t="shared" ca="1" si="72"/>
        <v>1.0426119541757366E-3</v>
      </c>
      <c r="L106" s="14">
        <f t="shared" ca="1" si="73"/>
        <v>0.93757224479217771</v>
      </c>
      <c r="M106" s="14">
        <f t="shared" ca="1" si="74"/>
        <v>2.0178442633321459E-2</v>
      </c>
      <c r="N106" s="14">
        <f t="shared" ca="1" si="75"/>
        <v>5.4895077989815157E-3</v>
      </c>
      <c r="O106" s="14">
        <f t="shared" ca="1" si="76"/>
        <v>3.9957262815090745E-3</v>
      </c>
      <c r="P106" s="14">
        <f t="shared" ca="1" si="77"/>
        <v>3.0274466743656483E-2</v>
      </c>
      <c r="Q106"/>
      <c r="R106" s="44">
        <f t="shared" ca="1" si="62"/>
        <v>1.0000000000000042</v>
      </c>
      <c r="S106" s="16">
        <f t="shared" ca="1" si="78"/>
        <v>1.3812522192622108</v>
      </c>
      <c r="T106" s="16">
        <f t="shared" ca="1" si="84"/>
        <v>0.39440954619389118</v>
      </c>
      <c r="U106" s="16">
        <f t="shared" ca="1" si="85"/>
        <v>0.12562878404915515</v>
      </c>
      <c r="V106" s="16">
        <f t="shared" ca="1" si="86"/>
        <v>0.4012549604723909</v>
      </c>
      <c r="W106" s="16">
        <f t="shared" ca="1" si="87"/>
        <v>0.35228021204591919</v>
      </c>
      <c r="X106" s="16">
        <f t="shared" ca="1" si="88"/>
        <v>1.91050768121708</v>
      </c>
      <c r="Y106" s="16">
        <f t="shared" ca="1" si="89"/>
        <v>2.4699695475802037</v>
      </c>
      <c r="Z106" s="16">
        <f t="shared" ca="1" si="79"/>
        <v>0</v>
      </c>
      <c r="AA106" s="16">
        <f t="shared" ca="1" si="90"/>
        <v>8.6184966158527097</v>
      </c>
      <c r="AB106" s="16">
        <f t="shared" ca="1" si="91"/>
        <v>5.6885530875691863</v>
      </c>
      <c r="AC106" s="16">
        <f t="shared" ca="1" si="92"/>
        <v>0.69392958875555988</v>
      </c>
      <c r="AD106" s="16">
        <f t="shared" ca="1" si="93"/>
        <v>0</v>
      </c>
      <c r="AF106" s="16">
        <f t="shared" ca="1" si="41"/>
        <v>0.97733194561632486</v>
      </c>
      <c r="AG106" s="16">
        <f t="shared" ca="1" si="80"/>
        <v>1.0790566644619758E-3</v>
      </c>
      <c r="AH106" s="16">
        <f t="shared" ca="1" si="42"/>
        <v>1.0790566644619758E-3</v>
      </c>
      <c r="AI106" s="16">
        <f t="shared" ca="1" si="81"/>
        <v>1.2251789211078681E-3</v>
      </c>
      <c r="AJ106" s="16">
        <f t="shared" ca="1" si="63"/>
        <v>2.039901592275478E-3</v>
      </c>
      <c r="AK106" s="16">
        <f t="shared" ca="1" si="64"/>
        <v>4.2610814670105736E-4</v>
      </c>
      <c r="AL106" s="16">
        <f t="shared" ca="1" si="82"/>
        <v>5.0106344145839463E-4</v>
      </c>
      <c r="AM106" s="16">
        <f t="shared" ca="1" si="83"/>
        <v>2.011540034168615E-3</v>
      </c>
    </row>
    <row r="107" spans="1:39" ht="16.5" x14ac:dyDescent="0.3">
      <c r="A107"/>
      <c r="B107" s="36">
        <f t="shared" si="94"/>
        <v>81</v>
      </c>
      <c r="C107" s="36">
        <f t="shared" si="94"/>
        <v>81</v>
      </c>
      <c r="D107" s="36">
        <f t="shared" si="65"/>
        <v>0.2</v>
      </c>
      <c r="E107" s="14">
        <f t="shared" ca="1" si="66"/>
        <v>1.3482139477270005E-4</v>
      </c>
      <c r="F107" s="14">
        <f t="shared" ca="1" si="67"/>
        <v>1.1981726846235099E-4</v>
      </c>
      <c r="G107" s="14">
        <f t="shared" ca="1" si="68"/>
        <v>3.8164548343976822E-5</v>
      </c>
      <c r="H107" s="14">
        <f t="shared" ca="1" si="69"/>
        <v>1.5722048667817507E-4</v>
      </c>
      <c r="I107" s="14">
        <f t="shared" ca="1" si="70"/>
        <v>1.4631485919688525E-4</v>
      </c>
      <c r="J107" s="14">
        <f t="shared" ca="1" si="71"/>
        <v>8.1640163049362217E-4</v>
      </c>
      <c r="K107" s="14">
        <f t="shared" ca="1" si="72"/>
        <v>1.0326989183893779E-3</v>
      </c>
      <c r="L107" s="14">
        <f t="shared" ca="1" si="73"/>
        <v>0.93814092191362553</v>
      </c>
      <c r="M107" s="14">
        <f t="shared" ca="1" si="74"/>
        <v>1.9560805273019729E-2</v>
      </c>
      <c r="N107" s="14">
        <f t="shared" ca="1" si="75"/>
        <v>5.5015372032367451E-3</v>
      </c>
      <c r="O107" s="14">
        <f t="shared" ca="1" si="76"/>
        <v>3.9978300752123172E-3</v>
      </c>
      <c r="P107" s="14">
        <f t="shared" ca="1" si="77"/>
        <v>3.035346642857269E-2</v>
      </c>
      <c r="Q107"/>
      <c r="R107" s="44">
        <f t="shared" ca="1" si="62"/>
        <v>1.0000000000000042</v>
      </c>
      <c r="S107" s="16">
        <f t="shared" ca="1" si="78"/>
        <v>1.3811171091212777</v>
      </c>
      <c r="T107" s="16">
        <f t="shared" ca="1" si="84"/>
        <v>0.39437044236390323</v>
      </c>
      <c r="U107" s="16">
        <f t="shared" ca="1" si="85"/>
        <v>0.12561612918159903</v>
      </c>
      <c r="V107" s="16">
        <f t="shared" ca="1" si="86"/>
        <v>0.3994965485057998</v>
      </c>
      <c r="W107" s="16">
        <f t="shared" ca="1" si="87"/>
        <v>0.33499053298733455</v>
      </c>
      <c r="X107" s="16">
        <f t="shared" ca="1" si="88"/>
        <v>1.8514230016931101</v>
      </c>
      <c r="Y107" s="16">
        <f t="shared" ca="1" si="89"/>
        <v>2.4460651599488723</v>
      </c>
      <c r="Z107" s="16">
        <f t="shared" ca="1" si="79"/>
        <v>0</v>
      </c>
      <c r="AA107" s="16">
        <f t="shared" ca="1" si="90"/>
        <v>8.3537859986315137</v>
      </c>
      <c r="AB107" s="16">
        <f t="shared" ca="1" si="91"/>
        <v>5.6882682805049711</v>
      </c>
      <c r="AC107" s="16">
        <f t="shared" ca="1" si="92"/>
        <v>0.69389484599305085</v>
      </c>
      <c r="AD107" s="16">
        <f t="shared" ca="1" si="93"/>
        <v>0</v>
      </c>
      <c r="AF107" s="16">
        <f t="shared" ca="1" si="41"/>
        <v>0.97799375562064739</v>
      </c>
      <c r="AG107" s="16">
        <f t="shared" ca="1" si="80"/>
        <v>1.0789474971443869E-3</v>
      </c>
      <c r="AH107" s="16">
        <f t="shared" ca="1" si="42"/>
        <v>1.0789474971443869E-3</v>
      </c>
      <c r="AI107" s="16">
        <f t="shared" ca="1" si="81"/>
        <v>1.2250549707160225E-3</v>
      </c>
      <c r="AJ107" s="16">
        <f t="shared" ca="1" si="63"/>
        <v>2.0396952170291093E-3</v>
      </c>
      <c r="AK107" s="16">
        <f t="shared" ca="1" si="64"/>
        <v>4.2606503767359834E-4</v>
      </c>
      <c r="AL107" s="16">
        <f t="shared" ca="1" si="82"/>
        <v>4.9411662013568571E-4</v>
      </c>
      <c r="AM107" s="16">
        <f t="shared" ca="1" si="83"/>
        <v>1.9734088082117851E-3</v>
      </c>
    </row>
    <row r="108" spans="1:39" ht="16.5" x14ac:dyDescent="0.3">
      <c r="A108"/>
      <c r="B108" s="36">
        <f t="shared" si="94"/>
        <v>82</v>
      </c>
      <c r="C108" s="36">
        <f t="shared" si="94"/>
        <v>82</v>
      </c>
      <c r="D108" s="36">
        <f t="shared" si="65"/>
        <v>0.2</v>
      </c>
      <c r="E108" s="14">
        <f t="shared" ca="1" si="66"/>
        <v>1.3480831857695487E-4</v>
      </c>
      <c r="F108" s="14">
        <f t="shared" ca="1" si="67"/>
        <v>1.1980554771388752E-4</v>
      </c>
      <c r="G108" s="14">
        <f t="shared" ca="1" si="68"/>
        <v>3.8160758632653998E-5</v>
      </c>
      <c r="H108" s="14">
        <f t="shared" ca="1" si="69"/>
        <v>1.5656907809414149E-4</v>
      </c>
      <c r="I108" s="14">
        <f t="shared" ca="1" si="70"/>
        <v>1.3923313911573033E-4</v>
      </c>
      <c r="J108" s="14">
        <f t="shared" ca="1" si="71"/>
        <v>7.9120362208698976E-4</v>
      </c>
      <c r="K108" s="14">
        <f t="shared" ca="1" si="72"/>
        <v>1.0232173413042341E-3</v>
      </c>
      <c r="L108" s="14">
        <f t="shared" ca="1" si="73"/>
        <v>0.93868556625636645</v>
      </c>
      <c r="M108" s="14">
        <f t="shared" ca="1" si="74"/>
        <v>1.8966237046051444E-2</v>
      </c>
      <c r="N108" s="14">
        <f t="shared" ca="1" si="75"/>
        <v>5.5130521455948349E-3</v>
      </c>
      <c r="O108" s="14">
        <f t="shared" ca="1" si="76"/>
        <v>3.9997797782714553E-3</v>
      </c>
      <c r="P108" s="14">
        <f t="shared" ca="1" si="77"/>
        <v>3.0432366968195238E-2</v>
      </c>
      <c r="Q108"/>
      <c r="R108" s="44">
        <f t="shared" ca="1" si="62"/>
        <v>1.000000000000004</v>
      </c>
      <c r="S108" s="16">
        <f t="shared" ca="1" si="78"/>
        <v>1.3809831559182544</v>
      </c>
      <c r="T108" s="16">
        <f t="shared" ca="1" si="84"/>
        <v>0.39433169309818428</v>
      </c>
      <c r="U108" s="16">
        <f t="shared" ca="1" si="85"/>
        <v>0.12560359654648787</v>
      </c>
      <c r="V108" s="16">
        <f t="shared" ca="1" si="86"/>
        <v>0.39780985863575202</v>
      </c>
      <c r="W108" s="16">
        <f t="shared" ca="1" si="87"/>
        <v>0.31869876590342072</v>
      </c>
      <c r="X108" s="16">
        <f t="shared" ca="1" si="88"/>
        <v>1.7942405938226555</v>
      </c>
      <c r="Y108" s="16">
        <f t="shared" ca="1" si="89"/>
        <v>2.4232056994878755</v>
      </c>
      <c r="Z108" s="16">
        <f t="shared" ca="1" si="79"/>
        <v>0</v>
      </c>
      <c r="AA108" s="16">
        <f t="shared" ca="1" si="90"/>
        <v>8.0989622011035465</v>
      </c>
      <c r="AB108" s="16">
        <f t="shared" ca="1" si="91"/>
        <v>5.687977496089645</v>
      </c>
      <c r="AC108" s="16">
        <f t="shared" ca="1" si="92"/>
        <v>0.69385937407134424</v>
      </c>
      <c r="AD108" s="16">
        <f t="shared" ca="1" si="93"/>
        <v>0</v>
      </c>
      <c r="AF108" s="16">
        <f t="shared" ca="1" si="41"/>
        <v>0.97863076514842806</v>
      </c>
      <c r="AG108" s="16">
        <f t="shared" ca="1" si="80"/>
        <v>1.0788394016896571E-3</v>
      </c>
      <c r="AH108" s="16">
        <f t="shared" ca="1" si="42"/>
        <v>1.0788394016896571E-3</v>
      </c>
      <c r="AI108" s="16">
        <f t="shared" ca="1" si="81"/>
        <v>1.2249322373351313E-3</v>
      </c>
      <c r="AJ108" s="16">
        <f t="shared" ca="1" si="63"/>
        <v>2.0394908680848108E-3</v>
      </c>
      <c r="AK108" s="16">
        <f t="shared" ca="1" si="64"/>
        <v>4.2602235191352785E-4</v>
      </c>
      <c r="AL108" s="16">
        <f t="shared" ca="1" si="82"/>
        <v>4.8743509203328934E-4</v>
      </c>
      <c r="AM108" s="16">
        <f t="shared" ca="1" si="83"/>
        <v>1.9367833638975506E-3</v>
      </c>
    </row>
    <row r="109" spans="1:39" ht="16.5" x14ac:dyDescent="0.3">
      <c r="A109"/>
      <c r="B109" s="36">
        <f t="shared" si="94"/>
        <v>83</v>
      </c>
      <c r="C109" s="36">
        <f t="shared" si="94"/>
        <v>83</v>
      </c>
      <c r="D109" s="36">
        <f t="shared" si="65"/>
        <v>0.2</v>
      </c>
      <c r="E109" s="14">
        <f t="shared" ca="1" si="66"/>
        <v>1.3479535016818755E-4</v>
      </c>
      <c r="F109" s="14">
        <f t="shared" ca="1" si="67"/>
        <v>1.1979392735058954E-4</v>
      </c>
      <c r="G109" s="14">
        <f t="shared" ca="1" si="68"/>
        <v>3.815700351327674E-5</v>
      </c>
      <c r="H109" s="14">
        <f t="shared" ca="1" si="69"/>
        <v>1.5594405495808218E-4</v>
      </c>
      <c r="I109" s="14">
        <f t="shared" ca="1" si="70"/>
        <v>1.3255988344402787E-4</v>
      </c>
      <c r="J109" s="14">
        <f t="shared" ca="1" si="71"/>
        <v>7.6681707401939157E-4</v>
      </c>
      <c r="K109" s="14">
        <f t="shared" ca="1" si="72"/>
        <v>1.0141451838180146E-3</v>
      </c>
      <c r="L109" s="14">
        <f t="shared" ca="1" si="73"/>
        <v>0.9392070788472745</v>
      </c>
      <c r="M109" s="14">
        <f t="shared" ca="1" si="74"/>
        <v>1.8393877396110595E-2</v>
      </c>
      <c r="N109" s="14">
        <f t="shared" ca="1" si="75"/>
        <v>5.524073858140425E-3</v>
      </c>
      <c r="O109" s="14">
        <f t="shared" ca="1" si="76"/>
        <v>4.0015854005886614E-3</v>
      </c>
      <c r="P109" s="14">
        <f t="shared" ca="1" si="77"/>
        <v>3.0511172020618423E-2</v>
      </c>
      <c r="Q109"/>
      <c r="R109" s="44">
        <f t="shared" ca="1" si="62"/>
        <v>1.0000000000000042</v>
      </c>
      <c r="S109" s="16">
        <f t="shared" ca="1" si="78"/>
        <v>1.3808503068904217</v>
      </c>
      <c r="T109" s="16">
        <f t="shared" ca="1" si="84"/>
        <v>0.39429328214773074</v>
      </c>
      <c r="U109" s="16">
        <f t="shared" ca="1" si="85"/>
        <v>0.12559118050901874</v>
      </c>
      <c r="V109" s="16">
        <f t="shared" ca="1" si="86"/>
        <v>0.39619164955828712</v>
      </c>
      <c r="W109" s="16">
        <f t="shared" ca="1" si="87"/>
        <v>0.30334690273725734</v>
      </c>
      <c r="X109" s="16">
        <f t="shared" ca="1" si="88"/>
        <v>1.7388995056357746</v>
      </c>
      <c r="Y109" s="16">
        <f t="shared" ca="1" si="89"/>
        <v>2.4013373402353384</v>
      </c>
      <c r="Z109" s="16">
        <f t="shared" ca="1" si="79"/>
        <v>0</v>
      </c>
      <c r="AA109" s="16">
        <f t="shared" ca="1" si="90"/>
        <v>7.8536564574590937</v>
      </c>
      <c r="AB109" s="16">
        <f t="shared" ca="1" si="91"/>
        <v>5.6876809883963411</v>
      </c>
      <c r="AC109" s="16">
        <f t="shared" ca="1" si="92"/>
        <v>0.69382320398406372</v>
      </c>
      <c r="AD109" s="16">
        <f t="shared" ca="1" si="93"/>
        <v>0</v>
      </c>
      <c r="AF109" s="16">
        <f t="shared" ca="1" si="41"/>
        <v>0.97924391012662204</v>
      </c>
      <c r="AG109" s="16">
        <f t="shared" ca="1" si="80"/>
        <v>1.0787323286144289E-3</v>
      </c>
      <c r="AH109" s="16">
        <f t="shared" ca="1" si="42"/>
        <v>1.0787323286144289E-3</v>
      </c>
      <c r="AI109" s="16">
        <f t="shared" ca="1" si="81"/>
        <v>1.224810664780966E-3</v>
      </c>
      <c r="AJ109" s="16">
        <f t="shared" ca="1" si="63"/>
        <v>2.0392884518968188E-3</v>
      </c>
      <c r="AK109" s="16">
        <f t="shared" ca="1" si="64"/>
        <v>4.2598006988038751E-4</v>
      </c>
      <c r="AL109" s="16">
        <f t="shared" ca="1" si="82"/>
        <v>4.8100785653788075E-4</v>
      </c>
      <c r="AM109" s="16">
        <f t="shared" ca="1" si="83"/>
        <v>1.9015972848602002E-3</v>
      </c>
    </row>
    <row r="110" spans="1:39" ht="16.5" x14ac:dyDescent="0.3">
      <c r="A110"/>
      <c r="B110" s="36">
        <f t="shared" si="94"/>
        <v>84</v>
      </c>
      <c r="C110" s="36">
        <f t="shared" si="94"/>
        <v>84</v>
      </c>
      <c r="D110" s="36">
        <f t="shared" si="65"/>
        <v>0.2</v>
      </c>
      <c r="E110" s="14">
        <f t="shared" ca="1" si="66"/>
        <v>1.3478248464632897E-4</v>
      </c>
      <c r="F110" s="14">
        <f t="shared" ca="1" si="67"/>
        <v>1.1978240279425883E-4</v>
      </c>
      <c r="G110" s="14">
        <f t="shared" ca="1" si="68"/>
        <v>3.8153281399026421E-5</v>
      </c>
      <c r="H110" s="14">
        <f t="shared" ca="1" si="69"/>
        <v>1.5534423187146256E-4</v>
      </c>
      <c r="I110" s="14">
        <f t="shared" ca="1" si="70"/>
        <v>1.2627135428561236E-4</v>
      </c>
      <c r="J110" s="14">
        <f t="shared" ca="1" si="71"/>
        <v>7.432159715709413E-4</v>
      </c>
      <c r="K110" s="14">
        <f t="shared" ca="1" si="72"/>
        <v>1.0054618445608414E-3</v>
      </c>
      <c r="L110" s="14">
        <f t="shared" ca="1" si="73"/>
        <v>0.93970632666718368</v>
      </c>
      <c r="M110" s="14">
        <f t="shared" ca="1" si="74"/>
        <v>1.7842897684474675E-2</v>
      </c>
      <c r="N110" s="14">
        <f t="shared" ca="1" si="75"/>
        <v>5.5346226968764145E-3</v>
      </c>
      <c r="O110" s="14">
        <f t="shared" ca="1" si="76"/>
        <v>4.0032562956036702E-3</v>
      </c>
      <c r="P110" s="14">
        <f t="shared" ca="1" si="77"/>
        <v>3.0589885084737239E-2</v>
      </c>
      <c r="Q110"/>
      <c r="R110" s="44">
        <f t="shared" ca="1" si="62"/>
        <v>1.0000000000000042</v>
      </c>
      <c r="S110" s="16">
        <f t="shared" ca="1" si="78"/>
        <v>1.3807185118412262</v>
      </c>
      <c r="T110" s="16">
        <f t="shared" ca="1" si="84"/>
        <v>0.39425519405791759</v>
      </c>
      <c r="U110" s="16">
        <f t="shared" ca="1" si="85"/>
        <v>0.12557887571165802</v>
      </c>
      <c r="V110" s="16">
        <f t="shared" ca="1" si="86"/>
        <v>0.39463883851102366</v>
      </c>
      <c r="W110" s="16">
        <f t="shared" ca="1" si="87"/>
        <v>0.28888031619602794</v>
      </c>
      <c r="X110" s="16">
        <f t="shared" ca="1" si="88"/>
        <v>1.6853407166110095</v>
      </c>
      <c r="Y110" s="16">
        <f t="shared" ca="1" si="89"/>
        <v>2.3804098239987392</v>
      </c>
      <c r="Z110" s="16">
        <f t="shared" ca="1" si="79"/>
        <v>0</v>
      </c>
      <c r="AA110" s="16">
        <f t="shared" ca="1" si="90"/>
        <v>7.6175136735652336</v>
      </c>
      <c r="AB110" s="16">
        <f t="shared" ca="1" si="91"/>
        <v>5.6873789977876577</v>
      </c>
      <c r="AC110" s="16">
        <f t="shared" ca="1" si="92"/>
        <v>0.69378636505232416</v>
      </c>
      <c r="AD110" s="16">
        <f t="shared" ca="1" si="93"/>
        <v>0</v>
      </c>
      <c r="AF110" s="16">
        <f t="shared" ca="1" si="41"/>
        <v>0.97983409074440109</v>
      </c>
      <c r="AG110" s="16">
        <f t="shared" ca="1" si="80"/>
        <v>1.0786262308740127E-3</v>
      </c>
      <c r="AH110" s="16">
        <f t="shared" ca="1" si="42"/>
        <v>1.0786262308740127E-3</v>
      </c>
      <c r="AI110" s="16">
        <f t="shared" ca="1" si="81"/>
        <v>1.2246901996382017E-3</v>
      </c>
      <c r="AJ110" s="16">
        <f t="shared" ca="1" si="63"/>
        <v>2.0390878795295466E-3</v>
      </c>
      <c r="AK110" s="16">
        <f t="shared" ca="1" si="64"/>
        <v>4.2593817299672345E-4</v>
      </c>
      <c r="AL110" s="16">
        <f t="shared" ca="1" si="82"/>
        <v>4.7482440974463253E-4</v>
      </c>
      <c r="AM110" s="16">
        <f t="shared" ca="1" si="83"/>
        <v>1.8677876144553884E-3</v>
      </c>
    </row>
    <row r="111" spans="1:39" ht="16.5" x14ac:dyDescent="0.3">
      <c r="A111"/>
      <c r="B111" s="36">
        <f t="shared" si="94"/>
        <v>85</v>
      </c>
      <c r="C111" s="36">
        <f t="shared" si="94"/>
        <v>85</v>
      </c>
      <c r="D111" s="36">
        <f t="shared" si="65"/>
        <v>0.2</v>
      </c>
      <c r="E111" s="14">
        <f t="shared" ca="1" si="66"/>
        <v>1.3476971734883522E-4</v>
      </c>
      <c r="F111" s="14">
        <f t="shared" ca="1" si="67"/>
        <v>1.1977096968936654E-4</v>
      </c>
      <c r="G111" s="14">
        <f t="shared" ca="1" si="68"/>
        <v>3.8149590780751844E-5</v>
      </c>
      <c r="H111" s="14">
        <f t="shared" ca="1" si="69"/>
        <v>1.5476848114718254E-4</v>
      </c>
      <c r="I111" s="14">
        <f t="shared" ca="1" si="70"/>
        <v>1.2034519749550339E-4</v>
      </c>
      <c r="J111" s="14">
        <f t="shared" ca="1" si="71"/>
        <v>7.203751256483809E-4</v>
      </c>
      <c r="K111" s="14">
        <f t="shared" ca="1" si="72"/>
        <v>9.9714802798926802E-4</v>
      </c>
      <c r="L111" s="14">
        <f t="shared" ca="1" si="73"/>
        <v>0.94018414397191707</v>
      </c>
      <c r="M111" s="14">
        <f t="shared" ca="1" si="74"/>
        <v>1.7312500028422863E-2</v>
      </c>
      <c r="N111" s="14">
        <f t="shared" ca="1" si="75"/>
        <v>5.5447181777575228E-3</v>
      </c>
      <c r="O111" s="14">
        <f t="shared" ca="1" si="76"/>
        <v>4.0048012034929054E-3</v>
      </c>
      <c r="P111" s="14">
        <f t="shared" ca="1" si="77"/>
        <v>3.0668509508314443E-2</v>
      </c>
      <c r="Q111"/>
      <c r="R111" s="44">
        <f t="shared" ca="1" si="62"/>
        <v>1.000000000000004</v>
      </c>
      <c r="S111" s="16">
        <f t="shared" ca="1" si="78"/>
        <v>1.3805877230073353</v>
      </c>
      <c r="T111" s="16">
        <f t="shared" ca="1" si="84"/>
        <v>0.39421741412709083</v>
      </c>
      <c r="U111" s="16">
        <f t="shared" ca="1" si="85"/>
        <v>0.12556667705956939</v>
      </c>
      <c r="V111" s="16">
        <f t="shared" ca="1" si="86"/>
        <v>0.3931484930565175</v>
      </c>
      <c r="W111" s="16">
        <f t="shared" ca="1" si="87"/>
        <v>0.27524756317133053</v>
      </c>
      <c r="X111" s="16">
        <f t="shared" ca="1" si="88"/>
        <v>1.6335070784154884</v>
      </c>
      <c r="Y111" s="16">
        <f t="shared" ca="1" si="89"/>
        <v>2.3603761262811864</v>
      </c>
      <c r="Z111" s="16">
        <f t="shared" ca="1" si="79"/>
        <v>0</v>
      </c>
      <c r="AA111" s="16">
        <f t="shared" ca="1" si="90"/>
        <v>7.3901919302167558</v>
      </c>
      <c r="AB111" s="16">
        <f t="shared" ca="1" si="91"/>
        <v>5.6870717519849103</v>
      </c>
      <c r="AC111" s="16">
        <f t="shared" ca="1" si="92"/>
        <v>0.69374888505516785</v>
      </c>
      <c r="AD111" s="16">
        <f t="shared" ca="1" si="93"/>
        <v>0</v>
      </c>
      <c r="AF111" s="16">
        <f t="shared" ca="1" si="41"/>
        <v>0.9804021728614819</v>
      </c>
      <c r="AG111" s="16">
        <f t="shared" ca="1" si="80"/>
        <v>1.0785210637339871E-3</v>
      </c>
      <c r="AH111" s="16">
        <f t="shared" ca="1" si="42"/>
        <v>1.0785210637339871E-3</v>
      </c>
      <c r="AI111" s="16">
        <f t="shared" ca="1" si="81"/>
        <v>1.224570791114631E-3</v>
      </c>
      <c r="AJ111" s="16">
        <f t="shared" ca="1" si="63"/>
        <v>2.0388890664148527E-3</v>
      </c>
      <c r="AK111" s="16">
        <f t="shared" ca="1" si="64"/>
        <v>4.2589664359738225E-4</v>
      </c>
      <c r="AL111" s="16">
        <f t="shared" ca="1" si="82"/>
        <v>4.6887472030487123E-4</v>
      </c>
      <c r="AM111" s="16">
        <f t="shared" ca="1" si="83"/>
        <v>1.8352946203090089E-3</v>
      </c>
    </row>
    <row r="112" spans="1:39" ht="16.5" x14ac:dyDescent="0.3">
      <c r="A112"/>
      <c r="B112" s="36">
        <f t="shared" si="94"/>
        <v>86</v>
      </c>
      <c r="C112" s="36">
        <f t="shared" si="94"/>
        <v>86</v>
      </c>
      <c r="D112" s="36">
        <f t="shared" si="65"/>
        <v>0.2</v>
      </c>
      <c r="E112" s="14">
        <f t="shared" ca="1" si="66"/>
        <v>1.347570438384309E-4</v>
      </c>
      <c r="F112" s="14">
        <f t="shared" ca="1" si="67"/>
        <v>1.1975962389151715E-4</v>
      </c>
      <c r="G112" s="14">
        <f t="shared" ca="1" si="68"/>
        <v>3.8145930222913965E-5</v>
      </c>
      <c r="H112" s="14">
        <f t="shared" ca="1" si="69"/>
        <v>1.5421572982477126E-4</v>
      </c>
      <c r="I112" s="14">
        <f t="shared" ca="1" si="70"/>
        <v>1.1476036212848691E-4</v>
      </c>
      <c r="J112" s="14">
        <f t="shared" ca="1" si="71"/>
        <v>6.982701473031023E-4</v>
      </c>
      <c r="K112" s="14">
        <f t="shared" ca="1" si="72"/>
        <v>9.8918562909290088E-4</v>
      </c>
      <c r="L112" s="14">
        <f t="shared" ca="1" si="73"/>
        <v>0.94064133355656776</v>
      </c>
      <c r="M112" s="14">
        <f t="shared" ca="1" si="74"/>
        <v>1.6801916178816292E-2</v>
      </c>
      <c r="N112" s="14">
        <f t="shared" ca="1" si="75"/>
        <v>5.5543790112598775E-3</v>
      </c>
      <c r="O112" s="14">
        <f t="shared" ca="1" si="76"/>
        <v>4.0062282915312823E-3</v>
      </c>
      <c r="P112" s="14">
        <f t="shared" ca="1" si="77"/>
        <v>3.0747048495526771E-2</v>
      </c>
      <c r="Q112"/>
      <c r="R112" s="44">
        <f t="shared" ca="1" si="62"/>
        <v>1.0000000000000042</v>
      </c>
      <c r="S112" s="16">
        <f t="shared" ca="1" si="78"/>
        <v>1.3804578949330779</v>
      </c>
      <c r="T112" s="16">
        <f t="shared" ca="1" si="84"/>
        <v>0.39417992836747751</v>
      </c>
      <c r="U112" s="16">
        <f t="shared" ca="1" si="85"/>
        <v>0.12555457970686759</v>
      </c>
      <c r="V112" s="16">
        <f t="shared" ca="1" si="86"/>
        <v>0.3917178233018041</v>
      </c>
      <c r="W112" s="16">
        <f t="shared" ca="1" si="87"/>
        <v>0.26240019944796961</v>
      </c>
      <c r="X112" s="16">
        <f t="shared" ca="1" si="88"/>
        <v>1.5833432572319466</v>
      </c>
      <c r="Y112" s="16">
        <f t="shared" ca="1" si="89"/>
        <v>2.3411921649198986</v>
      </c>
      <c r="Z112" s="16">
        <f t="shared" ca="1" si="79"/>
        <v>0</v>
      </c>
      <c r="AA112" s="16">
        <f t="shared" ca="1" si="90"/>
        <v>7.171362003004778</v>
      </c>
      <c r="AB112" s="16">
        <f t="shared" ca="1" si="91"/>
        <v>5.6867594670150217</v>
      </c>
      <c r="AC112" s="16">
        <f t="shared" ca="1" si="92"/>
        <v>0.69371079034507188</v>
      </c>
      <c r="AD112" s="16">
        <f t="shared" ca="1" si="93"/>
        <v>0</v>
      </c>
      <c r="AF112" s="16">
        <f t="shared" ca="1" si="41"/>
        <v>0.98094898935488573</v>
      </c>
      <c r="AG112" s="16">
        <f t="shared" ca="1" si="80"/>
        <v>1.0784167846490933E-3</v>
      </c>
      <c r="AH112" s="16">
        <f t="shared" ca="1" si="42"/>
        <v>1.0784167846490933E-3</v>
      </c>
      <c r="AI112" s="16">
        <f t="shared" ca="1" si="81"/>
        <v>1.224452390903658E-3</v>
      </c>
      <c r="AJ112" s="16">
        <f t="shared" ca="1" si="63"/>
        <v>2.038691932123094E-3</v>
      </c>
      <c r="AK112" s="16">
        <f t="shared" ca="1" si="64"/>
        <v>4.258554648816881E-4</v>
      </c>
      <c r="AL112" s="16">
        <f t="shared" ca="1" si="82"/>
        <v>4.6314920649826802E-4</v>
      </c>
      <c r="AM112" s="16">
        <f t="shared" ca="1" si="83"/>
        <v>1.804061581702438E-3</v>
      </c>
    </row>
    <row r="113" spans="1:39" ht="16.5" x14ac:dyDescent="0.3">
      <c r="A113"/>
      <c r="B113" s="36">
        <f t="shared" si="94"/>
        <v>87</v>
      </c>
      <c r="C113" s="36">
        <f t="shared" si="94"/>
        <v>87</v>
      </c>
      <c r="D113" s="36">
        <f t="shared" si="65"/>
        <v>0.2</v>
      </c>
      <c r="E113" s="14">
        <f t="shared" ca="1" si="66"/>
        <v>1.3474445989152876E-4</v>
      </c>
      <c r="F113" s="14">
        <f t="shared" ca="1" si="67"/>
        <v>1.1974836145655331E-4</v>
      </c>
      <c r="G113" s="14">
        <f t="shared" ca="1" si="68"/>
        <v>3.8142298359758329E-5</v>
      </c>
      <c r="H113" s="14">
        <f t="shared" ca="1" si="69"/>
        <v>1.5368495684453857E-4</v>
      </c>
      <c r="I113" s="14">
        <f t="shared" ca="1" si="70"/>
        <v>1.094970245303878E-4</v>
      </c>
      <c r="J113" s="14">
        <f t="shared" ca="1" si="71"/>
        <v>6.7687742295392394E-4</v>
      </c>
      <c r="K113" s="14">
        <f t="shared" ca="1" si="72"/>
        <v>9.8155763219672757E-4</v>
      </c>
      <c r="L113" s="14">
        <f t="shared" ca="1" si="73"/>
        <v>0.9410786679663723</v>
      </c>
      <c r="M113" s="14">
        <f t="shared" ca="1" si="74"/>
        <v>1.6310406436016462E-2</v>
      </c>
      <c r="N113" s="14">
        <f t="shared" ca="1" si="75"/>
        <v>5.5636231355433215E-3</v>
      </c>
      <c r="O113" s="14">
        <f t="shared" ca="1" si="76"/>
        <v>4.0075451918010546E-3</v>
      </c>
      <c r="P113" s="14">
        <f t="shared" ca="1" si="77"/>
        <v>3.0825505114037546E-2</v>
      </c>
      <c r="Q113"/>
      <c r="R113" s="44">
        <f t="shared" ca="1" si="62"/>
        <v>1.000000000000004</v>
      </c>
      <c r="S113" s="16">
        <f t="shared" ca="1" si="78"/>
        <v>1.3803289843518152</v>
      </c>
      <c r="T113" s="16">
        <f t="shared" ca="1" si="84"/>
        <v>0.39414272346827195</v>
      </c>
      <c r="U113" s="16">
        <f t="shared" ca="1" si="85"/>
        <v>0.12554257904364591</v>
      </c>
      <c r="V113" s="16">
        <f t="shared" ca="1" si="86"/>
        <v>0.39034417453188419</v>
      </c>
      <c r="W113" s="16">
        <f t="shared" ca="1" si="87"/>
        <v>0.25029260507952938</v>
      </c>
      <c r="X113" s="16">
        <f t="shared" ca="1" si="88"/>
        <v>1.5347956776646732</v>
      </c>
      <c r="Y113" s="16">
        <f t="shared" ca="1" si="89"/>
        <v>2.3228165449190206</v>
      </c>
      <c r="Z113" s="16">
        <f t="shared" ca="1" si="79"/>
        <v>0</v>
      </c>
      <c r="AA113" s="16">
        <f t="shared" ca="1" si="90"/>
        <v>6.960706898477067</v>
      </c>
      <c r="AB113" s="16">
        <f t="shared" ca="1" si="91"/>
        <v>5.6864423480531636</v>
      </c>
      <c r="AC113" s="16">
        <f t="shared" ca="1" si="92"/>
        <v>0.69367210595074602</v>
      </c>
      <c r="AD113" s="16">
        <f t="shared" ca="1" si="93"/>
        <v>0</v>
      </c>
      <c r="AF113" s="16">
        <f t="shared" ca="1" si="41"/>
        <v>0.98147534140775428</v>
      </c>
      <c r="AG113" s="16">
        <f t="shared" ca="1" si="80"/>
        <v>1.0783133531489617E-3</v>
      </c>
      <c r="AH113" s="16">
        <f t="shared" ca="1" si="42"/>
        <v>1.0783133531489617E-3</v>
      </c>
      <c r="AI113" s="16">
        <f t="shared" ca="1" si="81"/>
        <v>1.2243349530545501E-3</v>
      </c>
      <c r="AJ113" s="16">
        <f t="shared" ca="1" si="63"/>
        <v>2.0384964001471015E-3</v>
      </c>
      <c r="AK113" s="16">
        <f t="shared" ca="1" si="64"/>
        <v>4.2581462086831688E-4</v>
      </c>
      <c r="AL113" s="16">
        <f t="shared" ca="1" si="82"/>
        <v>4.5763871446930415E-4</v>
      </c>
      <c r="AM113" s="16">
        <f t="shared" ca="1" si="83"/>
        <v>1.7740345967984668E-3</v>
      </c>
    </row>
    <row r="114" spans="1:39" ht="16.5" x14ac:dyDescent="0.3">
      <c r="A114"/>
      <c r="B114" s="36">
        <f t="shared" si="94"/>
        <v>88</v>
      </c>
      <c r="C114" s="36">
        <f t="shared" si="94"/>
        <v>88</v>
      </c>
      <c r="D114" s="36">
        <f t="shared" si="65"/>
        <v>0.2</v>
      </c>
      <c r="E114" s="14">
        <f t="shared" ca="1" si="66"/>
        <v>1.3473196148728616E-4</v>
      </c>
      <c r="F114" s="14">
        <f t="shared" ca="1" si="67"/>
        <v>1.1973717863026204E-4</v>
      </c>
      <c r="G114" s="14">
        <f t="shared" ca="1" si="68"/>
        <v>3.813869389170109E-5</v>
      </c>
      <c r="H114" s="14">
        <f t="shared" ca="1" si="69"/>
        <v>1.5317519037243087E-4</v>
      </c>
      <c r="I114" s="14">
        <f t="shared" ca="1" si="70"/>
        <v>1.0453651681331596E-4</v>
      </c>
      <c r="J114" s="14">
        <f t="shared" ca="1" si="71"/>
        <v>6.5617409030690977E-4</v>
      </c>
      <c r="K114" s="14">
        <f t="shared" ca="1" si="72"/>
        <v>9.742480217546025E-4</v>
      </c>
      <c r="L114" s="14">
        <f t="shared" ca="1" si="73"/>
        <v>0.94149689065718334</v>
      </c>
      <c r="M114" s="14">
        <f t="shared" ca="1" si="74"/>
        <v>1.5837258603245398E-2</v>
      </c>
      <c r="N114" s="14">
        <f t="shared" ca="1" si="75"/>
        <v>5.5724677482613793E-3</v>
      </c>
      <c r="O114" s="14">
        <f t="shared" ca="1" si="76"/>
        <v>4.0087590364204593E-3</v>
      </c>
      <c r="P114" s="14">
        <f t="shared" ca="1" si="77"/>
        <v>3.0903882301637077E-2</v>
      </c>
      <c r="Q114"/>
      <c r="R114" s="44">
        <f t="shared" ca="1" si="62"/>
        <v>1.0000000000000042</v>
      </c>
      <c r="S114" s="16">
        <f t="shared" ca="1" si="78"/>
        <v>1.3802009500738337</v>
      </c>
      <c r="T114" s="16">
        <f t="shared" ca="1" si="84"/>
        <v>0.39410578676076635</v>
      </c>
      <c r="U114" s="16">
        <f t="shared" ca="1" si="85"/>
        <v>0.12553067068373042</v>
      </c>
      <c r="V114" s="16">
        <f t="shared" ca="1" si="86"/>
        <v>0.38902502023578522</v>
      </c>
      <c r="W114" s="16">
        <f t="shared" ca="1" si="87"/>
        <v>0.23888181983856524</v>
      </c>
      <c r="X114" s="16">
        <f t="shared" ca="1" si="88"/>
        <v>1.4878124682099918</v>
      </c>
      <c r="Y114" s="16">
        <f t="shared" ca="1" si="89"/>
        <v>2.3052103340297356</v>
      </c>
      <c r="Z114" s="16">
        <f t="shared" ca="1" si="79"/>
        <v>0</v>
      </c>
      <c r="AA114" s="16">
        <f t="shared" ca="1" si="90"/>
        <v>6.7579214062284327</v>
      </c>
      <c r="AB114" s="16">
        <f t="shared" ca="1" si="91"/>
        <v>5.6861205901757756</v>
      </c>
      <c r="AC114" s="16">
        <f t="shared" ca="1" si="92"/>
        <v>0.69363285566897837</v>
      </c>
      <c r="AD114" s="16">
        <f t="shared" ca="1" si="93"/>
        <v>0</v>
      </c>
      <c r="AF114" s="16">
        <f t="shared" ca="1" si="41"/>
        <v>0.98198199974350231</v>
      </c>
      <c r="AG114" s="16">
        <f t="shared" ca="1" si="80"/>
        <v>1.0782107307302526E-3</v>
      </c>
      <c r="AH114" s="16">
        <f t="shared" ca="1" si="42"/>
        <v>1.0782107307302526E-3</v>
      </c>
      <c r="AI114" s="16">
        <f t="shared" ca="1" si="81"/>
        <v>1.2242184338499742E-3</v>
      </c>
      <c r="AJ114" s="16">
        <f t="shared" ca="1" si="63"/>
        <v>2.0383023976982754E-3</v>
      </c>
      <c r="AK114" s="16">
        <f t="shared" ca="1" si="64"/>
        <v>4.2577409635270405E-4</v>
      </c>
      <c r="AL114" s="16">
        <f t="shared" ca="1" si="82"/>
        <v>4.5233449756999284E-4</v>
      </c>
      <c r="AM114" s="16">
        <f t="shared" ca="1" si="83"/>
        <v>1.7451624071749704E-3</v>
      </c>
    </row>
    <row r="115" spans="1:39" ht="16.5" x14ac:dyDescent="0.3">
      <c r="A115"/>
      <c r="B115" s="36">
        <f t="shared" si="94"/>
        <v>89</v>
      </c>
      <c r="C115" s="36">
        <f t="shared" si="94"/>
        <v>89</v>
      </c>
      <c r="D115" s="36">
        <f t="shared" si="65"/>
        <v>0.2</v>
      </c>
      <c r="E115" s="14">
        <f t="shared" ca="1" si="66"/>
        <v>1.3471954479726055E-4</v>
      </c>
      <c r="F115" s="14">
        <f t="shared" ca="1" si="67"/>
        <v>1.1972607183864697E-4</v>
      </c>
      <c r="G115" s="14">
        <f t="shared" ca="1" si="68"/>
        <v>3.8135115581915688E-5</v>
      </c>
      <c r="H115" s="14">
        <f t="shared" ca="1" si="69"/>
        <v>1.5268550526769512E-4</v>
      </c>
      <c r="I115" s="14">
        <f t="shared" ca="1" si="70"/>
        <v>9.9861259469013805E-5</v>
      </c>
      <c r="J115" s="14">
        <f t="shared" ca="1" si="71"/>
        <v>6.3613801496250353E-4</v>
      </c>
      <c r="K115" s="14">
        <f t="shared" ca="1" si="72"/>
        <v>9.672417033721758E-4</v>
      </c>
      <c r="L115" s="14">
        <f t="shared" ca="1" si="73"/>
        <v>0.94189671710826328</v>
      </c>
      <c r="M115" s="14">
        <f t="shared" ca="1" si="74"/>
        <v>1.5381786976438364E-2</v>
      </c>
      <c r="N115" s="14">
        <f t="shared" ca="1" si="75"/>
        <v>5.58092933707207E-3</v>
      </c>
      <c r="O115" s="14">
        <f t="shared" ca="1" si="76"/>
        <v>4.0098764904540011E-3</v>
      </c>
      <c r="P115" s="14">
        <f t="shared" ca="1" si="77"/>
        <v>3.0982182872487184E-2</v>
      </c>
      <c r="Q115"/>
      <c r="R115" s="44">
        <f t="shared" ca="1" si="62"/>
        <v>1.0000000000000042</v>
      </c>
      <c r="S115" s="16">
        <f t="shared" ca="1" si="78"/>
        <v>1.3800737528803768</v>
      </c>
      <c r="T115" s="16">
        <f t="shared" ca="1" si="84"/>
        <v>0.39406910618540303</v>
      </c>
      <c r="U115" s="16">
        <f t="shared" ca="1" si="85"/>
        <v>0.12551885045311534</v>
      </c>
      <c r="V115" s="16">
        <f t="shared" ca="1" si="86"/>
        <v>0.38775795550472614</v>
      </c>
      <c r="W115" s="16">
        <f t="shared" ca="1" si="87"/>
        <v>0.22812738817824174</v>
      </c>
      <c r="X115" s="16">
        <f t="shared" ca="1" si="88"/>
        <v>1.4423434082718189</v>
      </c>
      <c r="Y115" s="16">
        <f t="shared" ca="1" si="89"/>
        <v>2.2883368645206774</v>
      </c>
      <c r="Z115" s="16">
        <f t="shared" ca="1" si="79"/>
        <v>0</v>
      </c>
      <c r="AA115" s="16">
        <f t="shared" ca="1" si="90"/>
        <v>6.5627116665332217</v>
      </c>
      <c r="AB115" s="16">
        <f ca="1">(N115-(N114*$Q$18))*AB$25</f>
        <v>5.6857943790365626</v>
      </c>
      <c r="AC115" s="16">
        <f t="shared" ca="1" si="92"/>
        <v>0.69359306214711325</v>
      </c>
      <c r="AD115" s="16">
        <f t="shared" ca="1" si="93"/>
        <v>0</v>
      </c>
      <c r="AF115" s="16">
        <f t="shared" ca="1" si="41"/>
        <v>0.98246970580827664</v>
      </c>
      <c r="AG115" s="16">
        <f t="shared" ca="1" si="80"/>
        <v>1.078108880754813E-3</v>
      </c>
      <c r="AH115" s="16">
        <f t="shared" ca="1" si="42"/>
        <v>1.078108880754813E-3</v>
      </c>
      <c r="AI115" s="16">
        <f t="shared" ca="1" si="81"/>
        <v>1.2241027916903603E-3</v>
      </c>
      <c r="AJ115" s="16">
        <f t="shared" ca="1" si="63"/>
        <v>2.0381098555140556E-3</v>
      </c>
      <c r="AK115" s="16">
        <f t="shared" ca="1" si="64"/>
        <v>4.2573387686682765E-4</v>
      </c>
      <c r="AL115" s="16">
        <f t="shared" ca="1" si="82"/>
        <v>4.4722819675314701E-4</v>
      </c>
      <c r="AM115" s="16">
        <f t="shared" ca="1" si="83"/>
        <v>1.7173962375197128E-3</v>
      </c>
    </row>
    <row r="116" spans="1:39" ht="16.5" x14ac:dyDescent="0.3">
      <c r="A116"/>
      <c r="B116" s="36">
        <f t="shared" si="94"/>
        <v>90</v>
      </c>
      <c r="C116" s="36">
        <f t="shared" si="94"/>
        <v>90</v>
      </c>
      <c r="D116" s="36">
        <f t="shared" si="65"/>
        <v>0.2</v>
      </c>
      <c r="E116" s="14">
        <f t="shared" ca="1" si="66"/>
        <v>1.3470720617562805E-4</v>
      </c>
      <c r="F116" s="14">
        <f t="shared" ca="1" si="67"/>
        <v>1.1971503767873299E-4</v>
      </c>
      <c r="G116" s="14">
        <f t="shared" ca="1" si="68"/>
        <v>3.8131562253108124E-5</v>
      </c>
      <c r="H116" s="14">
        <f t="shared" ca="1" si="69"/>
        <v>1.5221502068580667E-4</v>
      </c>
      <c r="I116" s="14">
        <f t="shared" ca="1" si="70"/>
        <v>9.5454697886923487E-5</v>
      </c>
      <c r="J116" s="14">
        <f t="shared" ca="1" si="71"/>
        <v>6.1674776769867162E-4</v>
      </c>
      <c r="K116" s="14">
        <f t="shared" ca="1" si="72"/>
        <v>9.6052443358271274E-4</v>
      </c>
      <c r="L116" s="14">
        <f t="shared" ca="1" si="73"/>
        <v>0.94227883588987993</v>
      </c>
      <c r="M116" s="14">
        <f t="shared" ca="1" si="74"/>
        <v>1.4943331369603919E-2</v>
      </c>
      <c r="N116" s="14">
        <f t="shared" ca="1" si="75"/>
        <v>5.5890237089009876E-3</v>
      </c>
      <c r="O116" s="14">
        <f t="shared" ca="1" si="76"/>
        <v>4.0109037826559059E-3</v>
      </c>
      <c r="P116" s="14">
        <f t="shared" ca="1" si="77"/>
        <v>3.1060409523001917E-2</v>
      </c>
      <c r="Q116"/>
      <c r="R116" s="44">
        <f t="shared" ca="1" si="62"/>
        <v>1.0000000000000042</v>
      </c>
      <c r="S116" s="16">
        <f t="shared" ca="1" si="78"/>
        <v>1.3799473554234425</v>
      </c>
      <c r="T116" s="16">
        <f t="shared" ca="1" si="84"/>
        <v>0.39403267026063354</v>
      </c>
      <c r="U116" s="16">
        <f t="shared" ca="1" si="85"/>
        <v>0.12550711437903939</v>
      </c>
      <c r="V116" s="16">
        <f t="shared" ca="1" si="86"/>
        <v>0.38654069078281139</v>
      </c>
      <c r="W116" s="16">
        <f t="shared" ca="1" si="87"/>
        <v>0.21799121317052594</v>
      </c>
      <c r="X116" s="16">
        <f t="shared" ca="1" si="88"/>
        <v>1.3983398766988204</v>
      </c>
      <c r="Y116" s="16">
        <f t="shared" ca="1" si="89"/>
        <v>2.2721615573218794</v>
      </c>
      <c r="Z116" s="16">
        <f t="shared" ca="1" si="79"/>
        <v>0</v>
      </c>
      <c r="AA116" s="16">
        <f t="shared" ca="1" si="90"/>
        <v>6.3747947531132789</v>
      </c>
      <c r="AB116" s="16">
        <f t="shared" ca="1" si="91"/>
        <v>5.6854638914762843</v>
      </c>
      <c r="AC116" s="16">
        <f t="shared" ca="1" si="92"/>
        <v>0.69355274695741942</v>
      </c>
      <c r="AD116" s="16">
        <f t="shared" ca="1" si="93"/>
        <v>0</v>
      </c>
      <c r="AF116" s="16">
        <f t="shared" ca="1" si="41"/>
        <v>0.98293917290443877</v>
      </c>
      <c r="AG116" s="16">
        <f t="shared" ca="1" si="80"/>
        <v>1.0780077683534861E-3</v>
      </c>
      <c r="AH116" s="16">
        <f t="shared" ca="1" si="42"/>
        <v>1.0780077683534861E-3</v>
      </c>
      <c r="AI116" s="16">
        <f t="shared" ca="1" si="81"/>
        <v>1.2239879869846871E-3</v>
      </c>
      <c r="AJ116" s="16">
        <f t="shared" ca="1" si="63"/>
        <v>2.0379187076760797E-3</v>
      </c>
      <c r="AK116" s="16">
        <f t="shared" ca="1" si="64"/>
        <v>4.2569394864122389E-4</v>
      </c>
      <c r="AL116" s="16">
        <f t="shared" ca="1" si="82"/>
        <v>4.4231182196282373E-4</v>
      </c>
      <c r="AM116" s="16">
        <f t="shared" ca="1" si="83"/>
        <v>1.690689648662574E-3</v>
      </c>
    </row>
    <row r="117" spans="1:39" ht="16.5" x14ac:dyDescent="0.3">
      <c r="A117"/>
      <c r="B117" s="36">
        <f t="shared" si="94"/>
        <v>91</v>
      </c>
      <c r="C117" s="36">
        <f t="shared" si="94"/>
        <v>91</v>
      </c>
      <c r="D117" s="36">
        <f t="shared" si="65"/>
        <v>0.2</v>
      </c>
      <c r="E117" s="14">
        <f t="shared" ca="1" si="66"/>
        <v>1.3469494214993284E-4</v>
      </c>
      <c r="F117" s="14">
        <f t="shared" ca="1" si="67"/>
        <v>1.1970407290987157E-4</v>
      </c>
      <c r="G117" s="14">
        <f t="shared" ca="1" si="68"/>
        <v>3.8128032784469433E-5</v>
      </c>
      <c r="H117" s="14">
        <f t="shared" ca="1" si="69"/>
        <v>1.5176289780947019E-4</v>
      </c>
      <c r="I117" s="14">
        <f t="shared" ca="1" si="70"/>
        <v>9.1301242555682474E-5</v>
      </c>
      <c r="J117" s="14">
        <f t="shared" ca="1" si="71"/>
        <v>5.9798260241752553E-4</v>
      </c>
      <c r="K117" s="14">
        <f t="shared" ca="1" si="72"/>
        <v>9.5408275713654354E-4</v>
      </c>
      <c r="L117" s="14">
        <f t="shared" ca="1" si="73"/>
        <v>0.94264390968796996</v>
      </c>
      <c r="M117" s="14">
        <f t="shared" ca="1" si="74"/>
        <v>1.4521256174682957E-2</v>
      </c>
      <c r="N117" s="14">
        <f t="shared" ca="1" si="75"/>
        <v>5.5967660180062757E-3</v>
      </c>
      <c r="O117" s="14">
        <f t="shared" ca="1" si="76"/>
        <v>4.0118467341885887E-3</v>
      </c>
      <c r="P117" s="14">
        <f t="shared" ca="1" si="77"/>
        <v>3.1138564837392926E-2</v>
      </c>
      <c r="Q117"/>
      <c r="R117" s="44">
        <f t="shared" ca="1" si="62"/>
        <v>1.0000000000000042</v>
      </c>
      <c r="S117" s="16">
        <f t="shared" ca="1" si="78"/>
        <v>1.3798217221310194</v>
      </c>
      <c r="T117" s="16">
        <f t="shared" ca="1" si="84"/>
        <v>0.39399646805347827</v>
      </c>
      <c r="U117" s="16">
        <f t="shared" ca="1" si="85"/>
        <v>0.12549545867966394</v>
      </c>
      <c r="V117" s="16">
        <f t="shared" ca="1" si="86"/>
        <v>0.38537104595157223</v>
      </c>
      <c r="W117" s="16">
        <f t="shared" ca="1" si="87"/>
        <v>0.20843741891347625</v>
      </c>
      <c r="X117" s="16">
        <f t="shared" ca="1" si="88"/>
        <v>1.3557548018165668</v>
      </c>
      <c r="Y117" s="16">
        <f t="shared" ca="1" si="89"/>
        <v>2.2566517653412519</v>
      </c>
      <c r="Z117" s="16">
        <f t="shared" ca="1" si="79"/>
        <v>0</v>
      </c>
      <c r="AA117" s="16">
        <f t="shared" ca="1" si="90"/>
        <v>6.1938982706222658</v>
      </c>
      <c r="AB117" s="16">
        <f t="shared" ca="1" si="91"/>
        <v>5.6851292960746624</v>
      </c>
      <c r="AC117" s="16">
        <f t="shared" ca="1" si="92"/>
        <v>0.69351193066444217</v>
      </c>
      <c r="AD117" s="16">
        <f t="shared" ca="1" si="93"/>
        <v>0</v>
      </c>
      <c r="AF117" s="16">
        <f t="shared" ca="1" si="41"/>
        <v>0.98339108727755786</v>
      </c>
      <c r="AG117" s="16">
        <f t="shared" ca="1" si="80"/>
        <v>1.0779073603352314E-3</v>
      </c>
      <c r="AH117" s="16">
        <f t="shared" ca="1" si="42"/>
        <v>1.0779073603352314E-3</v>
      </c>
      <c r="AI117" s="16">
        <f t="shared" ca="1" si="81"/>
        <v>1.2238739820472939E-3</v>
      </c>
      <c r="AJ117" s="16">
        <f t="shared" ca="1" si="63"/>
        <v>2.0377288914383779E-3</v>
      </c>
      <c r="AK117" s="16">
        <f t="shared" ca="1" si="64"/>
        <v>4.2565429856909932E-4</v>
      </c>
      <c r="AL117" s="16">
        <f t="shared" ca="1" si="82"/>
        <v>4.3757773447091543E-4</v>
      </c>
      <c r="AM117" s="16">
        <f t="shared" ca="1" si="83"/>
        <v>1.6649984023916244E-3</v>
      </c>
    </row>
    <row r="118" spans="1:39" ht="16.5" x14ac:dyDescent="0.3">
      <c r="A118"/>
      <c r="B118" s="36">
        <f t="shared" si="94"/>
        <v>92</v>
      </c>
      <c r="C118" s="36">
        <f>C117+91.3</f>
        <v>182.3</v>
      </c>
      <c r="D118" s="36">
        <f t="shared" si="65"/>
        <v>0.5</v>
      </c>
      <c r="E118" s="14">
        <f t="shared" ref="E118:E136" ca="1" si="95">SUMPRODUCT($E117:$P117,$W$9:$AH$9)</f>
        <v>0</v>
      </c>
      <c r="F118" s="14">
        <f t="shared" ref="F118:F136" ca="1" si="96">SUMPRODUCT($E117:$P117,$W$10:$AH$10)</f>
        <v>0</v>
      </c>
      <c r="G118" s="14">
        <f t="shared" ref="G118:G136" ca="1" si="97">SUMPRODUCT($E117:$P117,$W$11:$AH$11)</f>
        <v>0</v>
      </c>
      <c r="H118" s="14">
        <f t="shared" ref="H118:H136" ca="1" si="98">SUMPRODUCT($E117:$P117,$W$12:$AH$12)</f>
        <v>2.6394753952356927E-4</v>
      </c>
      <c r="I118" s="14">
        <f t="shared" ref="I118:I136" ca="1" si="99">SUMPRODUCT($E117:$P117,$W$13:$AH$13)</f>
        <v>1.2463801617736633E-7</v>
      </c>
      <c r="J118" s="14">
        <f t="shared" ref="J118:J136" ca="1" si="100">SUMPRODUCT($E117:$P117,$W$14:$AH$14)</f>
        <v>1.1187759044598353E-7</v>
      </c>
      <c r="K118" s="14">
        <f t="shared" ref="K118:K136" ca="1" si="101">SUMPRODUCT($E117:$P117,$W$15:$AH$15)</f>
        <v>6.9090128109983054E-4</v>
      </c>
      <c r="L118" s="14">
        <f t="shared" ref="L118:L136" ca="1" si="102">SUMPRODUCT($E117:$P117,$W$16:$AH$16)</f>
        <v>0.95431373433248523</v>
      </c>
      <c r="M118" s="14">
        <f t="shared" ref="M118:M136" ca="1" si="103">SUMPRODUCT($E117:$P117,$W$17:$AH$17)</f>
        <v>2.882332381485323E-3</v>
      </c>
      <c r="N118" s="14">
        <f t="shared" ref="N118:N136" ca="1" si="104">SUMPRODUCT($E117:$P117,$W$18:$AH$18)</f>
        <v>1.6201341049527944E-3</v>
      </c>
      <c r="O118" s="14">
        <f t="shared" ref="O118:O136" ca="1" si="105">SUMPRODUCT($E117:$P117,$W$19:$AH$19)</f>
        <v>1.8014195498047474E-3</v>
      </c>
      <c r="P118" s="14">
        <f t="shared" ref="P118:P136" ca="1" si="106">SUMPRODUCT($E117:$P117,$W$20:$AH$20)</f>
        <v>3.8427294295046072E-2</v>
      </c>
      <c r="Q118"/>
      <c r="R118" s="44">
        <f t="shared" ca="1" si="62"/>
        <v>1.000000000000004</v>
      </c>
      <c r="S118" s="16">
        <f t="shared" ca="1" si="78"/>
        <v>0</v>
      </c>
      <c r="T118" s="16">
        <f t="shared" ca="1" si="84"/>
        <v>17.985115057703236</v>
      </c>
      <c r="U118" s="16">
        <f t="shared" ca="1" si="85"/>
        <v>5.7286025436149837</v>
      </c>
      <c r="V118" s="16">
        <f t="shared" ca="1" si="86"/>
        <v>48.117023146243412</v>
      </c>
      <c r="W118" s="16">
        <f t="shared" ca="1" si="87"/>
        <v>9.31625122050451</v>
      </c>
      <c r="X118" s="16">
        <f t="shared" ca="1" si="88"/>
        <v>60.94552652376958</v>
      </c>
      <c r="Y118" s="16">
        <f ca="1">((K118+K117)/2)*Y$25*($C118-$C117)</f>
        <v>177.01795786772476</v>
      </c>
      <c r="Z118" s="16">
        <f t="shared" ca="1" si="79"/>
        <v>0</v>
      </c>
      <c r="AA118" s="16">
        <f t="shared" ca="1" si="90"/>
        <v>334.02062712897776</v>
      </c>
      <c r="AB118" s="16">
        <f ca="1">(N118-(N117*$AF$18))*AB$25</f>
        <v>38.212191375277719</v>
      </c>
      <c r="AC118" s="16">
        <f ca="1">(O118-(O117*$AG$19))*AC$25</f>
        <v>4.65234612932574</v>
      </c>
      <c r="AD118" s="16">
        <f t="shared" ca="1" si="93"/>
        <v>0</v>
      </c>
      <c r="AF118" s="16">
        <f t="shared" ca="1" si="41"/>
        <v>0.99616258228228882</v>
      </c>
      <c r="AG118" s="16">
        <f t="shared" ca="1" si="80"/>
        <v>9.4312487568890251E-4</v>
      </c>
      <c r="AH118" s="16">
        <f t="shared" ca="1" si="42"/>
        <v>9.4312487568890251E-4</v>
      </c>
      <c r="AI118" s="16">
        <f t="shared" ca="1" si="81"/>
        <v>1.0708397026051079E-3</v>
      </c>
      <c r="AJ118" s="16">
        <f t="shared" ca="1" si="63"/>
        <v>1.7829294781212101E-3</v>
      </c>
      <c r="AK118" s="16">
        <f t="shared" ca="1" si="64"/>
        <v>3.7243011059835283E-4</v>
      </c>
      <c r="AL118" s="16">
        <f t="shared" ca="1" si="82"/>
        <v>3.1920579296470464E-2</v>
      </c>
      <c r="AM118" s="16">
        <f t="shared" ca="1" si="83"/>
        <v>0.10698058770783368</v>
      </c>
    </row>
    <row r="119" spans="1:39" ht="16.5" x14ac:dyDescent="0.3">
      <c r="A119"/>
      <c r="B119" s="36">
        <f t="shared" si="94"/>
        <v>93</v>
      </c>
      <c r="C119" s="36">
        <f t="shared" ref="C119:C136" si="107">C118+91.3</f>
        <v>273.60000000000002</v>
      </c>
      <c r="D119" s="36">
        <f t="shared" si="65"/>
        <v>0.7</v>
      </c>
      <c r="E119" s="14">
        <f t="shared" ca="1" si="95"/>
        <v>0</v>
      </c>
      <c r="F119" s="14">
        <f t="shared" ca="1" si="96"/>
        <v>0</v>
      </c>
      <c r="G119" s="14">
        <f t="shared" ca="1" si="97"/>
        <v>0</v>
      </c>
      <c r="H119" s="14">
        <f t="shared" ca="1" si="98"/>
        <v>0</v>
      </c>
      <c r="I119" s="14">
        <f t="shared" ca="1" si="99"/>
        <v>7.4046009870215544E-8</v>
      </c>
      <c r="J119" s="14">
        <f t="shared" ca="1" si="100"/>
        <v>6.6465187913698354E-8</v>
      </c>
      <c r="K119" s="14">
        <f t="shared" ca="1" si="101"/>
        <v>2.1784170023621204E-4</v>
      </c>
      <c r="L119" s="14">
        <f t="shared" ca="1" si="102"/>
        <v>0.94982998823012321</v>
      </c>
      <c r="M119" s="14">
        <f t="shared" ca="1" si="103"/>
        <v>1.0368679024077322E-3</v>
      </c>
      <c r="N119" s="14">
        <f t="shared" ca="1" si="104"/>
        <v>1.6201864089070935E-3</v>
      </c>
      <c r="O119" s="14">
        <f t="shared" ca="1" si="105"/>
        <v>1.8014777063274192E-3</v>
      </c>
      <c r="P119" s="14">
        <f t="shared" ca="1" si="106"/>
        <v>4.5493497540804714E-2</v>
      </c>
      <c r="Q119"/>
      <c r="R119" s="44">
        <f t="shared" ca="1" si="62"/>
        <v>1.0000000000000042</v>
      </c>
      <c r="S119" s="16">
        <f t="shared" ca="1" si="78"/>
        <v>0</v>
      </c>
      <c r="T119" s="16">
        <f t="shared" ca="1" si="84"/>
        <v>0</v>
      </c>
      <c r="U119" s="16">
        <f t="shared" ca="1" si="85"/>
        <v>0</v>
      </c>
      <c r="V119" s="16">
        <f ca="1">((H119+H118)/2)*V$25*($C119-$C118)</f>
        <v>30.55100071609434</v>
      </c>
      <c r="W119" s="16">
        <f t="shared" ca="1" si="87"/>
        <v>2.0245802267178321E-2</v>
      </c>
      <c r="X119" s="16">
        <f t="shared" ca="1" si="88"/>
        <v>1.8173039364446045E-2</v>
      </c>
      <c r="Y119" s="16">
        <f t="shared" ca="1" si="89"/>
        <v>97.790509235092642</v>
      </c>
      <c r="Z119" s="16">
        <f t="shared" ca="1" si="79"/>
        <v>0</v>
      </c>
      <c r="AA119" s="16">
        <f t="shared" ca="1" si="90"/>
        <v>75.219758985054241</v>
      </c>
      <c r="AB119" s="16">
        <f t="shared" ref="AB119:AB136" ca="1" si="108">(N119-(N118*$AF$18))*AB$25</f>
        <v>38.213425006929107</v>
      </c>
      <c r="AC119" s="16">
        <f t="shared" ref="AC119:AC136" ca="1" si="109">(O119-(O118*$AG$19))*AC$25</f>
        <v>4.6524963243611923</v>
      </c>
      <c r="AD119" s="16">
        <f t="shared" ca="1" si="93"/>
        <v>0</v>
      </c>
      <c r="AF119" s="16">
        <f t="shared" ca="1" si="41"/>
        <v>0.99874514988616236</v>
      </c>
      <c r="AG119" s="16">
        <v>0</v>
      </c>
      <c r="AH119" s="16">
        <f t="shared" ca="1" si="42"/>
        <v>0</v>
      </c>
      <c r="AI119" s="16">
        <f t="shared" ca="1" si="81"/>
        <v>0</v>
      </c>
      <c r="AJ119" s="16">
        <f t="shared" ca="1" si="63"/>
        <v>0</v>
      </c>
      <c r="AK119" s="16">
        <f t="shared" ca="1" si="64"/>
        <v>0</v>
      </c>
      <c r="AL119" s="16">
        <f t="shared" ca="1" si="82"/>
        <v>1.2052342891332014E-2</v>
      </c>
      <c r="AM119" s="16">
        <f t="shared" ca="1" si="83"/>
        <v>4.1498190659530462E-2</v>
      </c>
    </row>
    <row r="120" spans="1:39" ht="16.5" x14ac:dyDescent="0.3">
      <c r="A120"/>
      <c r="B120" s="36">
        <f t="shared" si="94"/>
        <v>94</v>
      </c>
      <c r="C120" s="36">
        <f t="shared" si="107"/>
        <v>364.90000000000003</v>
      </c>
      <c r="D120" s="36">
        <f t="shared" si="65"/>
        <v>1</v>
      </c>
      <c r="E120" s="14">
        <f t="shared" ca="1" si="95"/>
        <v>0</v>
      </c>
      <c r="F120" s="14">
        <f t="shared" ca="1" si="96"/>
        <v>0</v>
      </c>
      <c r="G120" s="14">
        <f t="shared" ca="1" si="97"/>
        <v>0</v>
      </c>
      <c r="H120" s="14">
        <f t="shared" ca="1" si="98"/>
        <v>0</v>
      </c>
      <c r="I120" s="14">
        <f t="shared" ca="1" si="99"/>
        <v>0</v>
      </c>
      <c r="J120" s="14">
        <f t="shared" ca="1" si="100"/>
        <v>0</v>
      </c>
      <c r="K120" s="14">
        <f t="shared" ca="1" si="101"/>
        <v>1.1560696813617344E-7</v>
      </c>
      <c r="L120" s="14">
        <f t="shared" ca="1" si="102"/>
        <v>0.94329686384617017</v>
      </c>
      <c r="M120" s="14">
        <f t="shared" ca="1" si="103"/>
        <v>9.1864322516918085E-4</v>
      </c>
      <c r="N120" s="14">
        <f t="shared" ca="1" si="104"/>
        <v>1.6094733467458971E-3</v>
      </c>
      <c r="O120" s="14">
        <f t="shared" ca="1" si="105"/>
        <v>1.7895659025104044E-3</v>
      </c>
      <c r="P120" s="14">
        <f t="shared" ca="1" si="106"/>
        <v>5.2385338072440425E-2</v>
      </c>
      <c r="Q120"/>
      <c r="R120" s="44">
        <f t="shared" ca="1" si="62"/>
        <v>1.0000000000000042</v>
      </c>
      <c r="S120" s="16">
        <f t="shared" ca="1" si="78"/>
        <v>0</v>
      </c>
      <c r="T120" s="16">
        <f t="shared" ca="1" si="84"/>
        <v>0</v>
      </c>
      <c r="U120" s="16">
        <f t="shared" ca="1" si="85"/>
        <v>0</v>
      </c>
      <c r="V120" s="16">
        <f t="shared" ca="1" si="86"/>
        <v>0</v>
      </c>
      <c r="W120" s="16">
        <f t="shared" ca="1" si="87"/>
        <v>7.5452511423686431E-3</v>
      </c>
      <c r="X120" s="16">
        <f t="shared" ca="1" si="88"/>
        <v>6.7727692000227853E-3</v>
      </c>
      <c r="Y120" s="16">
        <f t="shared" ca="1" si="89"/>
        <v>23.454548206453786</v>
      </c>
      <c r="Z120" s="16">
        <f t="shared" ca="1" si="79"/>
        <v>0</v>
      </c>
      <c r="AA120" s="16">
        <f t="shared" ca="1" si="90"/>
        <v>37.531400554710928</v>
      </c>
      <c r="AB120" s="16">
        <f t="shared" ca="1" si="108"/>
        <v>37.960748651146318</v>
      </c>
      <c r="AC120" s="16">
        <f t="shared" ca="1" si="109"/>
        <v>4.6217328998233702</v>
      </c>
      <c r="AD120" s="16">
        <f t="shared" ca="1" si="93"/>
        <v>0</v>
      </c>
      <c r="AF120" s="16">
        <f t="shared" ref="AF120:AF136" ca="1" si="110">SUM(L120:P120)-M120</f>
        <v>0.9990812411678669</v>
      </c>
      <c r="AG120" s="16">
        <v>0</v>
      </c>
      <c r="AH120" s="16">
        <f t="shared" ref="AH120:AH136" ca="1" si="111">IF(AG120+AF120&gt;1,
IF(AG120-AF120&lt;0,AG120,AG120-AF120),AG120)</f>
        <v>0</v>
      </c>
      <c r="AI120" s="16">
        <f t="shared" ref="AI120:AI136" ca="1" si="112">AH120*AI$25</f>
        <v>0</v>
      </c>
      <c r="AJ120" s="16">
        <f t="shared" ca="1" si="63"/>
        <v>0</v>
      </c>
      <c r="AK120" s="16">
        <f t="shared" ca="1" si="64"/>
        <v>0</v>
      </c>
      <c r="AL120" s="16">
        <f t="shared" ca="1" si="82"/>
        <v>1.1693695982863954E-6</v>
      </c>
      <c r="AM120" s="16">
        <f t="shared" ca="1" si="83"/>
        <v>9.9549960404590465E-3</v>
      </c>
    </row>
    <row r="121" spans="1:39" ht="16.5" x14ac:dyDescent="0.3">
      <c r="A121"/>
      <c r="B121" s="36">
        <f t="shared" si="94"/>
        <v>95</v>
      </c>
      <c r="C121" s="36">
        <f t="shared" si="107"/>
        <v>456.20000000000005</v>
      </c>
      <c r="D121" s="36">
        <f t="shared" si="65"/>
        <v>1.2</v>
      </c>
      <c r="E121" s="14">
        <f t="shared" ca="1" si="95"/>
        <v>0</v>
      </c>
      <c r="F121" s="14">
        <f t="shared" ca="1" si="96"/>
        <v>0</v>
      </c>
      <c r="G121" s="14">
        <f t="shared" ca="1" si="97"/>
        <v>0</v>
      </c>
      <c r="H121" s="14">
        <f t="shared" ca="1" si="98"/>
        <v>0</v>
      </c>
      <c r="I121" s="14">
        <f t="shared" ca="1" si="99"/>
        <v>0</v>
      </c>
      <c r="J121" s="14">
        <f t="shared" ca="1" si="100"/>
        <v>0</v>
      </c>
      <c r="K121" s="14">
        <f t="shared" ca="1" si="101"/>
        <v>0</v>
      </c>
      <c r="L121" s="14">
        <f t="shared" ca="1" si="102"/>
        <v>0.93655961699660506</v>
      </c>
      <c r="M121" s="14">
        <f t="shared" ca="1" si="103"/>
        <v>8.7397565264023388E-4</v>
      </c>
      <c r="N121" s="14">
        <f t="shared" ca="1" si="104"/>
        <v>1.5982150207617184E-3</v>
      </c>
      <c r="O121" s="14">
        <f t="shared" ca="1" si="105"/>
        <v>1.7770478223934714E-3</v>
      </c>
      <c r="P121" s="14">
        <f t="shared" ca="1" si="106"/>
        <v>5.9191144507603634E-2</v>
      </c>
      <c r="Q121"/>
      <c r="R121" s="44">
        <f t="shared" ca="1" si="62"/>
        <v>1.0000000000000042</v>
      </c>
      <c r="S121" s="16">
        <f t="shared" ca="1" si="78"/>
        <v>0</v>
      </c>
      <c r="T121" s="16">
        <f t="shared" ca="1" si="84"/>
        <v>0</v>
      </c>
      <c r="U121" s="16">
        <f t="shared" ca="1" si="85"/>
        <v>0</v>
      </c>
      <c r="V121" s="16">
        <f t="shared" ca="1" si="86"/>
        <v>0</v>
      </c>
      <c r="W121" s="16">
        <f t="shared" ca="1" si="87"/>
        <v>0</v>
      </c>
      <c r="X121" s="16">
        <f t="shared" ca="1" si="88"/>
        <v>0</v>
      </c>
      <c r="Y121" s="16">
        <f t="shared" ca="1" si="89"/>
        <v>1.2440551968324887E-2</v>
      </c>
      <c r="Z121" s="16">
        <f t="shared" ca="1" si="79"/>
        <v>0</v>
      </c>
      <c r="AA121" s="16">
        <f t="shared" ca="1" si="90"/>
        <v>34.405069956501876</v>
      </c>
      <c r="AB121" s="16">
        <f t="shared" ca="1" si="108"/>
        <v>37.69521180098215</v>
      </c>
      <c r="AC121" s="16">
        <f t="shared" ca="1" si="109"/>
        <v>4.5894037061133792</v>
      </c>
      <c r="AD121" s="16">
        <f t="shared" ca="1" si="93"/>
        <v>0</v>
      </c>
      <c r="AF121" s="16">
        <f t="shared" ca="1" si="110"/>
        <v>0.99912602434736397</v>
      </c>
      <c r="AG121" s="16">
        <v>0</v>
      </c>
      <c r="AH121" s="16">
        <f t="shared" ca="1" si="111"/>
        <v>0</v>
      </c>
      <c r="AI121" s="16">
        <f t="shared" ca="1" si="112"/>
        <v>0</v>
      </c>
      <c r="AJ121" s="16">
        <f t="shared" ca="1" si="63"/>
        <v>0</v>
      </c>
      <c r="AK121" s="16">
        <f t="shared" ca="1" si="64"/>
        <v>0</v>
      </c>
      <c r="AL121" s="16">
        <f t="shared" ca="1" si="82"/>
        <v>0</v>
      </c>
      <c r="AM121" s="16">
        <f t="shared" ca="1" si="83"/>
        <v>5.2774580954163184E-6</v>
      </c>
    </row>
    <row r="122" spans="1:39" ht="16.5" x14ac:dyDescent="0.3">
      <c r="A122"/>
      <c r="B122" s="36">
        <f t="shared" si="94"/>
        <v>96</v>
      </c>
      <c r="C122" s="36">
        <f t="shared" si="107"/>
        <v>547.5</v>
      </c>
      <c r="D122" s="36">
        <f t="shared" si="65"/>
        <v>1.5</v>
      </c>
      <c r="E122" s="14">
        <f t="shared" ca="1" si="95"/>
        <v>0</v>
      </c>
      <c r="F122" s="14">
        <f t="shared" ca="1" si="96"/>
        <v>0</v>
      </c>
      <c r="G122" s="14">
        <f t="shared" ca="1" si="97"/>
        <v>0</v>
      </c>
      <c r="H122" s="14">
        <f t="shared" ca="1" si="98"/>
        <v>0</v>
      </c>
      <c r="I122" s="14">
        <f t="shared" ca="1" si="99"/>
        <v>0</v>
      </c>
      <c r="J122" s="14">
        <f t="shared" ca="1" si="100"/>
        <v>0</v>
      </c>
      <c r="K122" s="14">
        <f t="shared" ca="1" si="101"/>
        <v>0</v>
      </c>
      <c r="L122" s="14">
        <f t="shared" ca="1" si="102"/>
        <v>0.92983389313888276</v>
      </c>
      <c r="M122" s="14">
        <f t="shared" ca="1" si="103"/>
        <v>8.6703503234151634E-4</v>
      </c>
      <c r="N122" s="14">
        <f t="shared" ca="1" si="104"/>
        <v>1.5867356948898841E-3</v>
      </c>
      <c r="O122" s="14">
        <f t="shared" ca="1" si="105"/>
        <v>1.7642840135329053E-3</v>
      </c>
      <c r="P122" s="14">
        <f t="shared" ca="1" si="106"/>
        <v>6.5948052120356995E-2</v>
      </c>
      <c r="Q122"/>
      <c r="R122" s="44">
        <f t="shared" ref="R122:R136" ca="1" si="113">SUM(E122:P122)</f>
        <v>1.000000000000004</v>
      </c>
      <c r="S122" s="16">
        <f t="shared" ca="1" si="78"/>
        <v>0</v>
      </c>
      <c r="T122" s="16">
        <f t="shared" ca="1" si="84"/>
        <v>0</v>
      </c>
      <c r="U122" s="16">
        <f t="shared" ca="1" si="85"/>
        <v>0</v>
      </c>
      <c r="V122" s="16">
        <f t="shared" ca="1" si="86"/>
        <v>0</v>
      </c>
      <c r="W122" s="16">
        <f t="shared" ca="1" si="87"/>
        <v>0</v>
      </c>
      <c r="X122" s="16">
        <f t="shared" ca="1" si="88"/>
        <v>0</v>
      </c>
      <c r="Y122" s="16">
        <f t="shared" ca="1" si="89"/>
        <v>0</v>
      </c>
      <c r="Z122" s="16">
        <f t="shared" ca="1" si="79"/>
        <v>0</v>
      </c>
      <c r="AA122" s="16">
        <f t="shared" ca="1" si="90"/>
        <v>33.414573032395928</v>
      </c>
      <c r="AB122" s="16">
        <f ca="1">(N122-(N121*$AF$18))*AB$25</f>
        <v>37.424462487247723</v>
      </c>
      <c r="AC122" s="16">
        <f t="shared" ca="1" si="109"/>
        <v>4.5564398933500811</v>
      </c>
      <c r="AD122" s="16">
        <f t="shared" ca="1" si="93"/>
        <v>0</v>
      </c>
      <c r="AF122" s="16">
        <f t="shared" ca="1" si="110"/>
        <v>0.99913296496766246</v>
      </c>
      <c r="AG122" s="16">
        <v>0</v>
      </c>
      <c r="AH122" s="16">
        <f t="shared" ca="1" si="111"/>
        <v>0</v>
      </c>
      <c r="AI122" s="16">
        <f t="shared" ca="1" si="112"/>
        <v>0</v>
      </c>
      <c r="AJ122" s="16">
        <f t="shared" ref="AJ122:AJ136" ca="1" si="114">(AH122*(i_Adv_Fals/i_Adv_Alar))*AJ$25</f>
        <v>0</v>
      </c>
      <c r="AK122" s="16">
        <f t="shared" ref="AK122:AK136" ca="1" si="115">(AH122*(i_Adv_Lead/i_Adv_Alar))*AK$25</f>
        <v>0</v>
      </c>
      <c r="AL122" s="16">
        <f t="shared" ca="1" si="82"/>
        <v>0</v>
      </c>
      <c r="AM122" s="16">
        <f t="shared" ca="1" si="83"/>
        <v>0</v>
      </c>
    </row>
    <row r="123" spans="1:39" ht="16.5" x14ac:dyDescent="0.3">
      <c r="A123"/>
      <c r="B123" s="36">
        <f t="shared" si="94"/>
        <v>97</v>
      </c>
      <c r="C123" s="36">
        <f t="shared" si="107"/>
        <v>638.79999999999995</v>
      </c>
      <c r="D123" s="36">
        <f t="shared" si="65"/>
        <v>1.7</v>
      </c>
      <c r="E123" s="14">
        <f t="shared" ca="1" si="95"/>
        <v>0</v>
      </c>
      <c r="F123" s="14">
        <f t="shared" ca="1" si="96"/>
        <v>0</v>
      </c>
      <c r="G123" s="14">
        <f t="shared" ca="1" si="97"/>
        <v>0</v>
      </c>
      <c r="H123" s="14">
        <f t="shared" ca="1" si="98"/>
        <v>0</v>
      </c>
      <c r="I123" s="14">
        <f t="shared" ca="1" si="99"/>
        <v>0</v>
      </c>
      <c r="J123" s="14">
        <f t="shared" ca="1" si="100"/>
        <v>0</v>
      </c>
      <c r="K123" s="14">
        <f t="shared" ca="1" si="101"/>
        <v>0</v>
      </c>
      <c r="L123" s="14">
        <f t="shared" ca="1" si="102"/>
        <v>0.92315582242063432</v>
      </c>
      <c r="M123" s="14">
        <f t="shared" ca="1" si="103"/>
        <v>8.6079346277757375E-4</v>
      </c>
      <c r="N123" s="14">
        <f t="shared" ca="1" si="104"/>
        <v>1.575339731343493E-3</v>
      </c>
      <c r="O123" s="14">
        <f t="shared" ca="1" si="105"/>
        <v>1.751612894852931E-3</v>
      </c>
      <c r="P123" s="14">
        <f t="shared" ca="1" si="106"/>
        <v>7.2656431490395856E-2</v>
      </c>
      <c r="Q123"/>
      <c r="R123" s="44">
        <f t="shared" ca="1" si="113"/>
        <v>1.0000000000000042</v>
      </c>
      <c r="S123" s="16">
        <f t="shared" ca="1" si="78"/>
        <v>0</v>
      </c>
      <c r="T123" s="16">
        <f t="shared" ca="1" si="84"/>
        <v>0</v>
      </c>
      <c r="U123" s="16">
        <f t="shared" ca="1" si="85"/>
        <v>0</v>
      </c>
      <c r="V123" s="16">
        <f t="shared" ca="1" si="86"/>
        <v>0</v>
      </c>
      <c r="W123" s="16">
        <f t="shared" ca="1" si="87"/>
        <v>0</v>
      </c>
      <c r="X123" s="16">
        <f t="shared" ca="1" si="88"/>
        <v>0</v>
      </c>
      <c r="Y123" s="16">
        <f t="shared" ca="1" si="89"/>
        <v>0</v>
      </c>
      <c r="Z123" s="16">
        <f t="shared" ref="Z123:Z136" ca="1" si="116">(L123-OFFSET(L123,-IF(C123-C122&gt;i_Cos_Days,1,MIN(B123,i_Cos_Days)),0))*MIN(i_Cos_Days,($C123-$C122))</f>
        <v>0</v>
      </c>
      <c r="AA123" s="16">
        <f t="shared" ca="1" si="90"/>
        <v>33.161572146363241</v>
      </c>
      <c r="AB123" s="16">
        <f t="shared" ca="1" si="108"/>
        <v>37.155679342315985</v>
      </c>
      <c r="AC123" s="16">
        <f t="shared" ca="1" si="109"/>
        <v>4.5237154622471794</v>
      </c>
      <c r="AD123" s="16">
        <f t="shared" ca="1" si="93"/>
        <v>0</v>
      </c>
      <c r="AF123" s="16">
        <f t="shared" ca="1" si="110"/>
        <v>0.99913920653722665</v>
      </c>
      <c r="AG123" s="16">
        <v>0</v>
      </c>
      <c r="AH123" s="16">
        <f t="shared" ca="1" si="111"/>
        <v>0</v>
      </c>
      <c r="AI123" s="16">
        <f t="shared" ca="1" si="112"/>
        <v>0</v>
      </c>
      <c r="AJ123" s="16">
        <f t="shared" ca="1" si="114"/>
        <v>0</v>
      </c>
      <c r="AK123" s="16">
        <f t="shared" ca="1" si="115"/>
        <v>0</v>
      </c>
      <c r="AL123" s="16">
        <f t="shared" ref="AL123:AL136" ca="1" si="117">((SUM(F122:J122)-((I122+J122)*(1-i_Bac_ICU)))+(SUM(F123:J123)-((I123+J123)*(1-i_Bac_ICU))))/2*(C123-C122)</f>
        <v>0</v>
      </c>
      <c r="AM123" s="16">
        <f t="shared" ref="AM123:AM136" ca="1" si="118">(((I122+J122)*(1-i_Bac_ICU))+((I123+J123)*(1-i_Bac_ICU))+K122+E122+E123+K123)/2*(C123-C122)</f>
        <v>0</v>
      </c>
    </row>
    <row r="124" spans="1:39" ht="16.5" x14ac:dyDescent="0.3">
      <c r="A124"/>
      <c r="B124" s="36">
        <f t="shared" si="94"/>
        <v>98</v>
      </c>
      <c r="C124" s="36">
        <f t="shared" si="107"/>
        <v>730.09999999999991</v>
      </c>
      <c r="D124" s="36">
        <f t="shared" si="65"/>
        <v>2</v>
      </c>
      <c r="E124" s="14">
        <f t="shared" ca="1" si="95"/>
        <v>0</v>
      </c>
      <c r="F124" s="14">
        <f t="shared" ca="1" si="96"/>
        <v>0</v>
      </c>
      <c r="G124" s="14">
        <f t="shared" ca="1" si="97"/>
        <v>0</v>
      </c>
      <c r="H124" s="14">
        <f t="shared" ca="1" si="98"/>
        <v>0</v>
      </c>
      <c r="I124" s="14">
        <f t="shared" ca="1" si="99"/>
        <v>0</v>
      </c>
      <c r="J124" s="14">
        <f t="shared" ca="1" si="100"/>
        <v>0</v>
      </c>
      <c r="K124" s="14">
        <f t="shared" ca="1" si="101"/>
        <v>0</v>
      </c>
      <c r="L124" s="14">
        <f t="shared" ca="1" si="102"/>
        <v>0.91652569954165464</v>
      </c>
      <c r="M124" s="14">
        <f t="shared" ca="1" si="103"/>
        <v>8.5461092254189932E-4</v>
      </c>
      <c r="N124" s="14">
        <f t="shared" ca="1" si="104"/>
        <v>1.5640256105502654E-3</v>
      </c>
      <c r="O124" s="14">
        <f t="shared" ca="1" si="105"/>
        <v>1.7390327767482221E-3</v>
      </c>
      <c r="P124" s="14">
        <f t="shared" ca="1" si="106"/>
        <v>7.9316631148509148E-2</v>
      </c>
      <c r="Q124"/>
      <c r="R124" s="44">
        <f t="shared" ca="1" si="113"/>
        <v>1.0000000000000042</v>
      </c>
      <c r="S124" s="16">
        <f t="shared" ca="1" si="78"/>
        <v>0</v>
      </c>
      <c r="T124" s="16">
        <f t="shared" ca="1" si="84"/>
        <v>0</v>
      </c>
      <c r="U124" s="16">
        <f t="shared" ca="1" si="85"/>
        <v>0</v>
      </c>
      <c r="V124" s="16">
        <f t="shared" ca="1" si="86"/>
        <v>0</v>
      </c>
      <c r="W124" s="16">
        <f t="shared" ca="1" si="87"/>
        <v>0</v>
      </c>
      <c r="X124" s="16">
        <f t="shared" ca="1" si="88"/>
        <v>0</v>
      </c>
      <c r="Y124" s="16">
        <f t="shared" ca="1" si="89"/>
        <v>0</v>
      </c>
      <c r="Z124" s="16">
        <f t="shared" ca="1" si="116"/>
        <v>0</v>
      </c>
      <c r="AA124" s="16">
        <f t="shared" ca="1" si="90"/>
        <v>32.923120810111875</v>
      </c>
      <c r="AB124" s="16">
        <f t="shared" ca="1" si="108"/>
        <v>36.888826525828662</v>
      </c>
      <c r="AC124" s="16">
        <f t="shared" ca="1" si="109"/>
        <v>4.4912260492299581</v>
      </c>
      <c r="AD124" s="16">
        <f t="shared" ca="1" si="93"/>
        <v>0</v>
      </c>
      <c r="AF124" s="16">
        <f t="shared" ca="1" si="110"/>
        <v>0.99914538907746231</v>
      </c>
      <c r="AG124" s="16">
        <v>0</v>
      </c>
      <c r="AH124" s="16">
        <f t="shared" ca="1" si="111"/>
        <v>0</v>
      </c>
      <c r="AI124" s="16">
        <f t="shared" ca="1" si="112"/>
        <v>0</v>
      </c>
      <c r="AJ124" s="16">
        <f t="shared" ca="1" si="114"/>
        <v>0</v>
      </c>
      <c r="AK124" s="16">
        <f t="shared" ca="1" si="115"/>
        <v>0</v>
      </c>
      <c r="AL124" s="16">
        <f t="shared" ca="1" si="117"/>
        <v>0</v>
      </c>
      <c r="AM124" s="16">
        <f t="shared" ca="1" si="118"/>
        <v>0</v>
      </c>
    </row>
    <row r="125" spans="1:39" ht="16.5" x14ac:dyDescent="0.3">
      <c r="A125"/>
      <c r="B125" s="36">
        <f t="shared" si="94"/>
        <v>99</v>
      </c>
      <c r="C125" s="36">
        <f t="shared" si="107"/>
        <v>821.39999999999986</v>
      </c>
      <c r="D125" s="36">
        <f t="shared" si="65"/>
        <v>2.2000000000000002</v>
      </c>
      <c r="E125" s="14">
        <f t="shared" ca="1" si="95"/>
        <v>0</v>
      </c>
      <c r="F125" s="14">
        <f t="shared" ca="1" si="96"/>
        <v>0</v>
      </c>
      <c r="G125" s="14">
        <f t="shared" ca="1" si="97"/>
        <v>0</v>
      </c>
      <c r="H125" s="14">
        <f t="shared" ca="1" si="98"/>
        <v>0</v>
      </c>
      <c r="I125" s="14">
        <f t="shared" ca="1" si="99"/>
        <v>0</v>
      </c>
      <c r="J125" s="14">
        <f t="shared" ca="1" si="100"/>
        <v>0</v>
      </c>
      <c r="K125" s="14">
        <f t="shared" ca="1" si="101"/>
        <v>0</v>
      </c>
      <c r="L125" s="14">
        <f t="shared" ca="1" si="102"/>
        <v>0.90994319403663015</v>
      </c>
      <c r="M125" s="14">
        <f t="shared" ca="1" si="103"/>
        <v>8.484730837264524E-4</v>
      </c>
      <c r="N125" s="14">
        <f t="shared" ca="1" si="104"/>
        <v>1.5527927480057286E-3</v>
      </c>
      <c r="O125" s="14">
        <f t="shared" ca="1" si="105"/>
        <v>1.7265430093109841E-3</v>
      </c>
      <c r="P125" s="14">
        <f t="shared" ca="1" si="106"/>
        <v>8.5928997122330833E-2</v>
      </c>
      <c r="Q125"/>
      <c r="R125" s="44">
        <f t="shared" ca="1" si="113"/>
        <v>1.0000000000000042</v>
      </c>
      <c r="S125" s="16">
        <f t="shared" ca="1" si="78"/>
        <v>0</v>
      </c>
      <c r="T125" s="16">
        <f t="shared" ca="1" si="84"/>
        <v>0</v>
      </c>
      <c r="U125" s="16">
        <f t="shared" ca="1" si="85"/>
        <v>0</v>
      </c>
      <c r="V125" s="16">
        <f t="shared" ca="1" si="86"/>
        <v>0</v>
      </c>
      <c r="W125" s="16">
        <f t="shared" ca="1" si="87"/>
        <v>0</v>
      </c>
      <c r="X125" s="16">
        <f t="shared" ca="1" si="88"/>
        <v>0</v>
      </c>
      <c r="Y125" s="16">
        <f t="shared" ca="1" si="89"/>
        <v>0</v>
      </c>
      <c r="Z125" s="16">
        <f t="shared" ca="1" si="116"/>
        <v>0</v>
      </c>
      <c r="AA125" s="16">
        <f t="shared" ca="1" si="90"/>
        <v>32.686660339684138</v>
      </c>
      <c r="AB125" s="16">
        <f t="shared" ca="1" si="108"/>
        <v>36.623890251768472</v>
      </c>
      <c r="AC125" s="16">
        <f t="shared" ca="1" si="109"/>
        <v>4.4589699758465473</v>
      </c>
      <c r="AD125" s="16">
        <f t="shared" ca="1" si="93"/>
        <v>0</v>
      </c>
      <c r="AF125" s="16">
        <f t="shared" ca="1" si="110"/>
        <v>0.99915152691627773</v>
      </c>
      <c r="AG125" s="16">
        <v>0</v>
      </c>
      <c r="AH125" s="16">
        <f t="shared" ca="1" si="111"/>
        <v>0</v>
      </c>
      <c r="AI125" s="16">
        <f t="shared" ca="1" si="112"/>
        <v>0</v>
      </c>
      <c r="AJ125" s="16">
        <f t="shared" ca="1" si="114"/>
        <v>0</v>
      </c>
      <c r="AK125" s="16">
        <f t="shared" ca="1" si="115"/>
        <v>0</v>
      </c>
      <c r="AL125" s="16">
        <f t="shared" ca="1" si="117"/>
        <v>0</v>
      </c>
      <c r="AM125" s="16">
        <f t="shared" ca="1" si="118"/>
        <v>0</v>
      </c>
    </row>
    <row r="126" spans="1:39" ht="16.5" x14ac:dyDescent="0.3">
      <c r="A126"/>
      <c r="B126" s="36">
        <f t="shared" si="94"/>
        <v>100</v>
      </c>
      <c r="C126" s="36">
        <f t="shared" si="107"/>
        <v>912.69999999999982</v>
      </c>
      <c r="D126" s="36">
        <f t="shared" si="65"/>
        <v>2.5</v>
      </c>
      <c r="E126" s="14">
        <f t="shared" ca="1" si="95"/>
        <v>0</v>
      </c>
      <c r="F126" s="14">
        <f t="shared" ca="1" si="96"/>
        <v>0</v>
      </c>
      <c r="G126" s="14">
        <f t="shared" ca="1" si="97"/>
        <v>0</v>
      </c>
      <c r="H126" s="14">
        <f t="shared" ca="1" si="98"/>
        <v>0</v>
      </c>
      <c r="I126" s="14">
        <f t="shared" ca="1" si="99"/>
        <v>0</v>
      </c>
      <c r="J126" s="14">
        <f t="shared" ca="1" si="100"/>
        <v>0</v>
      </c>
      <c r="K126" s="14">
        <f t="shared" ca="1" si="101"/>
        <v>0</v>
      </c>
      <c r="L126" s="14">
        <f t="shared" ca="1" si="102"/>
        <v>0.90340796420866143</v>
      </c>
      <c r="M126" s="14">
        <f t="shared" ca="1" si="103"/>
        <v>8.4237933329751251E-4</v>
      </c>
      <c r="N126" s="14">
        <f t="shared" ca="1" si="104"/>
        <v>1.5416405600997835E-3</v>
      </c>
      <c r="O126" s="14">
        <f t="shared" ca="1" si="105"/>
        <v>1.7141429436278719E-3</v>
      </c>
      <c r="P126" s="14">
        <f t="shared" ca="1" si="106"/>
        <v>9.2493872954317657E-2</v>
      </c>
      <c r="Q126"/>
      <c r="R126" s="44">
        <f t="shared" ca="1" si="113"/>
        <v>1.0000000000000042</v>
      </c>
      <c r="S126" s="16">
        <f t="shared" ca="1" si="78"/>
        <v>0</v>
      </c>
      <c r="T126" s="16">
        <f t="shared" ca="1" si="84"/>
        <v>0</v>
      </c>
      <c r="U126" s="16">
        <f t="shared" ca="1" si="85"/>
        <v>0</v>
      </c>
      <c r="V126" s="16">
        <f t="shared" ca="1" si="86"/>
        <v>0</v>
      </c>
      <c r="W126" s="16">
        <f t="shared" ca="1" si="87"/>
        <v>0</v>
      </c>
      <c r="X126" s="16">
        <f t="shared" ca="1" si="88"/>
        <v>0</v>
      </c>
      <c r="Y126" s="16">
        <f t="shared" ca="1" si="89"/>
        <v>0</v>
      </c>
      <c r="Z126" s="16">
        <f t="shared" ca="1" si="116"/>
        <v>0</v>
      </c>
      <c r="AA126" s="16">
        <f t="shared" ca="1" si="90"/>
        <v>32.451903979120438</v>
      </c>
      <c r="AB126" s="16">
        <f t="shared" ca="1" si="108"/>
        <v>36.360856755212673</v>
      </c>
      <c r="AC126" s="16">
        <f t="shared" ca="1" si="109"/>
        <v>4.4269455662133419</v>
      </c>
      <c r="AD126" s="16">
        <f t="shared" ca="1" si="93"/>
        <v>0</v>
      </c>
      <c r="AF126" s="16">
        <f t="shared" ca="1" si="110"/>
        <v>0.99915762066670666</v>
      </c>
      <c r="AG126" s="16">
        <v>0</v>
      </c>
      <c r="AH126" s="16">
        <f t="shared" ca="1" si="111"/>
        <v>0</v>
      </c>
      <c r="AI126" s="16">
        <f t="shared" ca="1" si="112"/>
        <v>0</v>
      </c>
      <c r="AJ126" s="16">
        <f t="shared" ca="1" si="114"/>
        <v>0</v>
      </c>
      <c r="AK126" s="16">
        <f t="shared" ca="1" si="115"/>
        <v>0</v>
      </c>
      <c r="AL126" s="16">
        <f t="shared" ca="1" si="117"/>
        <v>0</v>
      </c>
      <c r="AM126" s="16">
        <f t="shared" ca="1" si="118"/>
        <v>0</v>
      </c>
    </row>
    <row r="127" spans="1:39" ht="16.5" x14ac:dyDescent="0.3">
      <c r="A127"/>
      <c r="B127" s="36">
        <f t="shared" si="94"/>
        <v>101</v>
      </c>
      <c r="C127" s="36">
        <f t="shared" si="107"/>
        <v>1003.9999999999998</v>
      </c>
      <c r="D127" s="36">
        <f t="shared" si="65"/>
        <v>2.7</v>
      </c>
      <c r="E127" s="14">
        <f t="shared" ca="1" si="95"/>
        <v>0</v>
      </c>
      <c r="F127" s="14">
        <f t="shared" ca="1" si="96"/>
        <v>0</v>
      </c>
      <c r="G127" s="14">
        <f t="shared" ca="1" si="97"/>
        <v>0</v>
      </c>
      <c r="H127" s="14">
        <f t="shared" ca="1" si="98"/>
        <v>0</v>
      </c>
      <c r="I127" s="14">
        <f t="shared" ca="1" si="99"/>
        <v>0</v>
      </c>
      <c r="J127" s="14">
        <f t="shared" ca="1" si="100"/>
        <v>0</v>
      </c>
      <c r="K127" s="14">
        <f t="shared" ca="1" si="101"/>
        <v>0</v>
      </c>
      <c r="L127" s="14">
        <f t="shared" ca="1" si="102"/>
        <v>0.89691967052908494</v>
      </c>
      <c r="M127" s="14">
        <f t="shared" ca="1" si="103"/>
        <v>8.363293484366552E-4</v>
      </c>
      <c r="N127" s="14">
        <f t="shared" ca="1" si="104"/>
        <v>1.5305684674256394E-3</v>
      </c>
      <c r="O127" s="14">
        <f t="shared" ca="1" si="105"/>
        <v>1.701831935459178E-3</v>
      </c>
      <c r="P127" s="14">
        <f t="shared" ca="1" si="106"/>
        <v>9.901159971959772E-2</v>
      </c>
      <c r="Q127"/>
      <c r="R127" s="44">
        <f t="shared" ca="1" si="113"/>
        <v>1.000000000000004</v>
      </c>
      <c r="S127" s="16">
        <f t="shared" ca="1" si="78"/>
        <v>0</v>
      </c>
      <c r="T127" s="16">
        <f t="shared" ca="1" si="84"/>
        <v>0</v>
      </c>
      <c r="U127" s="16">
        <f t="shared" ca="1" si="85"/>
        <v>0</v>
      </c>
      <c r="V127" s="16">
        <f t="shared" ca="1" si="86"/>
        <v>0</v>
      </c>
      <c r="W127" s="16">
        <f t="shared" ca="1" si="87"/>
        <v>0</v>
      </c>
      <c r="X127" s="16">
        <f t="shared" ca="1" si="88"/>
        <v>0</v>
      </c>
      <c r="Y127" s="16">
        <f t="shared" ca="1" si="89"/>
        <v>0</v>
      </c>
      <c r="Z127" s="16">
        <f t="shared" ca="1" si="116"/>
        <v>0</v>
      </c>
      <c r="AA127" s="16">
        <f t="shared" ca="1" si="90"/>
        <v>32.218833766957282</v>
      </c>
      <c r="AB127" s="16">
        <f t="shared" ca="1" si="108"/>
        <v>36.099712370376992</v>
      </c>
      <c r="AC127" s="16">
        <f t="shared" ca="1" si="109"/>
        <v>4.3951511565168726</v>
      </c>
      <c r="AD127" s="16">
        <f t="shared" ca="1" si="93"/>
        <v>0</v>
      </c>
      <c r="AF127" s="16">
        <f t="shared" ca="1" si="110"/>
        <v>0.9991636706515673</v>
      </c>
      <c r="AG127" s="16">
        <v>0</v>
      </c>
      <c r="AH127" s="16">
        <f t="shared" ca="1" si="111"/>
        <v>0</v>
      </c>
      <c r="AI127" s="16">
        <f t="shared" ca="1" si="112"/>
        <v>0</v>
      </c>
      <c r="AJ127" s="16">
        <f t="shared" ca="1" si="114"/>
        <v>0</v>
      </c>
      <c r="AK127" s="16">
        <f t="shared" ca="1" si="115"/>
        <v>0</v>
      </c>
      <c r="AL127" s="16">
        <f t="shared" ca="1" si="117"/>
        <v>0</v>
      </c>
      <c r="AM127" s="16">
        <f t="shared" ca="1" si="118"/>
        <v>0</v>
      </c>
    </row>
    <row r="128" spans="1:39" ht="16.5" x14ac:dyDescent="0.3">
      <c r="B128" s="36">
        <f t="shared" si="94"/>
        <v>102</v>
      </c>
      <c r="C128" s="36">
        <f t="shared" si="107"/>
        <v>1095.2999999999997</v>
      </c>
      <c r="D128" s="36">
        <f t="shared" si="65"/>
        <v>3</v>
      </c>
      <c r="E128" s="14">
        <f t="shared" ca="1" si="95"/>
        <v>0</v>
      </c>
      <c r="F128" s="14">
        <f t="shared" ca="1" si="96"/>
        <v>0</v>
      </c>
      <c r="G128" s="14">
        <f t="shared" ca="1" si="97"/>
        <v>0</v>
      </c>
      <c r="H128" s="14">
        <f t="shared" ca="1" si="98"/>
        <v>0</v>
      </c>
      <c r="I128" s="14">
        <f t="shared" ca="1" si="99"/>
        <v>0</v>
      </c>
      <c r="J128" s="14">
        <f t="shared" ca="1" si="100"/>
        <v>0</v>
      </c>
      <c r="K128" s="14">
        <f t="shared" ca="1" si="101"/>
        <v>0</v>
      </c>
      <c r="L128" s="14">
        <f t="shared" ca="1" si="102"/>
        <v>0.8904779759016952</v>
      </c>
      <c r="M128" s="14">
        <f t="shared" ca="1" si="103"/>
        <v>8.3032281468828806E-4</v>
      </c>
      <c r="N128" s="14">
        <f t="shared" ca="1" si="104"/>
        <v>1.5195758947377728E-3</v>
      </c>
      <c r="O128" s="14">
        <f t="shared" ca="1" si="105"/>
        <v>1.6896093451920905E-3</v>
      </c>
      <c r="P128" s="14">
        <f t="shared" ca="1" si="106"/>
        <v>0.10548251604369085</v>
      </c>
      <c r="Q128"/>
      <c r="R128" s="44">
        <f t="shared" ca="1" si="113"/>
        <v>1.0000000000000042</v>
      </c>
      <c r="S128" s="16">
        <f t="shared" ca="1" si="78"/>
        <v>0</v>
      </c>
      <c r="T128" s="16">
        <f t="shared" ca="1" si="84"/>
        <v>0</v>
      </c>
      <c r="U128" s="16">
        <f t="shared" ca="1" si="85"/>
        <v>0</v>
      </c>
      <c r="V128" s="16">
        <f t="shared" ca="1" si="86"/>
        <v>0</v>
      </c>
      <c r="W128" s="16">
        <f t="shared" ca="1" si="87"/>
        <v>0</v>
      </c>
      <c r="X128" s="16">
        <f t="shared" ca="1" si="88"/>
        <v>0</v>
      </c>
      <c r="Y128" s="16">
        <f t="shared" ca="1" si="89"/>
        <v>0</v>
      </c>
      <c r="Z128" s="16">
        <f t="shared" ca="1" si="116"/>
        <v>0</v>
      </c>
      <c r="AA128" s="16">
        <f t="shared" ca="1" si="90"/>
        <v>31.987437472230585</v>
      </c>
      <c r="AB128" s="16">
        <f t="shared" ca="1" si="108"/>
        <v>35.840443529624054</v>
      </c>
      <c r="AC128" s="16">
        <f t="shared" ca="1" si="109"/>
        <v>4.363585094893093</v>
      </c>
      <c r="AD128" s="16">
        <f t="shared" ca="1" si="93"/>
        <v>0</v>
      </c>
      <c r="AF128" s="16">
        <f t="shared" ca="1" si="110"/>
        <v>0.99916967718531591</v>
      </c>
      <c r="AG128" s="16">
        <v>0</v>
      </c>
      <c r="AH128" s="16">
        <f t="shared" ca="1" si="111"/>
        <v>0</v>
      </c>
      <c r="AI128" s="16">
        <f t="shared" ca="1" si="112"/>
        <v>0</v>
      </c>
      <c r="AJ128" s="16">
        <f t="shared" ca="1" si="114"/>
        <v>0</v>
      </c>
      <c r="AK128" s="16">
        <f t="shared" ca="1" si="115"/>
        <v>0</v>
      </c>
      <c r="AL128" s="16">
        <f t="shared" ca="1" si="117"/>
        <v>0</v>
      </c>
      <c r="AM128" s="16">
        <f t="shared" ca="1" si="118"/>
        <v>0</v>
      </c>
    </row>
    <row r="129" spans="1:39" ht="16.5" x14ac:dyDescent="0.3">
      <c r="B129" s="36">
        <f t="shared" si="94"/>
        <v>103</v>
      </c>
      <c r="C129" s="36">
        <f t="shared" si="107"/>
        <v>1186.5999999999997</v>
      </c>
      <c r="D129" s="36">
        <f t="shared" si="65"/>
        <v>3.2</v>
      </c>
      <c r="E129" s="14">
        <f t="shared" ca="1" si="95"/>
        <v>0</v>
      </c>
      <c r="F129" s="14">
        <f t="shared" ca="1" si="96"/>
        <v>0</v>
      </c>
      <c r="G129" s="14">
        <f t="shared" ca="1" si="97"/>
        <v>0</v>
      </c>
      <c r="H129" s="14">
        <f t="shared" ca="1" si="98"/>
        <v>0</v>
      </c>
      <c r="I129" s="14">
        <f t="shared" ca="1" si="99"/>
        <v>0</v>
      </c>
      <c r="J129" s="14">
        <f t="shared" ca="1" si="100"/>
        <v>0</v>
      </c>
      <c r="K129" s="14">
        <f t="shared" ca="1" si="101"/>
        <v>0</v>
      </c>
      <c r="L129" s="14">
        <f t="shared" ca="1" si="102"/>
        <v>0.88408254565118993</v>
      </c>
      <c r="M129" s="14">
        <f t="shared" ca="1" si="103"/>
        <v>8.2435941998291508E-4</v>
      </c>
      <c r="N129" s="14">
        <f t="shared" ca="1" si="104"/>
        <v>1.5086622709220871E-3</v>
      </c>
      <c r="O129" s="14">
        <f t="shared" ca="1" si="105"/>
        <v>1.6774745378075103E-3</v>
      </c>
      <c r="P129" s="14">
        <f t="shared" ca="1" si="106"/>
        <v>0.11190695812010179</v>
      </c>
      <c r="R129" s="44">
        <f t="shared" ca="1" si="113"/>
        <v>1.0000000000000042</v>
      </c>
      <c r="S129" s="16">
        <f t="shared" ca="1" si="78"/>
        <v>0</v>
      </c>
      <c r="T129" s="16">
        <f t="shared" ca="1" si="84"/>
        <v>0</v>
      </c>
      <c r="U129" s="16">
        <f t="shared" ca="1" si="85"/>
        <v>0</v>
      </c>
      <c r="V129" s="16">
        <f t="shared" ca="1" si="86"/>
        <v>0</v>
      </c>
      <c r="W129" s="16">
        <f t="shared" ca="1" si="87"/>
        <v>0</v>
      </c>
      <c r="X129" s="16">
        <f t="shared" ca="1" si="88"/>
        <v>0</v>
      </c>
      <c r="Y129" s="16">
        <f t="shared" ca="1" si="89"/>
        <v>0</v>
      </c>
      <c r="Z129" s="16">
        <f t="shared" ca="1" si="116"/>
        <v>0</v>
      </c>
      <c r="AA129" s="16">
        <f t="shared" ca="1" si="90"/>
        <v>31.757703070276442</v>
      </c>
      <c r="AB129" s="16">
        <f t="shared" ca="1" si="108"/>
        <v>35.583036762759576</v>
      </c>
      <c r="AC129" s="16">
        <f t="shared" ca="1" si="109"/>
        <v>4.3322457413416764</v>
      </c>
      <c r="AD129" s="16">
        <f t="shared" ca="1" si="93"/>
        <v>0</v>
      </c>
      <c r="AF129" s="16">
        <f t="shared" ca="1" si="110"/>
        <v>0.99917564058002128</v>
      </c>
      <c r="AG129" s="16">
        <v>0</v>
      </c>
      <c r="AH129" s="16">
        <f t="shared" ca="1" si="111"/>
        <v>0</v>
      </c>
      <c r="AI129" s="16">
        <f t="shared" ca="1" si="112"/>
        <v>0</v>
      </c>
      <c r="AJ129" s="16">
        <f t="shared" ca="1" si="114"/>
        <v>0</v>
      </c>
      <c r="AK129" s="16">
        <f t="shared" ca="1" si="115"/>
        <v>0</v>
      </c>
      <c r="AL129" s="16">
        <f t="shared" ca="1" si="117"/>
        <v>0</v>
      </c>
      <c r="AM129" s="16">
        <f t="shared" ca="1" si="118"/>
        <v>0</v>
      </c>
    </row>
    <row r="130" spans="1:39" ht="16.5" x14ac:dyDescent="0.3">
      <c r="B130" s="36">
        <f t="shared" si="94"/>
        <v>104</v>
      </c>
      <c r="C130" s="36">
        <f t="shared" si="107"/>
        <v>1277.8999999999996</v>
      </c>
      <c r="D130" s="36">
        <f t="shared" si="65"/>
        <v>3.5</v>
      </c>
      <c r="E130" s="14">
        <f t="shared" ca="1" si="95"/>
        <v>0</v>
      </c>
      <c r="F130" s="14">
        <f t="shared" ca="1" si="96"/>
        <v>0</v>
      </c>
      <c r="G130" s="14">
        <f t="shared" ca="1" si="97"/>
        <v>0</v>
      </c>
      <c r="H130" s="14">
        <f t="shared" ca="1" si="98"/>
        <v>0</v>
      </c>
      <c r="I130" s="14">
        <f t="shared" ca="1" si="99"/>
        <v>0</v>
      </c>
      <c r="J130" s="14">
        <f t="shared" ca="1" si="100"/>
        <v>0</v>
      </c>
      <c r="K130" s="14">
        <f t="shared" ca="1" si="101"/>
        <v>0</v>
      </c>
      <c r="L130" s="14">
        <f t="shared" ca="1" si="102"/>
        <v>0.87773304750590908</v>
      </c>
      <c r="M130" s="14">
        <f t="shared" ca="1" si="103"/>
        <v>8.1843885449502736E-4</v>
      </c>
      <c r="N130" s="14">
        <f t="shared" ca="1" si="104"/>
        <v>1.4978270289662361E-3</v>
      </c>
      <c r="O130" s="14">
        <f t="shared" ca="1" si="105"/>
        <v>1.6654268828470572E-3</v>
      </c>
      <c r="P130" s="14">
        <f t="shared" ca="1" si="106"/>
        <v>0.11828525972778693</v>
      </c>
      <c r="R130" s="44">
        <f t="shared" ca="1" si="113"/>
        <v>1.0000000000000044</v>
      </c>
      <c r="S130" s="16">
        <f t="shared" ca="1" si="78"/>
        <v>0</v>
      </c>
      <c r="T130" s="16">
        <f t="shared" ca="1" si="84"/>
        <v>0</v>
      </c>
      <c r="U130" s="16">
        <f t="shared" ca="1" si="85"/>
        <v>0</v>
      </c>
      <c r="V130" s="16">
        <f t="shared" ca="1" si="86"/>
        <v>0</v>
      </c>
      <c r="W130" s="16">
        <f t="shared" ca="1" si="87"/>
        <v>0</v>
      </c>
      <c r="X130" s="16">
        <f t="shared" ca="1" si="88"/>
        <v>0</v>
      </c>
      <c r="Y130" s="16">
        <f t="shared" ca="1" si="89"/>
        <v>0</v>
      </c>
      <c r="Z130" s="16">
        <f t="shared" ca="1" si="116"/>
        <v>0</v>
      </c>
      <c r="AA130" s="16">
        <f t="shared" ca="1" si="90"/>
        <v>31.529618625294443</v>
      </c>
      <c r="AB130" s="16">
        <f t="shared" ca="1" si="108"/>
        <v>35.327478696332427</v>
      </c>
      <c r="AC130" s="16">
        <f t="shared" ca="1" si="109"/>
        <v>4.3011314676408094</v>
      </c>
      <c r="AD130" s="16">
        <f t="shared" ca="1" si="93"/>
        <v>0</v>
      </c>
      <c r="AF130" s="16">
        <f t="shared" ca="1" si="110"/>
        <v>0.99918156114550938</v>
      </c>
      <c r="AG130" s="16">
        <v>0</v>
      </c>
      <c r="AH130" s="16">
        <f t="shared" ca="1" si="111"/>
        <v>0</v>
      </c>
      <c r="AI130" s="16">
        <f t="shared" ca="1" si="112"/>
        <v>0</v>
      </c>
      <c r="AJ130" s="16">
        <f t="shared" ca="1" si="114"/>
        <v>0</v>
      </c>
      <c r="AK130" s="16">
        <f t="shared" ca="1" si="115"/>
        <v>0</v>
      </c>
      <c r="AL130" s="16">
        <f t="shared" ca="1" si="117"/>
        <v>0</v>
      </c>
      <c r="AM130" s="16">
        <f t="shared" ca="1" si="118"/>
        <v>0</v>
      </c>
    </row>
    <row r="131" spans="1:39" ht="16.5" x14ac:dyDescent="0.3">
      <c r="B131" s="36">
        <f t="shared" si="94"/>
        <v>105</v>
      </c>
      <c r="C131" s="36">
        <f t="shared" si="107"/>
        <v>1369.1999999999996</v>
      </c>
      <c r="D131" s="36">
        <f t="shared" si="65"/>
        <v>3.7</v>
      </c>
      <c r="E131" s="14">
        <f t="shared" ca="1" si="95"/>
        <v>0</v>
      </c>
      <c r="F131" s="14">
        <f t="shared" ca="1" si="96"/>
        <v>0</v>
      </c>
      <c r="G131" s="14">
        <f t="shared" ca="1" si="97"/>
        <v>0</v>
      </c>
      <c r="H131" s="14">
        <f t="shared" ca="1" si="98"/>
        <v>0</v>
      </c>
      <c r="I131" s="14">
        <f t="shared" ca="1" si="99"/>
        <v>0</v>
      </c>
      <c r="J131" s="14">
        <f t="shared" ca="1" si="100"/>
        <v>0</v>
      </c>
      <c r="K131" s="14">
        <f t="shared" ca="1" si="101"/>
        <v>0</v>
      </c>
      <c r="L131" s="14">
        <f t="shared" ca="1" si="102"/>
        <v>0.87142915158057377</v>
      </c>
      <c r="M131" s="14">
        <f t="shared" ca="1" si="103"/>
        <v>8.1256081062434525E-4</v>
      </c>
      <c r="N131" s="14">
        <f t="shared" ca="1" si="104"/>
        <v>1.4870696059301695E-3</v>
      </c>
      <c r="O131" s="14">
        <f t="shared" ca="1" si="105"/>
        <v>1.653465754380315E-3</v>
      </c>
      <c r="P131" s="14">
        <f t="shared" ca="1" si="106"/>
        <v>0.12461775224849569</v>
      </c>
      <c r="R131" s="44">
        <f t="shared" ca="1" si="113"/>
        <v>1.0000000000000042</v>
      </c>
      <c r="S131" s="16">
        <f t="shared" ca="1" si="78"/>
        <v>0</v>
      </c>
      <c r="T131" s="16">
        <f t="shared" ca="1" si="84"/>
        <v>0</v>
      </c>
      <c r="U131" s="16">
        <f t="shared" ca="1" si="85"/>
        <v>0</v>
      </c>
      <c r="V131" s="16">
        <f t="shared" ca="1" si="86"/>
        <v>0</v>
      </c>
      <c r="W131" s="16">
        <f t="shared" ca="1" si="87"/>
        <v>0</v>
      </c>
      <c r="X131" s="16">
        <f t="shared" ca="1" si="88"/>
        <v>0</v>
      </c>
      <c r="Y131" s="16">
        <f t="shared" ca="1" si="89"/>
        <v>0</v>
      </c>
      <c r="Z131" s="16">
        <f t="shared" ca="1" si="116"/>
        <v>0</v>
      </c>
      <c r="AA131" s="16">
        <f t="shared" ca="1" si="90"/>
        <v>31.303172287260175</v>
      </c>
      <c r="AB131" s="16">
        <f t="shared" ca="1" si="108"/>
        <v>35.073756052939906</v>
      </c>
      <c r="AC131" s="16">
        <f t="shared" ca="1" si="109"/>
        <v>4.270240657262601</v>
      </c>
      <c r="AD131" s="16">
        <f t="shared" ca="1" si="93"/>
        <v>0</v>
      </c>
      <c r="AF131" s="16">
        <f t="shared" ca="1" si="110"/>
        <v>0.99918743918937991</v>
      </c>
      <c r="AG131" s="16">
        <v>0</v>
      </c>
      <c r="AH131" s="16">
        <f t="shared" ca="1" si="111"/>
        <v>0</v>
      </c>
      <c r="AI131" s="16">
        <f t="shared" ca="1" si="112"/>
        <v>0</v>
      </c>
      <c r="AJ131" s="16">
        <f t="shared" ca="1" si="114"/>
        <v>0</v>
      </c>
      <c r="AK131" s="16">
        <f t="shared" ca="1" si="115"/>
        <v>0</v>
      </c>
      <c r="AL131" s="16">
        <f t="shared" ca="1" si="117"/>
        <v>0</v>
      </c>
      <c r="AM131" s="16">
        <f t="shared" ca="1" si="118"/>
        <v>0</v>
      </c>
    </row>
    <row r="132" spans="1:39" ht="16.5" x14ac:dyDescent="0.3">
      <c r="B132" s="36">
        <f t="shared" si="94"/>
        <v>106</v>
      </c>
      <c r="C132" s="36">
        <f t="shared" si="107"/>
        <v>1460.4999999999995</v>
      </c>
      <c r="D132" s="36">
        <f t="shared" si="65"/>
        <v>4</v>
      </c>
      <c r="E132" s="14">
        <f t="shared" ca="1" si="95"/>
        <v>0</v>
      </c>
      <c r="F132" s="14">
        <f t="shared" ca="1" si="96"/>
        <v>0</v>
      </c>
      <c r="G132" s="14">
        <f t="shared" ca="1" si="97"/>
        <v>0</v>
      </c>
      <c r="H132" s="14">
        <f t="shared" ca="1" si="98"/>
        <v>0</v>
      </c>
      <c r="I132" s="14">
        <f t="shared" ca="1" si="99"/>
        <v>0</v>
      </c>
      <c r="J132" s="14">
        <f t="shared" ca="1" si="100"/>
        <v>0</v>
      </c>
      <c r="K132" s="14">
        <f t="shared" ca="1" si="101"/>
        <v>0</v>
      </c>
      <c r="L132" s="14">
        <f t="shared" ca="1" si="102"/>
        <v>0.86517053035914793</v>
      </c>
      <c r="M132" s="14">
        <f t="shared" ca="1" si="103"/>
        <v>8.0672498297978176E-4</v>
      </c>
      <c r="N132" s="14">
        <f t="shared" ca="1" si="104"/>
        <v>1.4763894429168814E-3</v>
      </c>
      <c r="O132" s="14">
        <f t="shared" ca="1" si="105"/>
        <v>1.6415905309723124E-3</v>
      </c>
      <c r="P132" s="14">
        <f t="shared" ca="1" si="106"/>
        <v>0.13090476468398726</v>
      </c>
      <c r="R132" s="44">
        <f t="shared" ca="1" si="113"/>
        <v>1.000000000000004</v>
      </c>
      <c r="S132" s="16">
        <f t="shared" ca="1" si="78"/>
        <v>0</v>
      </c>
      <c r="T132" s="16">
        <f t="shared" ca="1" si="84"/>
        <v>0</v>
      </c>
      <c r="U132" s="16">
        <f t="shared" ca="1" si="85"/>
        <v>0</v>
      </c>
      <c r="V132" s="16">
        <f t="shared" ca="1" si="86"/>
        <v>0</v>
      </c>
      <c r="W132" s="16">
        <f t="shared" ca="1" si="87"/>
        <v>0</v>
      </c>
      <c r="X132" s="16">
        <f t="shared" ca="1" si="88"/>
        <v>0</v>
      </c>
      <c r="Y132" s="16">
        <f t="shared" ca="1" si="89"/>
        <v>0</v>
      </c>
      <c r="Z132" s="16">
        <f t="shared" ca="1" si="116"/>
        <v>0</v>
      </c>
      <c r="AA132" s="16">
        <f t="shared" ca="1" si="90"/>
        <v>31.078352291257467</v>
      </c>
      <c r="AB132" s="16">
        <f t="shared" ca="1" si="108"/>
        <v>34.821855650537842</v>
      </c>
      <c r="AC132" s="16">
        <f t="shared" ca="1" si="109"/>
        <v>4.2395717052890936</v>
      </c>
      <c r="AD132" s="16">
        <f t="shared" ca="1" si="93"/>
        <v>0</v>
      </c>
      <c r="AF132" s="16">
        <f t="shared" ca="1" si="110"/>
        <v>0.99919327501702426</v>
      </c>
      <c r="AG132" s="16">
        <v>0</v>
      </c>
      <c r="AH132" s="16">
        <f t="shared" ca="1" si="111"/>
        <v>0</v>
      </c>
      <c r="AI132" s="16">
        <f t="shared" ca="1" si="112"/>
        <v>0</v>
      </c>
      <c r="AJ132" s="16">
        <f t="shared" ca="1" si="114"/>
        <v>0</v>
      </c>
      <c r="AK132" s="16">
        <f t="shared" ca="1" si="115"/>
        <v>0</v>
      </c>
      <c r="AL132" s="16">
        <f t="shared" ca="1" si="117"/>
        <v>0</v>
      </c>
      <c r="AM132" s="16">
        <f t="shared" ca="1" si="118"/>
        <v>0</v>
      </c>
    </row>
    <row r="133" spans="1:39" ht="16.5" x14ac:dyDescent="0.3">
      <c r="B133" s="36">
        <f t="shared" si="94"/>
        <v>107</v>
      </c>
      <c r="C133" s="36">
        <f t="shared" si="107"/>
        <v>1551.7999999999995</v>
      </c>
      <c r="D133" s="36">
        <f t="shared" si="65"/>
        <v>4.2</v>
      </c>
      <c r="E133" s="14">
        <f t="shared" ca="1" si="95"/>
        <v>0</v>
      </c>
      <c r="F133" s="14">
        <f t="shared" ca="1" si="96"/>
        <v>0</v>
      </c>
      <c r="G133" s="14">
        <f t="shared" ca="1" si="97"/>
        <v>0</v>
      </c>
      <c r="H133" s="14">
        <f t="shared" ca="1" si="98"/>
        <v>0</v>
      </c>
      <c r="I133" s="14">
        <f t="shared" ca="1" si="99"/>
        <v>0</v>
      </c>
      <c r="J133" s="14">
        <f t="shared" ca="1" si="100"/>
        <v>0</v>
      </c>
      <c r="K133" s="14">
        <f t="shared" ca="1" si="101"/>
        <v>0</v>
      </c>
      <c r="L133" s="14">
        <f t="shared" ca="1" si="102"/>
        <v>0.85895685867782223</v>
      </c>
      <c r="M133" s="14">
        <f t="shared" ca="1" si="103"/>
        <v>8.0093106836357474E-4</v>
      </c>
      <c r="N133" s="14">
        <f t="shared" ca="1" si="104"/>
        <v>1.4657859850433768E-3</v>
      </c>
      <c r="O133" s="14">
        <f t="shared" ca="1" si="105"/>
        <v>1.6298005956512365E-3</v>
      </c>
      <c r="P133" s="14">
        <f t="shared" ca="1" si="106"/>
        <v>0.13714662367312377</v>
      </c>
      <c r="R133" s="44">
        <f t="shared" ca="1" si="113"/>
        <v>1.000000000000004</v>
      </c>
      <c r="S133" s="16">
        <f t="shared" ca="1" si="78"/>
        <v>0</v>
      </c>
      <c r="T133" s="16">
        <f t="shared" ca="1" si="84"/>
        <v>0</v>
      </c>
      <c r="U133" s="16">
        <f t="shared" ca="1" si="85"/>
        <v>0</v>
      </c>
      <c r="V133" s="16">
        <f t="shared" ca="1" si="86"/>
        <v>0</v>
      </c>
      <c r="W133" s="16">
        <f t="shared" ca="1" si="87"/>
        <v>0</v>
      </c>
      <c r="X133" s="16">
        <f t="shared" ca="1" si="88"/>
        <v>0</v>
      </c>
      <c r="Y133" s="16">
        <f t="shared" ca="1" si="89"/>
        <v>0</v>
      </c>
      <c r="Z133" s="16">
        <f t="shared" ca="1" si="116"/>
        <v>0</v>
      </c>
      <c r="AA133" s="16">
        <f t="shared" ca="1" si="90"/>
        <v>30.855146956866001</v>
      </c>
      <c r="AB133" s="16">
        <f t="shared" ca="1" si="108"/>
        <v>34.571764401755779</v>
      </c>
      <c r="AC133" s="16">
        <f t="shared" ca="1" si="109"/>
        <v>4.2091230183288832</v>
      </c>
      <c r="AD133" s="16">
        <f t="shared" ca="1" si="93"/>
        <v>0</v>
      </c>
      <c r="AF133" s="16">
        <f t="shared" ca="1" si="110"/>
        <v>0.99919906893164046</v>
      </c>
      <c r="AG133" s="16">
        <v>0</v>
      </c>
      <c r="AH133" s="16">
        <f t="shared" ca="1" si="111"/>
        <v>0</v>
      </c>
      <c r="AI133" s="16">
        <f t="shared" ca="1" si="112"/>
        <v>0</v>
      </c>
      <c r="AJ133" s="16">
        <f t="shared" ca="1" si="114"/>
        <v>0</v>
      </c>
      <c r="AK133" s="16">
        <f t="shared" ca="1" si="115"/>
        <v>0</v>
      </c>
      <c r="AL133" s="16">
        <f t="shared" ca="1" si="117"/>
        <v>0</v>
      </c>
      <c r="AM133" s="16">
        <f t="shared" ca="1" si="118"/>
        <v>0</v>
      </c>
    </row>
    <row r="134" spans="1:39" ht="16.5" x14ac:dyDescent="0.3">
      <c r="B134" s="36">
        <f t="shared" si="94"/>
        <v>108</v>
      </c>
      <c r="C134" s="36">
        <f t="shared" si="107"/>
        <v>1643.0999999999995</v>
      </c>
      <c r="D134" s="36">
        <f t="shared" si="65"/>
        <v>4.5</v>
      </c>
      <c r="E134" s="14">
        <f t="shared" ca="1" si="95"/>
        <v>0</v>
      </c>
      <c r="F134" s="14">
        <f t="shared" ca="1" si="96"/>
        <v>0</v>
      </c>
      <c r="G134" s="14">
        <f t="shared" ca="1" si="97"/>
        <v>0</v>
      </c>
      <c r="H134" s="14">
        <f t="shared" ca="1" si="98"/>
        <v>0</v>
      </c>
      <c r="I134" s="14">
        <f t="shared" ca="1" si="99"/>
        <v>0</v>
      </c>
      <c r="J134" s="14">
        <f t="shared" ca="1" si="100"/>
        <v>0</v>
      </c>
      <c r="K134" s="14">
        <f t="shared" ca="1" si="101"/>
        <v>0</v>
      </c>
      <c r="L134" s="14">
        <f t="shared" ca="1" si="102"/>
        <v>0.85278781370811985</v>
      </c>
      <c r="M134" s="14">
        <f t="shared" ca="1" si="103"/>
        <v>7.9517876575553419E-4</v>
      </c>
      <c r="N134" s="14">
        <f t="shared" ca="1" si="104"/>
        <v>1.4552586814118402E-3</v>
      </c>
      <c r="O134" s="14">
        <f t="shared" ca="1" si="105"/>
        <v>1.6180953358763781E-3</v>
      </c>
      <c r="P134" s="14">
        <f t="shared" ca="1" si="106"/>
        <v>0.14334365350884062</v>
      </c>
      <c r="R134" s="44">
        <f t="shared" ca="1" si="113"/>
        <v>1.0000000000000042</v>
      </c>
      <c r="S134" s="16">
        <f t="shared" ca="1" si="78"/>
        <v>0</v>
      </c>
      <c r="T134" s="16">
        <f t="shared" ca="1" si="84"/>
        <v>0</v>
      </c>
      <c r="U134" s="16">
        <f t="shared" ca="1" si="85"/>
        <v>0</v>
      </c>
      <c r="V134" s="16">
        <f t="shared" ca="1" si="86"/>
        <v>0</v>
      </c>
      <c r="W134" s="16">
        <f t="shared" ca="1" si="87"/>
        <v>0</v>
      </c>
      <c r="X134" s="16">
        <f t="shared" ca="1" si="88"/>
        <v>0</v>
      </c>
      <c r="Y134" s="16">
        <f t="shared" ca="1" si="89"/>
        <v>0</v>
      </c>
      <c r="Z134" s="16">
        <f t="shared" ca="1" si="116"/>
        <v>0</v>
      </c>
      <c r="AA134" s="16">
        <f t="shared" ca="1" si="90"/>
        <v>30.633544687554505</v>
      </c>
      <c r="AB134" s="16">
        <f t="shared" ca="1" si="108"/>
        <v>34.323469313217011</v>
      </c>
      <c r="AC134" s="16">
        <f t="shared" ca="1" si="109"/>
        <v>4.1788930144343341</v>
      </c>
      <c r="AD134" s="16">
        <f t="shared" ca="1" si="93"/>
        <v>0</v>
      </c>
      <c r="AF134" s="16">
        <f t="shared" ca="1" si="110"/>
        <v>0.9992048212342487</v>
      </c>
      <c r="AG134" s="16">
        <v>0</v>
      </c>
      <c r="AH134" s="16">
        <f t="shared" ca="1" si="111"/>
        <v>0</v>
      </c>
      <c r="AI134" s="16">
        <f t="shared" ca="1" si="112"/>
        <v>0</v>
      </c>
      <c r="AJ134" s="16">
        <f t="shared" ca="1" si="114"/>
        <v>0</v>
      </c>
      <c r="AK134" s="16">
        <f t="shared" ca="1" si="115"/>
        <v>0</v>
      </c>
      <c r="AL134" s="16">
        <f t="shared" ca="1" si="117"/>
        <v>0</v>
      </c>
      <c r="AM134" s="16">
        <f t="shared" ca="1" si="118"/>
        <v>0</v>
      </c>
    </row>
    <row r="135" spans="1:39" ht="16.5" x14ac:dyDescent="0.3">
      <c r="B135" s="36">
        <f t="shared" si="94"/>
        <v>109</v>
      </c>
      <c r="C135" s="36">
        <f t="shared" si="107"/>
        <v>1734.3999999999994</v>
      </c>
      <c r="D135" s="36">
        <f t="shared" si="65"/>
        <v>4.7</v>
      </c>
      <c r="E135" s="14">
        <f t="shared" ca="1" si="95"/>
        <v>0</v>
      </c>
      <c r="F135" s="14">
        <f t="shared" ca="1" si="96"/>
        <v>0</v>
      </c>
      <c r="G135" s="14">
        <f t="shared" ca="1" si="97"/>
        <v>0</v>
      </c>
      <c r="H135" s="14">
        <f t="shared" ca="1" si="98"/>
        <v>0</v>
      </c>
      <c r="I135" s="14">
        <f t="shared" ca="1" si="99"/>
        <v>0</v>
      </c>
      <c r="J135" s="14">
        <f t="shared" ca="1" si="100"/>
        <v>0</v>
      </c>
      <c r="K135" s="14">
        <f t="shared" ca="1" si="101"/>
        <v>0</v>
      </c>
      <c r="L135" s="14">
        <f t="shared" ca="1" si="102"/>
        <v>0.84666307494012449</v>
      </c>
      <c r="M135" s="14">
        <f t="shared" ca="1" si="103"/>
        <v>7.8946777629740317E-4</v>
      </c>
      <c r="N135" s="14">
        <f t="shared" ca="1" si="104"/>
        <v>1.4448069850810158E-3</v>
      </c>
      <c r="O135" s="14">
        <f t="shared" ca="1" si="105"/>
        <v>1.606474143506307E-3</v>
      </c>
      <c r="P135" s="14">
        <f t="shared" ca="1" si="106"/>
        <v>0.14949617615499505</v>
      </c>
      <c r="R135" s="44">
        <f t="shared" ca="1" si="113"/>
        <v>1.0000000000000042</v>
      </c>
      <c r="S135" s="16">
        <f t="shared" ca="1" si="78"/>
        <v>0</v>
      </c>
      <c r="T135" s="16">
        <f t="shared" ca="1" si="84"/>
        <v>0</v>
      </c>
      <c r="U135" s="16">
        <f t="shared" ca="1" si="85"/>
        <v>0</v>
      </c>
      <c r="V135" s="16">
        <f t="shared" ca="1" si="86"/>
        <v>0</v>
      </c>
      <c r="W135" s="16">
        <f t="shared" ca="1" si="87"/>
        <v>0</v>
      </c>
      <c r="X135" s="16">
        <f t="shared" ca="1" si="88"/>
        <v>0</v>
      </c>
      <c r="Y135" s="16">
        <f t="shared" ca="1" si="89"/>
        <v>0</v>
      </c>
      <c r="Z135" s="16">
        <f t="shared" ca="1" si="116"/>
        <v>0</v>
      </c>
      <c r="AA135" s="16">
        <f t="shared" ca="1" si="90"/>
        <v>30.413533970078181</v>
      </c>
      <c r="AB135" s="16">
        <f t="shared" ca="1" si="108"/>
        <v>34.07695748486352</v>
      </c>
      <c r="AC135" s="16">
        <f t="shared" ca="1" si="109"/>
        <v>4.1488801230193886</v>
      </c>
      <c r="AD135" s="16">
        <f t="shared" ca="1" si="93"/>
        <v>0</v>
      </c>
      <c r="AF135" s="16">
        <f t="shared" ca="1" si="110"/>
        <v>0.99921053222370682</v>
      </c>
      <c r="AG135" s="16">
        <v>0</v>
      </c>
      <c r="AH135" s="16">
        <f t="shared" ca="1" si="111"/>
        <v>0</v>
      </c>
      <c r="AI135" s="16">
        <f t="shared" ca="1" si="112"/>
        <v>0</v>
      </c>
      <c r="AJ135" s="16">
        <f t="shared" ca="1" si="114"/>
        <v>0</v>
      </c>
      <c r="AK135" s="16">
        <f t="shared" ca="1" si="115"/>
        <v>0</v>
      </c>
      <c r="AL135" s="16">
        <f t="shared" ca="1" si="117"/>
        <v>0</v>
      </c>
      <c r="AM135" s="16">
        <f t="shared" ca="1" si="118"/>
        <v>0</v>
      </c>
    </row>
    <row r="136" spans="1:39" ht="16.5" x14ac:dyDescent="0.3">
      <c r="B136" s="36">
        <f t="shared" si="94"/>
        <v>110</v>
      </c>
      <c r="C136" s="36">
        <f t="shared" si="107"/>
        <v>1825.6999999999994</v>
      </c>
      <c r="D136" s="36">
        <f t="shared" si="65"/>
        <v>5</v>
      </c>
      <c r="E136" s="14">
        <f t="shared" ca="1" si="95"/>
        <v>0</v>
      </c>
      <c r="F136" s="14">
        <f t="shared" ca="1" si="96"/>
        <v>0</v>
      </c>
      <c r="G136" s="14">
        <f t="shared" ca="1" si="97"/>
        <v>0</v>
      </c>
      <c r="H136" s="14">
        <f t="shared" ca="1" si="98"/>
        <v>0</v>
      </c>
      <c r="I136" s="14">
        <f t="shared" ca="1" si="99"/>
        <v>0</v>
      </c>
      <c r="J136" s="14">
        <f t="shared" ca="1" si="100"/>
        <v>0</v>
      </c>
      <c r="K136" s="14">
        <f t="shared" ca="1" si="101"/>
        <v>0</v>
      </c>
      <c r="L136" s="14">
        <f t="shared" ca="1" si="102"/>
        <v>0.84058232416582823</v>
      </c>
      <c r="M136" s="14">
        <f t="shared" ca="1" si="103"/>
        <v>7.8379780327733053E-4</v>
      </c>
      <c r="N136" s="14">
        <f t="shared" ca="1" si="104"/>
        <v>1.43443035303779E-3</v>
      </c>
      <c r="O136" s="14">
        <f t="shared" ca="1" si="105"/>
        <v>1.5949364147672764E-3</v>
      </c>
      <c r="P136" s="14">
        <f t="shared" ca="1" si="106"/>
        <v>0.15560451126309355</v>
      </c>
      <c r="R136" s="44">
        <f t="shared" ca="1" si="113"/>
        <v>1.0000000000000042</v>
      </c>
      <c r="S136" s="16">
        <f t="shared" ca="1" si="78"/>
        <v>0</v>
      </c>
      <c r="T136" s="16">
        <f t="shared" ca="1" si="84"/>
        <v>0</v>
      </c>
      <c r="U136" s="16">
        <f t="shared" ca="1" si="85"/>
        <v>0</v>
      </c>
      <c r="V136" s="16">
        <f t="shared" ca="1" si="86"/>
        <v>0</v>
      </c>
      <c r="W136" s="16">
        <f t="shared" ca="1" si="87"/>
        <v>0</v>
      </c>
      <c r="X136" s="16">
        <f t="shared" ca="1" si="88"/>
        <v>0</v>
      </c>
      <c r="Y136" s="16">
        <f t="shared" ca="1" si="89"/>
        <v>0</v>
      </c>
      <c r="Z136" s="16">
        <f t="shared" ca="1" si="116"/>
        <v>0</v>
      </c>
      <c r="AA136" s="16">
        <f t="shared" ca="1" si="90"/>
        <v>30.195103373880617</v>
      </c>
      <c r="AB136" s="16">
        <f t="shared" ca="1" si="108"/>
        <v>33.832216109285767</v>
      </c>
      <c r="AC136" s="16">
        <f t="shared" ca="1" si="109"/>
        <v>4.1190827847779676</v>
      </c>
      <c r="AD136" s="16">
        <f t="shared" ca="1" si="93"/>
        <v>0</v>
      </c>
      <c r="AF136" s="16">
        <f t="shared" ca="1" si="110"/>
        <v>0.99921620219672691</v>
      </c>
      <c r="AG136" s="16">
        <v>0</v>
      </c>
      <c r="AH136" s="16">
        <f t="shared" ca="1" si="111"/>
        <v>0</v>
      </c>
      <c r="AI136" s="16">
        <f t="shared" ca="1" si="112"/>
        <v>0</v>
      </c>
      <c r="AJ136" s="16">
        <f t="shared" ca="1" si="114"/>
        <v>0</v>
      </c>
      <c r="AK136" s="16">
        <f t="shared" ca="1" si="115"/>
        <v>0</v>
      </c>
      <c r="AL136" s="16">
        <f t="shared" ca="1" si="117"/>
        <v>0</v>
      </c>
      <c r="AM136" s="16">
        <f t="shared" ca="1" si="118"/>
        <v>0</v>
      </c>
    </row>
    <row r="137" spans="1:39" ht="16.5" x14ac:dyDescent="0.3">
      <c r="A137"/>
      <c r="B137"/>
      <c r="C137"/>
      <c r="D137"/>
      <c r="E137"/>
      <c r="F137"/>
      <c r="G137"/>
      <c r="H137"/>
      <c r="I137"/>
      <c r="J137"/>
      <c r="K137"/>
      <c r="L137"/>
      <c r="M137"/>
      <c r="N137"/>
      <c r="O137"/>
      <c r="P137"/>
    </row>
    <row r="138" spans="1:39" ht="16.5" x14ac:dyDescent="0.3">
      <c r="A138"/>
      <c r="B138"/>
      <c r="C138"/>
      <c r="D138"/>
      <c r="E138"/>
      <c r="F138"/>
      <c r="G138"/>
      <c r="H138"/>
      <c r="I138"/>
      <c r="J138"/>
      <c r="K138"/>
      <c r="L138"/>
      <c r="M138"/>
      <c r="N138"/>
      <c r="O138"/>
      <c r="P138"/>
    </row>
    <row r="139" spans="1:39" ht="16.5" x14ac:dyDescent="0.3">
      <c r="A139"/>
      <c r="B139"/>
      <c r="C139"/>
      <c r="D139"/>
      <c r="E139"/>
      <c r="F139"/>
      <c r="G139"/>
      <c r="H139"/>
      <c r="I139"/>
      <c r="J139"/>
      <c r="K139"/>
      <c r="L139"/>
      <c r="M139"/>
      <c r="N139"/>
      <c r="O139"/>
      <c r="P139"/>
    </row>
    <row r="140" spans="1:39" ht="16.5" x14ac:dyDescent="0.3">
      <c r="A140"/>
      <c r="B140"/>
      <c r="C140"/>
      <c r="D140"/>
      <c r="E140"/>
      <c r="F140"/>
      <c r="G140"/>
      <c r="H140"/>
      <c r="I140"/>
      <c r="J140"/>
      <c r="K140"/>
      <c r="L140"/>
      <c r="M140"/>
      <c r="N140"/>
      <c r="O140"/>
      <c r="P140"/>
    </row>
    <row r="141" spans="1:39" ht="16.5" x14ac:dyDescent="0.3">
      <c r="A141"/>
      <c r="B141"/>
      <c r="C141"/>
      <c r="D141"/>
      <c r="E141"/>
      <c r="F141"/>
      <c r="G141"/>
      <c r="H141"/>
      <c r="I141"/>
      <c r="J141"/>
      <c r="K141"/>
      <c r="L141"/>
      <c r="M141"/>
      <c r="N141"/>
      <c r="O141"/>
      <c r="P141"/>
    </row>
    <row r="142" spans="1:39" ht="16.5" x14ac:dyDescent="0.3">
      <c r="A142"/>
      <c r="B142"/>
      <c r="C142"/>
      <c r="D142" t="s">
        <v>308</v>
      </c>
      <c r="E142" s="44">
        <f ca="1">SUM(E26:E117)</f>
        <v>1.0122208572335922</v>
      </c>
      <c r="F142" s="44">
        <f t="shared" ref="F142:H142" ca="1" si="119">SUM(F26:F117)</f>
        <v>0.89936307868478327</v>
      </c>
      <c r="G142" s="44">
        <f t="shared" ca="1" si="119"/>
        <v>0.28636276787515325</v>
      </c>
      <c r="H142" s="44">
        <f t="shared" ca="1" si="119"/>
        <v>1.0538448807494081</v>
      </c>
      <c r="I142">
        <f ca="1">SUM(I26:I117)</f>
        <v>0.16281982330680111</v>
      </c>
      <c r="J142" s="44">
        <f t="shared" ref="J142:P142" ca="1" si="120">SUM(J26:J117)</f>
        <v>0.2510480736866898</v>
      </c>
      <c r="K142" s="44">
        <f t="shared" ca="1" si="120"/>
        <v>5.9411252608866976</v>
      </c>
      <c r="L142" s="44">
        <f t="shared" ca="1" si="120"/>
        <v>72.95269810189717</v>
      </c>
      <c r="M142" s="44">
        <f t="shared" ca="1" si="120"/>
        <v>6.4404159008806454</v>
      </c>
      <c r="N142" s="44">
        <f t="shared" ca="1" si="120"/>
        <v>0.34468707052225472</v>
      </c>
      <c r="O142" s="44">
        <f t="shared" ca="1" si="120"/>
        <v>0.27369469194078117</v>
      </c>
      <c r="P142" s="44">
        <f t="shared" ca="1" si="120"/>
        <v>2.3817194923361886</v>
      </c>
    </row>
    <row r="143" spans="1:39" ht="16.5" x14ac:dyDescent="0.3">
      <c r="A143"/>
      <c r="B143"/>
      <c r="C143"/>
      <c r="D143" t="s">
        <v>309</v>
      </c>
      <c r="E143">
        <f ca="1">E142/SUM($E$142:$P$142)*100</f>
        <v>1.1002400622104245</v>
      </c>
      <c r="F143" s="44">
        <f t="shared" ref="F143:P143" ca="1" si="121">F142/SUM($E$142:$P$142)*100</f>
        <v>0.97756856378780599</v>
      </c>
      <c r="G143" s="44">
        <f t="shared" ca="1" si="121"/>
        <v>0.31126387812516598</v>
      </c>
      <c r="H143" s="44">
        <f t="shared" ca="1" si="121"/>
        <v>1.1454835660319633</v>
      </c>
      <c r="I143" s="44">
        <f t="shared" ca="1" si="121"/>
        <v>0.17697806881174002</v>
      </c>
      <c r="J143" s="44">
        <f t="shared" ca="1" si="121"/>
        <v>0.27287834096379276</v>
      </c>
      <c r="K143" s="44">
        <f t="shared" ca="1" si="121"/>
        <v>6.4577448487898774</v>
      </c>
      <c r="L143" s="44">
        <f t="shared" ca="1" si="121"/>
        <v>79.296410980322861</v>
      </c>
      <c r="M143" s="44">
        <f t="shared" ca="1" si="121"/>
        <v>7.0004520661746019</v>
      </c>
      <c r="N143" s="44">
        <f t="shared" ca="1" si="121"/>
        <v>0.37465985926331968</v>
      </c>
      <c r="O143" s="44">
        <f t="shared" ca="1" si="121"/>
        <v>0.29749423037041378</v>
      </c>
      <c r="P143" s="44">
        <f t="shared" ca="1" si="121"/>
        <v>2.5888255351480263</v>
      </c>
    </row>
    <row r="144" spans="1:39" ht="16.5" x14ac:dyDescent="0.3">
      <c r="A144"/>
      <c r="B144"/>
      <c r="C144"/>
      <c r="D144"/>
      <c r="E144">
        <f ca="1">E142*200</f>
        <v>202.44417144671846</v>
      </c>
      <c r="F144"/>
      <c r="G144"/>
      <c r="H144"/>
      <c r="I144"/>
      <c r="J144"/>
      <c r="K144"/>
      <c r="L144"/>
      <c r="M144"/>
      <c r="N144"/>
      <c r="O144"/>
      <c r="P144"/>
    </row>
    <row r="145" spans="1:16" ht="16.5" x14ac:dyDescent="0.3">
      <c r="A145"/>
      <c r="B145"/>
      <c r="C145"/>
      <c r="D145"/>
      <c r="E145"/>
      <c r="F145"/>
      <c r="G145"/>
      <c r="H145"/>
      <c r="I145"/>
      <c r="J145"/>
      <c r="K145"/>
      <c r="L145"/>
      <c r="M145"/>
      <c r="N145"/>
      <c r="O145"/>
      <c r="P145"/>
    </row>
    <row r="146" spans="1:16" ht="16.5" x14ac:dyDescent="0.3">
      <c r="A146"/>
      <c r="B146"/>
      <c r="C146"/>
      <c r="D146"/>
      <c r="E146"/>
      <c r="F146"/>
      <c r="G146"/>
      <c r="H146"/>
      <c r="I146"/>
      <c r="J146"/>
      <c r="K146"/>
      <c r="L146"/>
      <c r="M146"/>
      <c r="N146"/>
      <c r="O146"/>
      <c r="P146"/>
    </row>
    <row r="147" spans="1:16" ht="16.5" x14ac:dyDescent="0.3">
      <c r="A147"/>
      <c r="B147"/>
      <c r="C147"/>
      <c r="D147"/>
      <c r="E147"/>
      <c r="F147"/>
      <c r="G147"/>
      <c r="H147"/>
      <c r="I147"/>
      <c r="J147"/>
      <c r="K147"/>
      <c r="L147"/>
      <c r="M147"/>
      <c r="N147"/>
      <c r="O147"/>
      <c r="P147"/>
    </row>
    <row r="148" spans="1:16" ht="16.5" x14ac:dyDescent="0.3">
      <c r="A148"/>
      <c r="B148"/>
      <c r="C148"/>
      <c r="D148"/>
      <c r="E148"/>
      <c r="F148"/>
      <c r="G148"/>
      <c r="H148"/>
      <c r="I148"/>
      <c r="J148"/>
      <c r="K148"/>
      <c r="L148"/>
      <c r="M148"/>
      <c r="N148"/>
      <c r="O148"/>
      <c r="P148"/>
    </row>
    <row r="149" spans="1:16" ht="16.5" x14ac:dyDescent="0.3">
      <c r="A149"/>
      <c r="B149"/>
      <c r="C149"/>
      <c r="D149"/>
      <c r="E149"/>
      <c r="F149"/>
      <c r="G149"/>
      <c r="H149"/>
      <c r="I149"/>
      <c r="J149"/>
      <c r="K149"/>
      <c r="L149"/>
      <c r="M149"/>
      <c r="N149"/>
      <c r="O149"/>
      <c r="P149"/>
    </row>
    <row r="150" spans="1:16" ht="16.5" x14ac:dyDescent="0.3">
      <c r="A150"/>
      <c r="B150"/>
      <c r="C150"/>
      <c r="D150"/>
      <c r="E150"/>
      <c r="F150"/>
      <c r="G150"/>
      <c r="H150"/>
      <c r="I150"/>
      <c r="J150"/>
      <c r="K150"/>
      <c r="L150"/>
      <c r="M150"/>
      <c r="N150"/>
      <c r="O150"/>
      <c r="P150"/>
    </row>
    <row r="151" spans="1:16" ht="16.5" x14ac:dyDescent="0.3">
      <c r="A151"/>
      <c r="B151"/>
      <c r="C151"/>
      <c r="D151"/>
      <c r="E151"/>
      <c r="F151"/>
      <c r="G151"/>
      <c r="H151"/>
      <c r="I151"/>
      <c r="J151"/>
      <c r="K151"/>
      <c r="L151"/>
      <c r="M151"/>
      <c r="N151"/>
      <c r="O151"/>
      <c r="P151"/>
    </row>
    <row r="152" spans="1:16" ht="16.5" x14ac:dyDescent="0.3">
      <c r="A152"/>
      <c r="B152"/>
      <c r="C152"/>
      <c r="D152"/>
      <c r="E152"/>
      <c r="F152"/>
      <c r="G152"/>
      <c r="H152"/>
      <c r="I152"/>
      <c r="J152"/>
      <c r="K152"/>
      <c r="L152"/>
      <c r="M152"/>
      <c r="N152"/>
      <c r="O152"/>
      <c r="P152"/>
    </row>
    <row r="153" spans="1:16" ht="16.5" x14ac:dyDescent="0.3">
      <c r="A153"/>
      <c r="B153"/>
      <c r="C153"/>
      <c r="D153"/>
      <c r="E153"/>
      <c r="F153"/>
      <c r="G153"/>
      <c r="H153"/>
      <c r="I153"/>
      <c r="J153"/>
      <c r="K153"/>
      <c r="L153"/>
      <c r="M153"/>
      <c r="N153"/>
      <c r="O153"/>
      <c r="P153"/>
    </row>
    <row r="154" spans="1:16" ht="16.5" x14ac:dyDescent="0.3">
      <c r="A154"/>
      <c r="B154"/>
      <c r="C154"/>
      <c r="D154"/>
      <c r="E154"/>
      <c r="F154"/>
      <c r="G154"/>
      <c r="H154"/>
      <c r="I154"/>
      <c r="J154"/>
      <c r="K154"/>
      <c r="L154"/>
      <c r="M154"/>
      <c r="N154"/>
      <c r="O154"/>
      <c r="P154"/>
    </row>
    <row r="155" spans="1:16" ht="16.5" x14ac:dyDescent="0.3">
      <c r="A155"/>
      <c r="B155"/>
      <c r="C155"/>
      <c r="D155"/>
      <c r="E155"/>
      <c r="F155"/>
      <c r="G155"/>
      <c r="H155"/>
      <c r="I155"/>
      <c r="J155"/>
      <c r="K155"/>
      <c r="L155"/>
      <c r="M155"/>
      <c r="N155"/>
      <c r="O155"/>
      <c r="P155"/>
    </row>
    <row r="156" spans="1:16" ht="16.5" x14ac:dyDescent="0.3">
      <c r="A156"/>
      <c r="B156"/>
      <c r="C156"/>
      <c r="D156"/>
      <c r="E156"/>
      <c r="F156"/>
      <c r="G156"/>
      <c r="H156"/>
      <c r="I156"/>
      <c r="J156"/>
      <c r="K156"/>
      <c r="L156"/>
      <c r="M156"/>
      <c r="N156"/>
      <c r="O156"/>
      <c r="P156"/>
    </row>
    <row r="157" spans="1:16" ht="16.5" x14ac:dyDescent="0.3">
      <c r="A157"/>
      <c r="B157"/>
      <c r="C157"/>
      <c r="D157"/>
      <c r="E157"/>
      <c r="F157"/>
      <c r="G157"/>
      <c r="H157"/>
      <c r="I157"/>
      <c r="J157"/>
      <c r="K157"/>
      <c r="L157"/>
      <c r="M157"/>
      <c r="N157"/>
      <c r="O157"/>
      <c r="P157"/>
    </row>
    <row r="158" spans="1:16" ht="16.5" x14ac:dyDescent="0.3">
      <c r="A158"/>
      <c r="B158"/>
      <c r="C158"/>
      <c r="D158"/>
      <c r="E158"/>
      <c r="F158"/>
      <c r="G158"/>
      <c r="H158"/>
      <c r="I158"/>
      <c r="J158"/>
      <c r="K158"/>
      <c r="L158"/>
      <c r="M158"/>
      <c r="N158"/>
      <c r="O158"/>
      <c r="P158"/>
    </row>
    <row r="159" spans="1:16" ht="16.5" x14ac:dyDescent="0.3">
      <c r="A159"/>
      <c r="B159"/>
      <c r="C159"/>
      <c r="D159"/>
      <c r="E159"/>
      <c r="F159"/>
      <c r="G159"/>
      <c r="H159"/>
      <c r="I159"/>
      <c r="J159"/>
      <c r="K159"/>
      <c r="L159"/>
      <c r="M159"/>
      <c r="N159"/>
      <c r="O159"/>
      <c r="P159"/>
    </row>
    <row r="160" spans="1:16" ht="16.5" x14ac:dyDescent="0.3">
      <c r="A160"/>
      <c r="B160"/>
      <c r="C160"/>
      <c r="D160"/>
      <c r="E160"/>
      <c r="F160"/>
      <c r="G160"/>
      <c r="H160"/>
      <c r="I160"/>
      <c r="J160"/>
      <c r="K160"/>
      <c r="L160"/>
      <c r="M160"/>
      <c r="N160"/>
      <c r="O160"/>
      <c r="P160"/>
    </row>
    <row r="161" spans="1:16" ht="16.5" x14ac:dyDescent="0.3">
      <c r="A161"/>
      <c r="B161"/>
      <c r="C161"/>
      <c r="D161"/>
      <c r="E161"/>
      <c r="F161"/>
      <c r="G161"/>
      <c r="H161"/>
      <c r="I161"/>
      <c r="J161"/>
      <c r="K161"/>
      <c r="L161"/>
      <c r="M161"/>
      <c r="N161"/>
      <c r="O161"/>
      <c r="P161"/>
    </row>
    <row r="162" spans="1:16" ht="16.5" x14ac:dyDescent="0.3">
      <c r="A162"/>
      <c r="B162"/>
      <c r="C162"/>
      <c r="D162"/>
      <c r="E162"/>
      <c r="F162"/>
      <c r="G162"/>
      <c r="H162"/>
      <c r="I162"/>
      <c r="J162"/>
      <c r="K162"/>
      <c r="L162"/>
      <c r="M162"/>
      <c r="N162"/>
      <c r="O162"/>
      <c r="P162"/>
    </row>
    <row r="163" spans="1:16" ht="16.5" x14ac:dyDescent="0.3">
      <c r="A163"/>
      <c r="B163"/>
      <c r="C163"/>
      <c r="D163"/>
      <c r="E163"/>
      <c r="F163"/>
      <c r="G163"/>
      <c r="H163"/>
      <c r="I163"/>
      <c r="J163"/>
      <c r="K163"/>
      <c r="L163"/>
      <c r="M163"/>
      <c r="N163"/>
      <c r="O163"/>
      <c r="P163"/>
    </row>
    <row r="164" spans="1:16" ht="16.5" x14ac:dyDescent="0.3">
      <c r="A164"/>
      <c r="B164"/>
      <c r="C164"/>
      <c r="D164"/>
      <c r="E164"/>
      <c r="F164"/>
      <c r="G164"/>
      <c r="H164"/>
      <c r="I164"/>
      <c r="J164"/>
      <c r="K164"/>
      <c r="L164"/>
      <c r="M164"/>
      <c r="N164"/>
      <c r="O164"/>
      <c r="P164"/>
    </row>
    <row r="165" spans="1:16" ht="16.5" x14ac:dyDescent="0.3">
      <c r="A165"/>
      <c r="B165"/>
      <c r="C165"/>
      <c r="D165"/>
      <c r="E165"/>
      <c r="F165"/>
      <c r="G165"/>
      <c r="H165"/>
      <c r="I165"/>
      <c r="J165"/>
      <c r="K165"/>
      <c r="L165"/>
      <c r="M165"/>
      <c r="N165"/>
      <c r="O165"/>
      <c r="P165"/>
    </row>
    <row r="166" spans="1:16" ht="16.5" x14ac:dyDescent="0.3">
      <c r="A166"/>
      <c r="B166"/>
      <c r="C166"/>
      <c r="D166"/>
      <c r="E166"/>
      <c r="F166"/>
      <c r="G166"/>
      <c r="H166"/>
      <c r="I166"/>
      <c r="J166"/>
      <c r="K166"/>
      <c r="L166"/>
      <c r="M166"/>
      <c r="N166"/>
      <c r="O166"/>
      <c r="P166"/>
    </row>
    <row r="167" spans="1:16" ht="16.5" x14ac:dyDescent="0.3">
      <c r="A167"/>
      <c r="B167"/>
      <c r="C167"/>
      <c r="D167"/>
      <c r="E167"/>
      <c r="F167"/>
      <c r="G167"/>
      <c r="H167"/>
      <c r="I167"/>
      <c r="J167"/>
      <c r="K167"/>
      <c r="L167"/>
      <c r="M167"/>
      <c r="N167"/>
      <c r="O167"/>
      <c r="P167"/>
    </row>
    <row r="168" spans="1:16" ht="16.5" x14ac:dyDescent="0.3">
      <c r="A168"/>
      <c r="B168"/>
      <c r="C168"/>
      <c r="D168"/>
      <c r="E168"/>
      <c r="F168"/>
      <c r="G168"/>
      <c r="H168"/>
      <c r="I168"/>
      <c r="J168"/>
      <c r="K168"/>
      <c r="L168"/>
      <c r="M168"/>
      <c r="N168"/>
      <c r="O168"/>
      <c r="P168"/>
    </row>
    <row r="169" spans="1:16" ht="16.5" x14ac:dyDescent="0.3">
      <c r="A169"/>
      <c r="B169"/>
      <c r="C169"/>
      <c r="D169"/>
      <c r="E169"/>
      <c r="F169"/>
      <c r="G169"/>
      <c r="H169"/>
      <c r="I169"/>
      <c r="J169"/>
      <c r="K169"/>
      <c r="L169"/>
      <c r="M169"/>
      <c r="N169"/>
      <c r="O169"/>
      <c r="P169"/>
    </row>
    <row r="170" spans="1:16" ht="16.5" x14ac:dyDescent="0.3">
      <c r="A170"/>
      <c r="B170"/>
      <c r="C170"/>
      <c r="D170"/>
      <c r="E170"/>
      <c r="F170"/>
      <c r="G170"/>
      <c r="H170"/>
      <c r="I170"/>
      <c r="J170"/>
      <c r="K170"/>
      <c r="L170"/>
      <c r="M170"/>
      <c r="N170"/>
      <c r="O170"/>
      <c r="P170"/>
    </row>
    <row r="171" spans="1:16" ht="16.5" x14ac:dyDescent="0.3">
      <c r="A171"/>
      <c r="B171"/>
      <c r="C171"/>
      <c r="D171"/>
      <c r="E171"/>
      <c r="F171"/>
      <c r="G171"/>
      <c r="H171"/>
      <c r="I171"/>
      <c r="J171"/>
      <c r="K171"/>
      <c r="L171"/>
      <c r="M171"/>
      <c r="N171"/>
      <c r="O171"/>
      <c r="P171"/>
    </row>
    <row r="172" spans="1:16" ht="16.5" x14ac:dyDescent="0.3">
      <c r="A172"/>
      <c r="B172"/>
      <c r="C172"/>
      <c r="D172"/>
      <c r="E172"/>
      <c r="F172"/>
      <c r="G172"/>
      <c r="H172"/>
      <c r="I172"/>
      <c r="J172"/>
      <c r="K172"/>
      <c r="L172"/>
      <c r="M172"/>
      <c r="N172"/>
      <c r="O172"/>
      <c r="P172"/>
    </row>
    <row r="173" spans="1:16" ht="16.5" x14ac:dyDescent="0.3">
      <c r="A173"/>
      <c r="B173"/>
      <c r="C173"/>
      <c r="D173"/>
      <c r="E173"/>
      <c r="F173"/>
      <c r="G173"/>
      <c r="H173"/>
      <c r="I173"/>
      <c r="J173"/>
      <c r="K173"/>
      <c r="L173"/>
      <c r="M173"/>
      <c r="N173"/>
      <c r="O173"/>
      <c r="P173"/>
    </row>
    <row r="174" spans="1:16" ht="16.5" x14ac:dyDescent="0.3">
      <c r="A174"/>
      <c r="B174"/>
      <c r="C174"/>
      <c r="D174"/>
      <c r="E174"/>
      <c r="F174"/>
      <c r="G174"/>
      <c r="H174"/>
      <c r="I174"/>
      <c r="J174"/>
      <c r="K174"/>
      <c r="L174"/>
      <c r="M174"/>
      <c r="N174"/>
      <c r="O174"/>
      <c r="P174"/>
    </row>
    <row r="175" spans="1:16" ht="16.5" x14ac:dyDescent="0.3">
      <c r="A175"/>
      <c r="B175"/>
      <c r="C175"/>
      <c r="D175"/>
      <c r="E175"/>
      <c r="F175"/>
      <c r="G175"/>
      <c r="H175"/>
      <c r="I175"/>
      <c r="J175"/>
      <c r="K175"/>
      <c r="L175"/>
      <c r="M175"/>
      <c r="N175"/>
      <c r="O175"/>
      <c r="P175"/>
    </row>
    <row r="176" spans="1:16" ht="16.5" x14ac:dyDescent="0.3">
      <c r="A176"/>
      <c r="B176"/>
      <c r="C176"/>
      <c r="D176"/>
      <c r="E176"/>
      <c r="F176"/>
      <c r="G176"/>
      <c r="H176"/>
      <c r="I176"/>
      <c r="J176"/>
      <c r="K176"/>
      <c r="L176"/>
      <c r="M176"/>
      <c r="N176"/>
      <c r="O176"/>
      <c r="P176"/>
    </row>
    <row r="177" spans="1:16" ht="16.5" x14ac:dyDescent="0.3">
      <c r="A177"/>
      <c r="B177"/>
      <c r="C177"/>
      <c r="D177"/>
      <c r="E177"/>
      <c r="F177"/>
      <c r="G177"/>
      <c r="H177"/>
      <c r="I177"/>
      <c r="J177"/>
      <c r="K177"/>
      <c r="L177"/>
      <c r="M177"/>
      <c r="N177"/>
      <c r="O177"/>
      <c r="P177"/>
    </row>
    <row r="178" spans="1:16" ht="16.5" x14ac:dyDescent="0.3">
      <c r="A178"/>
      <c r="B178"/>
      <c r="C178"/>
      <c r="D178"/>
      <c r="E178"/>
      <c r="F178"/>
      <c r="G178"/>
      <c r="H178"/>
      <c r="I178"/>
      <c r="J178"/>
      <c r="K178"/>
      <c r="L178"/>
      <c r="M178"/>
      <c r="N178"/>
      <c r="O178"/>
      <c r="P178"/>
    </row>
    <row r="179" spans="1:16" ht="16.5" x14ac:dyDescent="0.3">
      <c r="A179"/>
      <c r="B179"/>
      <c r="C179"/>
      <c r="D179"/>
      <c r="E179"/>
      <c r="F179"/>
      <c r="G179"/>
      <c r="H179"/>
      <c r="I179"/>
      <c r="J179"/>
      <c r="K179"/>
      <c r="L179"/>
      <c r="M179"/>
      <c r="N179"/>
      <c r="O179"/>
      <c r="P179"/>
    </row>
    <row r="180" spans="1:16" ht="16.5" x14ac:dyDescent="0.3">
      <c r="A180"/>
      <c r="B180"/>
      <c r="C180"/>
      <c r="D180"/>
      <c r="E180"/>
      <c r="F180"/>
      <c r="G180"/>
      <c r="H180"/>
      <c r="I180"/>
      <c r="J180"/>
      <c r="K180"/>
      <c r="L180"/>
      <c r="M180"/>
      <c r="N180"/>
      <c r="O180"/>
      <c r="P180"/>
    </row>
    <row r="181" spans="1:16" ht="16.5" x14ac:dyDescent="0.3">
      <c r="A181"/>
      <c r="B181"/>
      <c r="C181"/>
      <c r="D181"/>
      <c r="E181"/>
      <c r="F181"/>
      <c r="G181"/>
      <c r="H181"/>
      <c r="I181"/>
      <c r="J181"/>
      <c r="K181"/>
      <c r="L181"/>
      <c r="M181"/>
      <c r="N181"/>
      <c r="O181"/>
      <c r="P181"/>
    </row>
    <row r="182" spans="1:16" ht="16.5" x14ac:dyDescent="0.3">
      <c r="A182"/>
      <c r="B182"/>
      <c r="C182"/>
      <c r="D182"/>
      <c r="E182"/>
      <c r="F182"/>
      <c r="G182"/>
      <c r="H182"/>
      <c r="I182"/>
      <c r="J182"/>
      <c r="K182"/>
      <c r="L182"/>
      <c r="M182"/>
      <c r="N182"/>
      <c r="O182"/>
      <c r="P182"/>
    </row>
    <row r="183" spans="1:16" ht="16.5" x14ac:dyDescent="0.3">
      <c r="A183"/>
      <c r="B183"/>
      <c r="C183"/>
      <c r="D183"/>
      <c r="E183"/>
      <c r="F183"/>
      <c r="G183"/>
      <c r="H183"/>
      <c r="I183"/>
      <c r="J183"/>
      <c r="K183"/>
      <c r="L183"/>
      <c r="M183"/>
      <c r="N183"/>
      <c r="O183"/>
      <c r="P183"/>
    </row>
    <row r="184" spans="1:16" ht="16.5" x14ac:dyDescent="0.3">
      <c r="A184"/>
      <c r="B184"/>
      <c r="C184"/>
      <c r="D184"/>
      <c r="E184"/>
      <c r="F184"/>
      <c r="G184"/>
      <c r="H184"/>
      <c r="I184"/>
      <c r="J184"/>
      <c r="K184"/>
      <c r="L184"/>
      <c r="M184"/>
      <c r="N184"/>
      <c r="O184"/>
      <c r="P184"/>
    </row>
    <row r="185" spans="1:16" ht="16.5" x14ac:dyDescent="0.3">
      <c r="A185"/>
      <c r="B185"/>
      <c r="C185"/>
      <c r="D185"/>
      <c r="E185"/>
      <c r="F185"/>
      <c r="G185"/>
      <c r="H185"/>
      <c r="I185"/>
      <c r="J185"/>
      <c r="K185"/>
      <c r="L185"/>
      <c r="M185"/>
      <c r="N185"/>
      <c r="O185"/>
      <c r="P185"/>
    </row>
    <row r="186" spans="1:16" ht="16.5" x14ac:dyDescent="0.3">
      <c r="A186"/>
      <c r="B186"/>
      <c r="C186"/>
      <c r="D186"/>
      <c r="E186"/>
      <c r="F186"/>
      <c r="G186"/>
      <c r="H186"/>
      <c r="I186"/>
      <c r="J186"/>
      <c r="K186"/>
      <c r="L186"/>
      <c r="M186"/>
      <c r="N186"/>
      <c r="O186"/>
      <c r="P186"/>
    </row>
    <row r="187" spans="1:16" ht="16.5" x14ac:dyDescent="0.3">
      <c r="A187"/>
      <c r="B187"/>
      <c r="C187"/>
      <c r="D187"/>
      <c r="E187"/>
      <c r="F187"/>
      <c r="G187"/>
      <c r="H187"/>
      <c r="I187"/>
      <c r="J187"/>
      <c r="K187"/>
      <c r="L187"/>
      <c r="M187"/>
      <c r="N187"/>
      <c r="O187"/>
      <c r="P187"/>
    </row>
    <row r="188" spans="1:16" ht="16.5" x14ac:dyDescent="0.3">
      <c r="A188"/>
      <c r="B188"/>
      <c r="C188"/>
      <c r="D188"/>
      <c r="E188"/>
      <c r="F188"/>
      <c r="G188"/>
      <c r="H188"/>
      <c r="I188"/>
      <c r="J188"/>
      <c r="K188"/>
      <c r="L188"/>
      <c r="M188"/>
      <c r="N188"/>
      <c r="O188"/>
      <c r="P188"/>
    </row>
    <row r="189" spans="1:16" ht="16.5" x14ac:dyDescent="0.3">
      <c r="A189"/>
      <c r="B189"/>
      <c r="C189"/>
      <c r="D189"/>
      <c r="E189"/>
      <c r="F189"/>
      <c r="G189"/>
      <c r="H189"/>
      <c r="I189"/>
      <c r="J189"/>
      <c r="K189"/>
      <c r="L189"/>
      <c r="M189"/>
      <c r="N189"/>
      <c r="O189"/>
      <c r="P189"/>
    </row>
    <row r="190" spans="1:16" ht="16.5" x14ac:dyDescent="0.3">
      <c r="A190"/>
      <c r="B190"/>
      <c r="C190"/>
      <c r="D190"/>
      <c r="E190"/>
      <c r="F190"/>
      <c r="G190"/>
      <c r="H190"/>
      <c r="I190"/>
      <c r="J190"/>
      <c r="K190"/>
      <c r="L190"/>
      <c r="M190"/>
      <c r="N190"/>
      <c r="O190"/>
      <c r="P190"/>
    </row>
    <row r="191" spans="1:16" ht="16.5" x14ac:dyDescent="0.3">
      <c r="A191"/>
      <c r="B191"/>
      <c r="C191"/>
      <c r="D191"/>
      <c r="E191"/>
      <c r="F191"/>
      <c r="G191"/>
      <c r="H191"/>
      <c r="I191"/>
      <c r="J191"/>
      <c r="K191"/>
      <c r="L191"/>
      <c r="M191"/>
      <c r="N191"/>
      <c r="O191"/>
      <c r="P191"/>
    </row>
    <row r="192" spans="1:16" ht="16.5" x14ac:dyDescent="0.3">
      <c r="A192"/>
      <c r="B192"/>
      <c r="C192"/>
      <c r="D192"/>
      <c r="E192"/>
      <c r="F192"/>
      <c r="G192"/>
      <c r="H192"/>
      <c r="I192"/>
      <c r="J192"/>
      <c r="K192"/>
      <c r="L192"/>
      <c r="M192"/>
      <c r="N192"/>
      <c r="O192"/>
      <c r="P192"/>
    </row>
    <row r="193" spans="1:16" ht="16.5" x14ac:dyDescent="0.3">
      <c r="A193"/>
      <c r="B193"/>
      <c r="C193"/>
      <c r="D193"/>
      <c r="E193"/>
      <c r="F193"/>
      <c r="G193"/>
      <c r="H193"/>
      <c r="I193"/>
      <c r="J193"/>
      <c r="K193"/>
      <c r="L193"/>
      <c r="M193"/>
      <c r="N193"/>
      <c r="O193"/>
      <c r="P193"/>
    </row>
    <row r="194" spans="1:16" ht="16.5" x14ac:dyDescent="0.3">
      <c r="A194"/>
      <c r="B194"/>
      <c r="C194"/>
      <c r="D194"/>
      <c r="E194"/>
      <c r="F194"/>
      <c r="G194"/>
      <c r="H194"/>
      <c r="I194"/>
      <c r="J194"/>
      <c r="K194"/>
      <c r="L194"/>
      <c r="M194"/>
      <c r="N194"/>
      <c r="O194"/>
      <c r="P194"/>
    </row>
    <row r="195" spans="1:16" ht="16.5" x14ac:dyDescent="0.3">
      <c r="A195"/>
      <c r="B195"/>
      <c r="C195"/>
      <c r="D195"/>
      <c r="E195"/>
      <c r="F195"/>
      <c r="G195"/>
      <c r="H195"/>
      <c r="I195"/>
      <c r="J195"/>
      <c r="K195"/>
      <c r="L195"/>
      <c r="M195"/>
      <c r="N195"/>
      <c r="O195"/>
      <c r="P195"/>
    </row>
    <row r="196" spans="1:16" ht="16.5" x14ac:dyDescent="0.3">
      <c r="A196"/>
      <c r="B196"/>
      <c r="C196"/>
      <c r="D196"/>
      <c r="E196"/>
      <c r="F196"/>
      <c r="G196"/>
      <c r="H196"/>
      <c r="I196"/>
      <c r="J196"/>
      <c r="K196"/>
      <c r="L196"/>
      <c r="M196"/>
      <c r="N196"/>
      <c r="O196"/>
      <c r="P196"/>
    </row>
    <row r="197" spans="1:16" ht="16.5" x14ac:dyDescent="0.3">
      <c r="A197"/>
      <c r="B197"/>
      <c r="C197"/>
      <c r="D197"/>
      <c r="E197"/>
      <c r="F197"/>
      <c r="G197"/>
      <c r="H197"/>
      <c r="I197"/>
      <c r="J197"/>
      <c r="K197"/>
      <c r="L197"/>
      <c r="M197"/>
      <c r="N197"/>
      <c r="O197"/>
      <c r="P197"/>
    </row>
    <row r="198" spans="1:16" ht="16.5" x14ac:dyDescent="0.3">
      <c r="A198"/>
      <c r="B198"/>
      <c r="C198"/>
      <c r="D198"/>
      <c r="E198"/>
      <c r="F198"/>
      <c r="G198"/>
      <c r="H198"/>
      <c r="I198"/>
      <c r="J198"/>
      <c r="K198"/>
      <c r="L198"/>
      <c r="M198"/>
      <c r="N198"/>
      <c r="O198"/>
      <c r="P198"/>
    </row>
    <row r="199" spans="1:16" ht="16.5" x14ac:dyDescent="0.3">
      <c r="A199"/>
      <c r="B199"/>
      <c r="C199"/>
      <c r="D199"/>
      <c r="E199"/>
      <c r="F199"/>
      <c r="G199"/>
      <c r="H199"/>
      <c r="I199"/>
      <c r="J199"/>
      <c r="K199"/>
      <c r="L199"/>
      <c r="M199"/>
      <c r="N199"/>
      <c r="O199"/>
      <c r="P199"/>
    </row>
    <row r="200" spans="1:16" ht="16.5" x14ac:dyDescent="0.3">
      <c r="A200"/>
      <c r="B200"/>
      <c r="C200"/>
      <c r="D200"/>
      <c r="E200"/>
      <c r="F200"/>
      <c r="G200"/>
      <c r="H200"/>
      <c r="I200"/>
      <c r="J200"/>
      <c r="K200"/>
      <c r="L200"/>
      <c r="M200"/>
      <c r="N200"/>
      <c r="O200"/>
      <c r="P200"/>
    </row>
    <row r="201" spans="1:16" ht="16.5" x14ac:dyDescent="0.3">
      <c r="A201"/>
      <c r="B201"/>
      <c r="C201"/>
      <c r="D201"/>
      <c r="E201"/>
      <c r="F201"/>
      <c r="G201"/>
      <c r="H201"/>
      <c r="I201"/>
      <c r="J201"/>
      <c r="K201"/>
      <c r="L201"/>
      <c r="M201"/>
      <c r="N201"/>
      <c r="O201"/>
      <c r="P201"/>
    </row>
    <row r="202" spans="1:16" ht="16.5" x14ac:dyDescent="0.3">
      <c r="A202"/>
      <c r="B202"/>
      <c r="C202"/>
      <c r="D202"/>
      <c r="E202"/>
      <c r="F202"/>
      <c r="G202"/>
      <c r="H202"/>
      <c r="I202"/>
      <c r="J202"/>
      <c r="K202"/>
      <c r="L202"/>
      <c r="M202"/>
      <c r="N202"/>
      <c r="O202"/>
      <c r="P202"/>
    </row>
    <row r="203" spans="1:16" ht="16.5" x14ac:dyDescent="0.3">
      <c r="A203"/>
      <c r="B203"/>
      <c r="C203"/>
      <c r="D203"/>
      <c r="E203"/>
      <c r="F203"/>
      <c r="G203"/>
      <c r="H203"/>
      <c r="I203"/>
      <c r="J203"/>
      <c r="K203"/>
      <c r="L203"/>
      <c r="M203"/>
      <c r="N203"/>
      <c r="O203"/>
      <c r="P203"/>
    </row>
    <row r="204" spans="1:16" ht="16.5" x14ac:dyDescent="0.3">
      <c r="A204"/>
      <c r="B204"/>
      <c r="C204"/>
      <c r="D204"/>
      <c r="E204"/>
      <c r="F204"/>
      <c r="G204"/>
      <c r="H204"/>
      <c r="I204"/>
      <c r="J204"/>
      <c r="K204"/>
      <c r="L204"/>
      <c r="M204"/>
      <c r="N204"/>
      <c r="O204"/>
      <c r="P204"/>
    </row>
    <row r="205" spans="1:16" ht="16.5" x14ac:dyDescent="0.3">
      <c r="A205"/>
      <c r="B205"/>
      <c r="C205"/>
      <c r="D205"/>
      <c r="E205"/>
      <c r="F205"/>
      <c r="G205"/>
      <c r="H205"/>
      <c r="I205"/>
      <c r="J205"/>
      <c r="K205"/>
      <c r="L205"/>
      <c r="M205"/>
      <c r="N205"/>
      <c r="O205"/>
      <c r="P205"/>
    </row>
    <row r="206" spans="1:16" ht="16.5" x14ac:dyDescent="0.3">
      <c r="A206"/>
      <c r="B206"/>
      <c r="C206"/>
      <c r="D206"/>
      <c r="E206"/>
      <c r="F206"/>
      <c r="G206"/>
      <c r="H206"/>
      <c r="I206"/>
      <c r="J206"/>
      <c r="K206"/>
      <c r="L206"/>
      <c r="M206"/>
      <c r="N206"/>
      <c r="O206"/>
      <c r="P206"/>
    </row>
    <row r="207" spans="1:16" ht="16.5" x14ac:dyDescent="0.3">
      <c r="A207"/>
      <c r="B207"/>
      <c r="C207"/>
      <c r="D207"/>
      <c r="E207"/>
      <c r="F207"/>
      <c r="G207"/>
      <c r="H207"/>
      <c r="I207"/>
      <c r="J207"/>
      <c r="K207"/>
      <c r="L207"/>
      <c r="M207"/>
      <c r="N207"/>
      <c r="O207"/>
      <c r="P207"/>
    </row>
    <row r="208" spans="1:16" ht="16.5" x14ac:dyDescent="0.3">
      <c r="A208"/>
      <c r="B208"/>
      <c r="C208"/>
      <c r="D208"/>
      <c r="E208"/>
      <c r="F208"/>
      <c r="G208"/>
      <c r="H208"/>
      <c r="I208"/>
      <c r="J208"/>
      <c r="K208"/>
      <c r="L208"/>
      <c r="M208"/>
      <c r="N208"/>
      <c r="O208"/>
      <c r="P208"/>
    </row>
    <row r="209" spans="1:16" ht="16.5" x14ac:dyDescent="0.3">
      <c r="A209"/>
      <c r="B209"/>
      <c r="C209"/>
      <c r="D209"/>
      <c r="E209"/>
      <c r="F209"/>
      <c r="G209"/>
      <c r="H209"/>
      <c r="I209"/>
      <c r="J209"/>
      <c r="K209"/>
      <c r="L209"/>
      <c r="M209"/>
      <c r="N209"/>
      <c r="O209"/>
      <c r="P209"/>
    </row>
    <row r="210" spans="1:16" ht="16.5" x14ac:dyDescent="0.3">
      <c r="A210"/>
      <c r="B210"/>
      <c r="C210"/>
      <c r="D210"/>
      <c r="E210"/>
      <c r="F210"/>
      <c r="G210"/>
      <c r="H210"/>
      <c r="I210"/>
      <c r="J210"/>
      <c r="K210"/>
      <c r="L210"/>
      <c r="M210"/>
      <c r="N210"/>
      <c r="O210"/>
      <c r="P210"/>
    </row>
    <row r="211" spans="1:16" ht="16.5" x14ac:dyDescent="0.3">
      <c r="A211"/>
      <c r="B211"/>
      <c r="C211"/>
      <c r="D211"/>
      <c r="E211"/>
      <c r="F211"/>
      <c r="G211"/>
      <c r="H211"/>
      <c r="I211"/>
      <c r="J211"/>
      <c r="K211"/>
      <c r="L211"/>
      <c r="M211"/>
      <c r="N211"/>
      <c r="O211"/>
      <c r="P211"/>
    </row>
    <row r="212" spans="1:16" ht="16.5" x14ac:dyDescent="0.3">
      <c r="A212"/>
      <c r="B212"/>
      <c r="C212"/>
      <c r="D212"/>
      <c r="E212"/>
      <c r="F212"/>
      <c r="G212"/>
      <c r="H212"/>
      <c r="I212"/>
      <c r="J212"/>
      <c r="K212"/>
      <c r="L212"/>
      <c r="M212"/>
      <c r="N212"/>
      <c r="O212"/>
      <c r="P212"/>
    </row>
    <row r="213" spans="1:16" ht="16.5" x14ac:dyDescent="0.3">
      <c r="A213"/>
      <c r="B213"/>
      <c r="C213"/>
      <c r="D213"/>
      <c r="E213"/>
      <c r="F213"/>
      <c r="G213"/>
      <c r="H213"/>
      <c r="I213"/>
      <c r="J213"/>
      <c r="K213"/>
      <c r="L213"/>
      <c r="M213"/>
      <c r="N213"/>
      <c r="O213"/>
      <c r="P213"/>
    </row>
    <row r="214" spans="1:16" ht="16.5" x14ac:dyDescent="0.3">
      <c r="A214"/>
      <c r="B214"/>
      <c r="C214"/>
      <c r="D214"/>
      <c r="E214"/>
      <c r="F214"/>
      <c r="G214"/>
      <c r="H214"/>
      <c r="I214"/>
      <c r="J214"/>
      <c r="K214"/>
      <c r="L214"/>
      <c r="M214"/>
      <c r="N214"/>
      <c r="O214"/>
      <c r="P214"/>
    </row>
    <row r="215" spans="1:16" ht="16.5" x14ac:dyDescent="0.3">
      <c r="A215"/>
      <c r="B215"/>
      <c r="C215"/>
      <c r="D215"/>
      <c r="E215"/>
      <c r="F215"/>
      <c r="G215"/>
      <c r="H215"/>
      <c r="I215"/>
      <c r="J215"/>
      <c r="K215"/>
      <c r="L215"/>
      <c r="M215"/>
      <c r="N215"/>
      <c r="O215"/>
      <c r="P215"/>
    </row>
    <row r="216" spans="1:16" ht="16.5" x14ac:dyDescent="0.3">
      <c r="A216"/>
      <c r="B216"/>
      <c r="C216"/>
      <c r="D216"/>
      <c r="E216"/>
      <c r="F216"/>
      <c r="G216"/>
      <c r="H216"/>
      <c r="I216"/>
      <c r="J216"/>
      <c r="K216"/>
      <c r="L216"/>
      <c r="M216"/>
      <c r="N216"/>
      <c r="O216"/>
      <c r="P216"/>
    </row>
    <row r="217" spans="1:16" ht="16.5" x14ac:dyDescent="0.3">
      <c r="A217"/>
      <c r="B217"/>
      <c r="C217"/>
      <c r="D217"/>
      <c r="E217"/>
      <c r="F217"/>
      <c r="G217"/>
      <c r="H217"/>
      <c r="I217"/>
      <c r="J217"/>
      <c r="K217"/>
      <c r="L217"/>
      <c r="M217"/>
      <c r="N217"/>
      <c r="O217"/>
      <c r="P217"/>
    </row>
    <row r="218" spans="1:16" ht="16.5" x14ac:dyDescent="0.3">
      <c r="A218"/>
      <c r="B218"/>
      <c r="C218"/>
      <c r="D218"/>
      <c r="E218"/>
      <c r="F218"/>
      <c r="G218"/>
      <c r="H218"/>
      <c r="I218"/>
      <c r="J218"/>
      <c r="K218"/>
      <c r="L218"/>
      <c r="M218"/>
      <c r="N218"/>
      <c r="O218"/>
      <c r="P218"/>
    </row>
    <row r="219" spans="1:16" ht="16.5" x14ac:dyDescent="0.3">
      <c r="A219"/>
      <c r="B219"/>
      <c r="C219"/>
      <c r="D219"/>
      <c r="E219"/>
      <c r="F219"/>
      <c r="G219"/>
      <c r="H219"/>
      <c r="I219"/>
      <c r="J219"/>
      <c r="K219"/>
      <c r="L219"/>
      <c r="M219"/>
      <c r="N219"/>
      <c r="O219"/>
      <c r="P219"/>
    </row>
    <row r="220" spans="1:16" ht="16.5" x14ac:dyDescent="0.3">
      <c r="A220"/>
      <c r="B220"/>
      <c r="C220"/>
      <c r="D220"/>
      <c r="E220"/>
      <c r="F220"/>
      <c r="G220"/>
      <c r="H220"/>
      <c r="I220"/>
      <c r="J220"/>
      <c r="K220"/>
      <c r="L220"/>
      <c r="M220"/>
      <c r="N220"/>
      <c r="O220"/>
      <c r="P220"/>
    </row>
    <row r="221" spans="1:16" ht="16.5" x14ac:dyDescent="0.3">
      <c r="A221"/>
      <c r="B221"/>
      <c r="C221"/>
      <c r="D221"/>
      <c r="E221"/>
      <c r="F221"/>
      <c r="G221"/>
      <c r="H221"/>
      <c r="I221"/>
      <c r="J221"/>
      <c r="K221"/>
      <c r="L221"/>
      <c r="M221"/>
      <c r="N221"/>
      <c r="O221"/>
      <c r="P221"/>
    </row>
    <row r="222" spans="1:16" ht="16.5" x14ac:dyDescent="0.3">
      <c r="A222"/>
      <c r="B222"/>
      <c r="C222"/>
      <c r="D222"/>
      <c r="E222"/>
      <c r="F222"/>
      <c r="G222"/>
      <c r="H222"/>
      <c r="I222"/>
      <c r="J222"/>
      <c r="K222"/>
      <c r="L222"/>
      <c r="M222"/>
      <c r="N222"/>
      <c r="O222"/>
      <c r="P222"/>
    </row>
    <row r="223" spans="1:16" ht="16.5" x14ac:dyDescent="0.3">
      <c r="A223"/>
      <c r="B223"/>
      <c r="C223"/>
      <c r="D223"/>
      <c r="E223"/>
      <c r="F223"/>
      <c r="G223"/>
      <c r="H223"/>
      <c r="I223"/>
      <c r="J223"/>
      <c r="K223"/>
      <c r="L223"/>
      <c r="M223"/>
      <c r="N223"/>
      <c r="O223"/>
      <c r="P223"/>
    </row>
    <row r="224" spans="1:16" ht="16.5" x14ac:dyDescent="0.3">
      <c r="A224"/>
      <c r="B224"/>
      <c r="C224"/>
      <c r="D224"/>
      <c r="E224"/>
      <c r="F224"/>
      <c r="G224"/>
      <c r="H224"/>
      <c r="I224"/>
      <c r="J224"/>
      <c r="K224"/>
      <c r="L224"/>
      <c r="M224"/>
      <c r="N224"/>
      <c r="O224"/>
      <c r="P224"/>
    </row>
    <row r="225" spans="1:16" ht="16.5" x14ac:dyDescent="0.3">
      <c r="A225"/>
      <c r="B225"/>
      <c r="C225"/>
      <c r="D225"/>
      <c r="E225"/>
      <c r="F225"/>
      <c r="G225"/>
      <c r="H225"/>
      <c r="I225"/>
      <c r="J225"/>
      <c r="K225"/>
      <c r="L225"/>
      <c r="M225"/>
      <c r="N225"/>
      <c r="O225"/>
      <c r="P225"/>
    </row>
    <row r="226" spans="1:16" ht="16.5" x14ac:dyDescent="0.3">
      <c r="A226"/>
      <c r="B226"/>
      <c r="C226"/>
      <c r="D226"/>
      <c r="E226"/>
      <c r="F226"/>
      <c r="G226"/>
      <c r="H226"/>
      <c r="I226"/>
      <c r="J226"/>
      <c r="K226"/>
      <c r="L226"/>
      <c r="M226"/>
      <c r="N226"/>
      <c r="O226"/>
      <c r="P226"/>
    </row>
    <row r="227" spans="1:16" ht="16.5" x14ac:dyDescent="0.3">
      <c r="A227"/>
      <c r="B227"/>
      <c r="C227"/>
      <c r="D227"/>
      <c r="E227"/>
      <c r="F227"/>
      <c r="G227"/>
      <c r="H227"/>
      <c r="I227"/>
      <c r="J227"/>
      <c r="K227"/>
      <c r="L227"/>
      <c r="M227"/>
      <c r="N227"/>
      <c r="O227"/>
      <c r="P227"/>
    </row>
    <row r="228" spans="1:16" ht="16.5" x14ac:dyDescent="0.3">
      <c r="A228"/>
      <c r="B228"/>
      <c r="C228"/>
      <c r="D228"/>
      <c r="E228"/>
      <c r="F228"/>
      <c r="G228"/>
      <c r="H228"/>
      <c r="I228"/>
      <c r="J228"/>
      <c r="K228"/>
      <c r="L228"/>
      <c r="M228"/>
      <c r="N228"/>
      <c r="O228"/>
      <c r="P228"/>
    </row>
    <row r="229" spans="1:16" ht="16.5" x14ac:dyDescent="0.3">
      <c r="A229"/>
      <c r="B229"/>
      <c r="C229"/>
      <c r="D229"/>
      <c r="E229"/>
      <c r="F229"/>
      <c r="G229"/>
      <c r="H229"/>
      <c r="I229"/>
      <c r="J229"/>
      <c r="K229"/>
      <c r="L229"/>
      <c r="M229"/>
      <c r="N229"/>
      <c r="O229"/>
      <c r="P229"/>
    </row>
    <row r="230" spans="1:16" ht="16.5" x14ac:dyDescent="0.3">
      <c r="A230"/>
      <c r="B230"/>
      <c r="C230"/>
      <c r="D230"/>
      <c r="E230"/>
      <c r="F230"/>
      <c r="G230"/>
      <c r="H230"/>
      <c r="I230"/>
      <c r="J230"/>
      <c r="K230"/>
      <c r="L230"/>
      <c r="M230"/>
      <c r="N230"/>
      <c r="O230"/>
      <c r="P230"/>
    </row>
    <row r="231" spans="1:16" ht="16.5" x14ac:dyDescent="0.3">
      <c r="A231"/>
      <c r="B231"/>
      <c r="C231"/>
      <c r="D231"/>
      <c r="E231"/>
      <c r="F231"/>
      <c r="G231"/>
      <c r="H231"/>
      <c r="I231"/>
      <c r="J231"/>
      <c r="K231"/>
      <c r="L231"/>
      <c r="M231"/>
      <c r="N231"/>
      <c r="O231"/>
      <c r="P231"/>
    </row>
    <row r="232" spans="1:16" ht="16.5" x14ac:dyDescent="0.3">
      <c r="A232"/>
      <c r="B232"/>
      <c r="C232"/>
      <c r="D232"/>
      <c r="E232"/>
      <c r="F232"/>
      <c r="G232"/>
      <c r="H232"/>
      <c r="I232"/>
      <c r="J232"/>
      <c r="K232"/>
      <c r="L232"/>
      <c r="M232"/>
      <c r="N232"/>
      <c r="O232"/>
      <c r="P232"/>
    </row>
    <row r="233" spans="1:16" ht="16.5" x14ac:dyDescent="0.3">
      <c r="A233"/>
      <c r="B233"/>
      <c r="C233"/>
      <c r="D233"/>
      <c r="E233"/>
      <c r="F233"/>
      <c r="G233"/>
      <c r="H233"/>
      <c r="I233"/>
      <c r="J233"/>
      <c r="K233"/>
      <c r="L233"/>
      <c r="M233"/>
      <c r="N233"/>
      <c r="O233"/>
      <c r="P233"/>
    </row>
    <row r="234" spans="1:16" ht="16.5" x14ac:dyDescent="0.3">
      <c r="A234"/>
      <c r="B234"/>
      <c r="C234"/>
      <c r="D234"/>
      <c r="E234"/>
      <c r="F234"/>
      <c r="G234"/>
      <c r="H234"/>
      <c r="I234"/>
      <c r="J234"/>
      <c r="K234"/>
      <c r="L234"/>
      <c r="M234"/>
      <c r="N234"/>
      <c r="O234"/>
      <c r="P234"/>
    </row>
    <row r="235" spans="1:16" ht="16.5" x14ac:dyDescent="0.3">
      <c r="A235"/>
      <c r="B235"/>
      <c r="C235"/>
      <c r="D235"/>
      <c r="E235"/>
      <c r="F235"/>
      <c r="G235"/>
      <c r="H235"/>
      <c r="I235"/>
      <c r="J235"/>
      <c r="K235"/>
      <c r="L235"/>
      <c r="M235"/>
      <c r="N235"/>
      <c r="O235"/>
      <c r="P235"/>
    </row>
    <row r="236" spans="1:16" ht="16.5" x14ac:dyDescent="0.3">
      <c r="A236"/>
      <c r="B236"/>
      <c r="C236"/>
      <c r="D236"/>
      <c r="E236"/>
      <c r="F236"/>
      <c r="G236"/>
      <c r="H236"/>
      <c r="I236"/>
      <c r="J236"/>
      <c r="K236"/>
      <c r="L236"/>
      <c r="M236"/>
      <c r="N236"/>
      <c r="O236"/>
      <c r="P236"/>
    </row>
    <row r="237" spans="1:16" ht="16.5" x14ac:dyDescent="0.3">
      <c r="A237"/>
      <c r="B237"/>
      <c r="C237"/>
      <c r="D237"/>
      <c r="E237"/>
      <c r="F237"/>
      <c r="G237"/>
      <c r="H237"/>
      <c r="I237"/>
      <c r="J237"/>
      <c r="K237"/>
      <c r="L237"/>
      <c r="M237"/>
      <c r="N237"/>
      <c r="O237"/>
      <c r="P237"/>
    </row>
    <row r="238" spans="1:16" ht="16.5" x14ac:dyDescent="0.3">
      <c r="A238"/>
      <c r="B238"/>
      <c r="C238"/>
      <c r="D238"/>
      <c r="E238"/>
      <c r="F238"/>
      <c r="G238"/>
      <c r="H238"/>
      <c r="I238"/>
      <c r="J238"/>
      <c r="K238"/>
      <c r="L238"/>
      <c r="M238"/>
      <c r="N238"/>
      <c r="O238"/>
      <c r="P238"/>
    </row>
    <row r="239" spans="1:16" ht="16.5" x14ac:dyDescent="0.3">
      <c r="A239"/>
      <c r="B239"/>
      <c r="C239"/>
      <c r="D239"/>
      <c r="E239"/>
      <c r="F239"/>
      <c r="G239"/>
      <c r="H239"/>
      <c r="I239"/>
      <c r="J239"/>
      <c r="K239"/>
      <c r="L239"/>
      <c r="M239"/>
      <c r="N239"/>
      <c r="O239"/>
      <c r="P239"/>
    </row>
    <row r="240" spans="1:16" ht="16.5" x14ac:dyDescent="0.3">
      <c r="A240"/>
      <c r="B240"/>
      <c r="C240"/>
      <c r="D240"/>
      <c r="E240"/>
      <c r="F240"/>
      <c r="G240"/>
      <c r="H240"/>
      <c r="I240"/>
      <c r="J240"/>
      <c r="K240"/>
      <c r="L240"/>
      <c r="M240"/>
      <c r="N240"/>
      <c r="O240"/>
      <c r="P240"/>
    </row>
    <row r="241" spans="1:16" ht="16.5" x14ac:dyDescent="0.3">
      <c r="A241"/>
      <c r="B241"/>
      <c r="C241"/>
      <c r="D241"/>
      <c r="E241"/>
      <c r="F241"/>
      <c r="G241"/>
      <c r="H241"/>
      <c r="I241"/>
      <c r="J241"/>
      <c r="K241"/>
      <c r="L241"/>
      <c r="M241"/>
      <c r="N241"/>
      <c r="O241"/>
      <c r="P241"/>
    </row>
    <row r="242" spans="1:16" ht="16.5" x14ac:dyDescent="0.3">
      <c r="A242"/>
      <c r="B242"/>
      <c r="C242"/>
      <c r="D242"/>
      <c r="E242"/>
      <c r="F242"/>
      <c r="G242"/>
      <c r="H242"/>
      <c r="I242"/>
      <c r="J242"/>
      <c r="K242"/>
      <c r="L242"/>
      <c r="M242"/>
      <c r="N242"/>
      <c r="O242"/>
      <c r="P242"/>
    </row>
    <row r="243" spans="1:16" ht="16.5" x14ac:dyDescent="0.3">
      <c r="A243"/>
      <c r="B243"/>
      <c r="C243"/>
      <c r="D243"/>
      <c r="E243"/>
      <c r="F243"/>
      <c r="G243"/>
      <c r="H243"/>
      <c r="I243"/>
      <c r="J243"/>
      <c r="K243"/>
      <c r="L243"/>
      <c r="M243"/>
      <c r="N243"/>
      <c r="O243"/>
      <c r="P243"/>
    </row>
    <row r="244" spans="1:16" ht="16.5" x14ac:dyDescent="0.3">
      <c r="A244"/>
      <c r="B244"/>
      <c r="C244"/>
      <c r="D244"/>
      <c r="E244"/>
      <c r="F244"/>
      <c r="G244"/>
      <c r="H244"/>
      <c r="I244"/>
      <c r="J244"/>
      <c r="K244"/>
      <c r="L244"/>
      <c r="M244"/>
      <c r="N244"/>
      <c r="O244"/>
      <c r="P244"/>
    </row>
    <row r="245" spans="1:16" ht="16.5" x14ac:dyDescent="0.3">
      <c r="A245"/>
      <c r="B245"/>
      <c r="C245"/>
      <c r="D245"/>
      <c r="E245"/>
      <c r="F245"/>
      <c r="G245"/>
      <c r="H245"/>
      <c r="I245"/>
      <c r="J245"/>
      <c r="K245"/>
      <c r="L245"/>
      <c r="M245"/>
      <c r="N245"/>
      <c r="O245"/>
      <c r="P245"/>
    </row>
    <row r="246" spans="1:16" ht="16.5" x14ac:dyDescent="0.3">
      <c r="A246"/>
      <c r="B246"/>
      <c r="C246"/>
      <c r="D246"/>
      <c r="E246"/>
      <c r="F246"/>
      <c r="G246"/>
      <c r="H246"/>
      <c r="I246"/>
      <c r="J246"/>
      <c r="K246"/>
      <c r="L246"/>
      <c r="M246"/>
      <c r="N246"/>
      <c r="O246"/>
      <c r="P246"/>
    </row>
    <row r="247" spans="1:16" ht="16.5" x14ac:dyDescent="0.3">
      <c r="A247"/>
      <c r="B247"/>
      <c r="C247"/>
      <c r="D247"/>
      <c r="E247"/>
      <c r="F247"/>
      <c r="G247"/>
      <c r="H247"/>
      <c r="I247"/>
      <c r="J247"/>
      <c r="K247"/>
      <c r="L247"/>
      <c r="M247"/>
      <c r="N247"/>
      <c r="O247"/>
      <c r="P247"/>
    </row>
    <row r="248" spans="1:16" ht="16.5" x14ac:dyDescent="0.3">
      <c r="A248"/>
      <c r="B248"/>
      <c r="C248"/>
      <c r="D248"/>
      <c r="E248"/>
      <c r="F248"/>
      <c r="G248"/>
      <c r="H248"/>
      <c r="I248"/>
      <c r="J248"/>
      <c r="K248"/>
      <c r="L248"/>
      <c r="M248"/>
      <c r="N248"/>
      <c r="O248"/>
      <c r="P248"/>
    </row>
    <row r="249" spans="1:16" ht="16.5" x14ac:dyDescent="0.3">
      <c r="A249"/>
      <c r="B249"/>
      <c r="C249"/>
      <c r="D249"/>
      <c r="E249"/>
      <c r="F249"/>
      <c r="G249"/>
      <c r="H249"/>
      <c r="I249"/>
      <c r="J249"/>
      <c r="K249"/>
      <c r="L249"/>
      <c r="M249"/>
      <c r="N249"/>
      <c r="O249"/>
      <c r="P249"/>
    </row>
    <row r="250" spans="1:16" ht="16.5" x14ac:dyDescent="0.3">
      <c r="A250"/>
      <c r="B250"/>
      <c r="C250"/>
      <c r="D250"/>
      <c r="E250"/>
      <c r="F250"/>
      <c r="G250"/>
      <c r="H250"/>
      <c r="I250"/>
      <c r="J250"/>
      <c r="K250"/>
      <c r="L250"/>
      <c r="M250"/>
      <c r="N250"/>
      <c r="O250"/>
      <c r="P250"/>
    </row>
    <row r="251" spans="1:16" ht="16.5" x14ac:dyDescent="0.3">
      <c r="A251"/>
      <c r="B251"/>
      <c r="C251"/>
      <c r="D251"/>
      <c r="E251"/>
      <c r="F251"/>
      <c r="G251"/>
      <c r="H251"/>
      <c r="I251"/>
      <c r="J251"/>
      <c r="K251"/>
      <c r="L251"/>
      <c r="M251"/>
      <c r="N251"/>
      <c r="O251"/>
      <c r="P251"/>
    </row>
    <row r="252" spans="1:16" ht="16.5" x14ac:dyDescent="0.3">
      <c r="A252"/>
      <c r="B252"/>
      <c r="C252"/>
      <c r="D252"/>
      <c r="E252"/>
      <c r="F252"/>
      <c r="G252"/>
      <c r="H252"/>
      <c r="I252"/>
      <c r="J252"/>
      <c r="K252"/>
      <c r="L252"/>
      <c r="M252"/>
      <c r="N252"/>
      <c r="O252"/>
      <c r="P252"/>
    </row>
    <row r="253" spans="1:16" ht="16.5" x14ac:dyDescent="0.3">
      <c r="A253"/>
      <c r="B253"/>
      <c r="C253"/>
      <c r="D253"/>
      <c r="E253"/>
      <c r="F253"/>
      <c r="G253"/>
      <c r="H253"/>
      <c r="I253"/>
      <c r="J253"/>
      <c r="K253"/>
      <c r="L253"/>
      <c r="M253"/>
      <c r="N253"/>
      <c r="O253"/>
      <c r="P253"/>
    </row>
    <row r="254" spans="1:16" ht="16.5" x14ac:dyDescent="0.3">
      <c r="A254"/>
      <c r="B254"/>
      <c r="C254"/>
      <c r="D254"/>
      <c r="E254"/>
      <c r="F254"/>
      <c r="G254"/>
      <c r="H254"/>
      <c r="I254"/>
      <c r="J254"/>
      <c r="K254"/>
      <c r="L254"/>
      <c r="M254"/>
      <c r="N254"/>
      <c r="O254"/>
      <c r="P254"/>
    </row>
    <row r="255" spans="1:16" ht="16.5" x14ac:dyDescent="0.3">
      <c r="A255"/>
      <c r="B255"/>
      <c r="C255"/>
      <c r="D255"/>
      <c r="E255"/>
      <c r="F255"/>
      <c r="G255"/>
      <c r="H255"/>
      <c r="I255"/>
      <c r="J255"/>
      <c r="K255"/>
      <c r="L255"/>
      <c r="M255"/>
      <c r="N255"/>
      <c r="O255"/>
      <c r="P255"/>
    </row>
    <row r="256" spans="1:16" ht="16.5" x14ac:dyDescent="0.3">
      <c r="A256"/>
      <c r="B256"/>
      <c r="C256"/>
      <c r="D256"/>
      <c r="E256"/>
      <c r="F256"/>
      <c r="G256"/>
      <c r="H256"/>
      <c r="I256"/>
      <c r="J256"/>
      <c r="K256"/>
      <c r="L256"/>
      <c r="M256"/>
      <c r="N256"/>
      <c r="O256"/>
      <c r="P256"/>
    </row>
    <row r="257" spans="1:16" ht="16.5" x14ac:dyDescent="0.3">
      <c r="A257"/>
      <c r="B257"/>
      <c r="C257"/>
      <c r="D257"/>
      <c r="E257"/>
      <c r="F257"/>
      <c r="G257"/>
      <c r="H257"/>
      <c r="I257"/>
      <c r="J257"/>
      <c r="K257"/>
      <c r="L257"/>
      <c r="M257"/>
      <c r="N257"/>
      <c r="O257"/>
      <c r="P257"/>
    </row>
    <row r="258" spans="1:16" ht="16.5" x14ac:dyDescent="0.3">
      <c r="A258"/>
      <c r="B258"/>
      <c r="C258"/>
      <c r="D258"/>
      <c r="E258"/>
      <c r="F258"/>
      <c r="G258"/>
      <c r="H258"/>
      <c r="I258"/>
      <c r="J258"/>
      <c r="K258"/>
      <c r="L258"/>
      <c r="M258"/>
      <c r="N258"/>
      <c r="O258"/>
      <c r="P258"/>
    </row>
    <row r="259" spans="1:16" ht="16.5" x14ac:dyDescent="0.3">
      <c r="A259"/>
      <c r="B259"/>
      <c r="C259"/>
      <c r="D259"/>
      <c r="E259"/>
      <c r="F259"/>
      <c r="G259"/>
      <c r="H259"/>
      <c r="I259"/>
      <c r="J259"/>
      <c r="K259"/>
      <c r="L259"/>
      <c r="M259"/>
      <c r="N259"/>
      <c r="O259"/>
      <c r="P259"/>
    </row>
    <row r="260" spans="1:16" ht="16.5" x14ac:dyDescent="0.3">
      <c r="A260"/>
      <c r="B260"/>
      <c r="C260"/>
      <c r="D260"/>
      <c r="E260"/>
      <c r="F260"/>
      <c r="G260"/>
      <c r="H260"/>
      <c r="I260"/>
      <c r="J260"/>
      <c r="K260"/>
      <c r="L260"/>
      <c r="M260"/>
      <c r="N260"/>
      <c r="O260"/>
      <c r="P260"/>
    </row>
    <row r="261" spans="1:16" ht="16.5" x14ac:dyDescent="0.3">
      <c r="A261"/>
      <c r="B261"/>
      <c r="C261"/>
      <c r="D261"/>
      <c r="E261"/>
      <c r="F261"/>
      <c r="G261"/>
      <c r="H261"/>
      <c r="I261"/>
      <c r="J261"/>
      <c r="K261"/>
      <c r="L261"/>
      <c r="M261"/>
      <c r="N261"/>
      <c r="O261"/>
      <c r="P261"/>
    </row>
    <row r="262" spans="1:16" ht="16.5" x14ac:dyDescent="0.3">
      <c r="A262"/>
      <c r="B262"/>
      <c r="C262"/>
      <c r="D262"/>
      <c r="E262"/>
      <c r="F262"/>
      <c r="G262"/>
      <c r="H262"/>
      <c r="I262"/>
      <c r="J262"/>
      <c r="K262"/>
      <c r="L262"/>
      <c r="M262"/>
      <c r="N262"/>
      <c r="O262"/>
      <c r="P262"/>
    </row>
    <row r="263" spans="1:16" ht="16.5" x14ac:dyDescent="0.3">
      <c r="A263"/>
      <c r="B263"/>
      <c r="C263"/>
      <c r="D263"/>
      <c r="E263"/>
      <c r="F263"/>
      <c r="G263"/>
      <c r="H263"/>
      <c r="I263"/>
      <c r="J263"/>
      <c r="K263"/>
      <c r="L263"/>
      <c r="M263"/>
      <c r="N263"/>
      <c r="O263"/>
      <c r="P263"/>
    </row>
    <row r="264" spans="1:16" ht="16.5" x14ac:dyDescent="0.3">
      <c r="A264"/>
      <c r="B264"/>
      <c r="C264"/>
      <c r="D264"/>
      <c r="E264"/>
      <c r="F264"/>
      <c r="G264"/>
      <c r="H264"/>
      <c r="I264"/>
      <c r="J264"/>
      <c r="K264"/>
      <c r="L264"/>
      <c r="M264"/>
      <c r="N264"/>
      <c r="O264"/>
      <c r="P264"/>
    </row>
    <row r="265" spans="1:16" ht="16.5" x14ac:dyDescent="0.3">
      <c r="A265"/>
      <c r="B265"/>
      <c r="C265"/>
      <c r="D265"/>
      <c r="E265"/>
      <c r="F265"/>
      <c r="G265"/>
      <c r="H265"/>
      <c r="I265"/>
      <c r="J265"/>
      <c r="K265"/>
      <c r="L265"/>
      <c r="M265"/>
      <c r="N265"/>
      <c r="O265"/>
      <c r="P265"/>
    </row>
    <row r="266" spans="1:16" ht="16.5" x14ac:dyDescent="0.3">
      <c r="A266"/>
      <c r="B266"/>
      <c r="C266"/>
      <c r="D266"/>
      <c r="E266"/>
      <c r="F266"/>
      <c r="G266"/>
      <c r="H266"/>
      <c r="I266"/>
      <c r="J266"/>
      <c r="K266"/>
      <c r="L266"/>
      <c r="M266"/>
      <c r="N266"/>
      <c r="O266"/>
      <c r="P266"/>
    </row>
    <row r="267" spans="1:16" ht="16.5" x14ac:dyDescent="0.3">
      <c r="A267"/>
      <c r="B267"/>
      <c r="C267"/>
      <c r="D267"/>
      <c r="E267"/>
      <c r="F267"/>
      <c r="G267"/>
      <c r="H267"/>
      <c r="I267"/>
      <c r="J267"/>
      <c r="K267"/>
      <c r="L267"/>
      <c r="M267"/>
      <c r="N267"/>
      <c r="O267"/>
      <c r="P267"/>
    </row>
    <row r="268" spans="1:16" ht="16.5" x14ac:dyDescent="0.3">
      <c r="A268"/>
      <c r="B268"/>
      <c r="C268"/>
      <c r="D268"/>
      <c r="E268"/>
      <c r="F268"/>
      <c r="G268"/>
      <c r="H268"/>
      <c r="I268"/>
      <c r="J268"/>
      <c r="K268"/>
      <c r="L268"/>
      <c r="M268"/>
      <c r="N268"/>
      <c r="O268"/>
      <c r="P268"/>
    </row>
    <row r="269" spans="1:16" ht="16.5" x14ac:dyDescent="0.3">
      <c r="A269"/>
      <c r="B269"/>
      <c r="C269"/>
      <c r="D269"/>
      <c r="E269"/>
      <c r="F269"/>
      <c r="G269"/>
      <c r="H269"/>
      <c r="I269"/>
      <c r="J269"/>
      <c r="K269"/>
      <c r="L269"/>
      <c r="M269"/>
      <c r="N269"/>
      <c r="O269"/>
      <c r="P269"/>
    </row>
    <row r="270" spans="1:16" ht="16.5" x14ac:dyDescent="0.3">
      <c r="A270"/>
      <c r="B270"/>
      <c r="C270"/>
      <c r="D270"/>
      <c r="E270"/>
      <c r="F270"/>
      <c r="G270"/>
      <c r="H270"/>
      <c r="I270"/>
      <c r="J270"/>
      <c r="K270"/>
      <c r="L270"/>
      <c r="M270"/>
      <c r="N270"/>
      <c r="O270"/>
      <c r="P270"/>
    </row>
    <row r="271" spans="1:16" ht="16.5" x14ac:dyDescent="0.3">
      <c r="A271"/>
      <c r="B271"/>
      <c r="C271"/>
      <c r="D271"/>
      <c r="E271"/>
      <c r="F271"/>
      <c r="G271"/>
      <c r="H271"/>
      <c r="I271"/>
      <c r="J271"/>
      <c r="K271"/>
      <c r="L271"/>
      <c r="M271"/>
      <c r="N271"/>
      <c r="O271"/>
      <c r="P271"/>
    </row>
    <row r="272" spans="1:16" ht="16.5" x14ac:dyDescent="0.3">
      <c r="A272"/>
      <c r="B272"/>
      <c r="C272"/>
      <c r="D272"/>
      <c r="E272"/>
      <c r="F272"/>
      <c r="G272"/>
      <c r="H272"/>
      <c r="I272"/>
      <c r="J272"/>
      <c r="K272"/>
      <c r="L272"/>
      <c r="M272"/>
      <c r="N272"/>
      <c r="O272"/>
      <c r="P272"/>
    </row>
    <row r="273" spans="1:16" ht="16.5" x14ac:dyDescent="0.3">
      <c r="A273"/>
      <c r="B273"/>
      <c r="C273"/>
      <c r="D273"/>
      <c r="E273"/>
      <c r="F273"/>
      <c r="G273"/>
      <c r="H273"/>
      <c r="I273"/>
      <c r="J273"/>
      <c r="K273"/>
      <c r="L273"/>
      <c r="M273"/>
      <c r="N273"/>
      <c r="O273"/>
      <c r="P273"/>
    </row>
    <row r="274" spans="1:16" ht="16.5" x14ac:dyDescent="0.3">
      <c r="A274"/>
      <c r="B274"/>
      <c r="C274"/>
      <c r="D274"/>
      <c r="E274"/>
      <c r="F274"/>
      <c r="G274"/>
      <c r="H274"/>
      <c r="I274"/>
      <c r="J274"/>
      <c r="K274"/>
      <c r="L274"/>
      <c r="M274"/>
      <c r="N274"/>
      <c r="O274"/>
      <c r="P274"/>
    </row>
    <row r="275" spans="1:16" ht="16.5" x14ac:dyDescent="0.3">
      <c r="A275"/>
      <c r="B275"/>
      <c r="C275"/>
      <c r="D275"/>
      <c r="E275"/>
      <c r="F275"/>
      <c r="G275"/>
      <c r="H275"/>
      <c r="I275"/>
      <c r="J275"/>
      <c r="K275"/>
      <c r="L275"/>
      <c r="M275"/>
      <c r="N275"/>
      <c r="O275"/>
      <c r="P275"/>
    </row>
    <row r="276" spans="1:16" ht="16.5" x14ac:dyDescent="0.3">
      <c r="A276"/>
      <c r="B276"/>
      <c r="C276"/>
      <c r="D276"/>
      <c r="E276"/>
      <c r="F276"/>
      <c r="G276"/>
      <c r="H276"/>
      <c r="I276"/>
      <c r="J276"/>
      <c r="K276"/>
      <c r="L276"/>
      <c r="M276"/>
      <c r="N276"/>
      <c r="O276"/>
      <c r="P276"/>
    </row>
    <row r="277" spans="1:16" ht="16.5" x14ac:dyDescent="0.3">
      <c r="A277"/>
      <c r="B277"/>
      <c r="C277"/>
      <c r="D277"/>
      <c r="E277"/>
      <c r="F277"/>
      <c r="G277"/>
      <c r="H277"/>
      <c r="I277"/>
      <c r="J277"/>
      <c r="K277"/>
      <c r="L277"/>
      <c r="M277"/>
      <c r="N277"/>
      <c r="O277"/>
      <c r="P277"/>
    </row>
    <row r="278" spans="1:16" ht="16.5" x14ac:dyDescent="0.3">
      <c r="A278"/>
      <c r="B278"/>
      <c r="C278"/>
      <c r="D278"/>
      <c r="E278"/>
      <c r="F278"/>
      <c r="G278"/>
      <c r="H278"/>
      <c r="I278"/>
      <c r="J278"/>
      <c r="K278"/>
      <c r="L278"/>
      <c r="M278"/>
      <c r="N278"/>
      <c r="O278"/>
      <c r="P278"/>
    </row>
    <row r="279" spans="1:16" ht="16.5" x14ac:dyDescent="0.3">
      <c r="A279"/>
      <c r="B279"/>
      <c r="C279"/>
      <c r="D279"/>
      <c r="E279"/>
      <c r="F279"/>
      <c r="G279"/>
      <c r="H279"/>
      <c r="I279"/>
      <c r="J279"/>
      <c r="K279"/>
      <c r="L279"/>
      <c r="M279"/>
      <c r="N279"/>
      <c r="O279"/>
      <c r="P279"/>
    </row>
    <row r="280" spans="1:16" ht="16.5" x14ac:dyDescent="0.3">
      <c r="A280"/>
      <c r="B280"/>
      <c r="C280"/>
      <c r="D280"/>
      <c r="E280"/>
      <c r="F280"/>
      <c r="G280"/>
      <c r="H280"/>
      <c r="I280"/>
      <c r="J280"/>
      <c r="K280"/>
      <c r="L280"/>
      <c r="M280"/>
      <c r="N280"/>
      <c r="O280"/>
      <c r="P280"/>
    </row>
    <row r="281" spans="1:16" ht="16.5" x14ac:dyDescent="0.3">
      <c r="A281"/>
      <c r="B281"/>
      <c r="C281"/>
      <c r="D281"/>
      <c r="E281"/>
      <c r="F281"/>
      <c r="G281"/>
      <c r="H281"/>
      <c r="I281"/>
      <c r="J281"/>
      <c r="K281"/>
      <c r="L281"/>
      <c r="M281"/>
      <c r="N281"/>
      <c r="O281"/>
      <c r="P281"/>
    </row>
    <row r="282" spans="1:16" ht="16.5" x14ac:dyDescent="0.3">
      <c r="A282"/>
      <c r="B282"/>
      <c r="C282"/>
      <c r="D282"/>
      <c r="E282"/>
      <c r="F282"/>
      <c r="G282"/>
      <c r="H282"/>
      <c r="I282"/>
      <c r="J282"/>
      <c r="K282"/>
      <c r="L282"/>
      <c r="M282"/>
      <c r="N282"/>
      <c r="O282"/>
      <c r="P282"/>
    </row>
    <row r="283" spans="1:16" ht="16.5" x14ac:dyDescent="0.3">
      <c r="A283"/>
      <c r="B283"/>
      <c r="C283"/>
      <c r="D283"/>
      <c r="E283"/>
      <c r="F283"/>
      <c r="G283"/>
      <c r="H283"/>
      <c r="I283"/>
      <c r="J283"/>
      <c r="K283"/>
      <c r="L283"/>
      <c r="M283"/>
      <c r="N283"/>
      <c r="O283"/>
      <c r="P283"/>
    </row>
    <row r="284" spans="1:16" ht="16.5" x14ac:dyDescent="0.3">
      <c r="A284"/>
      <c r="B284"/>
      <c r="C284"/>
      <c r="D284"/>
      <c r="E284"/>
      <c r="F284"/>
      <c r="G284"/>
      <c r="H284"/>
      <c r="I284"/>
      <c r="J284"/>
      <c r="K284"/>
      <c r="L284"/>
      <c r="M284"/>
      <c r="N284"/>
      <c r="O284"/>
      <c r="P284"/>
    </row>
    <row r="285" spans="1:16" ht="16.5" x14ac:dyDescent="0.3">
      <c r="A285"/>
      <c r="B285"/>
      <c r="C285"/>
      <c r="D285"/>
      <c r="E285"/>
      <c r="F285"/>
      <c r="G285"/>
      <c r="H285"/>
      <c r="I285"/>
      <c r="J285"/>
      <c r="K285"/>
      <c r="L285"/>
      <c r="M285"/>
      <c r="N285"/>
      <c r="O285"/>
      <c r="P285"/>
    </row>
    <row r="286" spans="1:16" ht="16.5" x14ac:dyDescent="0.3">
      <c r="A286"/>
      <c r="B286"/>
      <c r="C286"/>
      <c r="D286"/>
      <c r="E286"/>
      <c r="F286"/>
      <c r="G286"/>
      <c r="H286"/>
      <c r="I286"/>
      <c r="J286"/>
      <c r="K286"/>
      <c r="L286"/>
      <c r="M286"/>
      <c r="N286"/>
      <c r="O286"/>
      <c r="P286"/>
    </row>
    <row r="287" spans="1:16" ht="16.5" x14ac:dyDescent="0.3">
      <c r="A287"/>
      <c r="B287"/>
      <c r="C287"/>
      <c r="D287"/>
      <c r="E287"/>
      <c r="F287"/>
      <c r="G287"/>
      <c r="H287"/>
      <c r="I287"/>
      <c r="J287"/>
      <c r="K287"/>
      <c r="L287"/>
      <c r="M287"/>
      <c r="N287"/>
      <c r="O287"/>
      <c r="P287"/>
    </row>
    <row r="288" spans="1:16" ht="16.5" x14ac:dyDescent="0.3">
      <c r="A288"/>
      <c r="B288"/>
      <c r="C288"/>
      <c r="D288"/>
      <c r="E288"/>
      <c r="F288"/>
      <c r="G288"/>
      <c r="H288"/>
      <c r="I288"/>
      <c r="J288"/>
      <c r="K288"/>
      <c r="L288"/>
      <c r="M288"/>
      <c r="N288"/>
      <c r="O288"/>
      <c r="P288"/>
    </row>
    <row r="289" spans="1:16" ht="16.5" x14ac:dyDescent="0.3">
      <c r="A289"/>
      <c r="B289"/>
      <c r="C289"/>
      <c r="D289"/>
      <c r="E289"/>
      <c r="F289"/>
      <c r="G289"/>
      <c r="H289"/>
      <c r="I289"/>
      <c r="J289"/>
      <c r="K289"/>
      <c r="L289"/>
      <c r="M289"/>
      <c r="N289"/>
      <c r="O289"/>
      <c r="P289"/>
    </row>
    <row r="290" spans="1:16" ht="16.5" x14ac:dyDescent="0.3">
      <c r="A290"/>
      <c r="B290"/>
      <c r="C290"/>
      <c r="D290"/>
      <c r="E290"/>
      <c r="F290"/>
      <c r="G290"/>
      <c r="H290"/>
      <c r="I290"/>
      <c r="J290"/>
      <c r="K290"/>
      <c r="L290"/>
      <c r="M290"/>
      <c r="N290"/>
      <c r="O290"/>
      <c r="P290"/>
    </row>
    <row r="291" spans="1:16" ht="16.5" x14ac:dyDescent="0.3">
      <c r="A291"/>
      <c r="B291"/>
      <c r="C291"/>
      <c r="D291"/>
      <c r="E291"/>
      <c r="F291"/>
      <c r="G291"/>
      <c r="H291"/>
      <c r="I291"/>
      <c r="J291"/>
      <c r="K291"/>
      <c r="L291"/>
      <c r="M291"/>
      <c r="N291"/>
      <c r="O291"/>
      <c r="P291"/>
    </row>
    <row r="292" spans="1:16" ht="16.5" x14ac:dyDescent="0.3">
      <c r="A292"/>
      <c r="B292"/>
      <c r="C292"/>
      <c r="D292"/>
      <c r="E292"/>
      <c r="F292"/>
      <c r="G292"/>
      <c r="H292"/>
      <c r="I292"/>
      <c r="J292"/>
      <c r="K292"/>
      <c r="L292"/>
      <c r="M292"/>
      <c r="N292"/>
      <c r="O292"/>
      <c r="P292"/>
    </row>
    <row r="293" spans="1:16" ht="16.5" x14ac:dyDescent="0.3">
      <c r="A293"/>
      <c r="B293"/>
      <c r="C293"/>
      <c r="D293"/>
      <c r="E293"/>
      <c r="F293"/>
      <c r="G293"/>
      <c r="H293"/>
      <c r="I293"/>
      <c r="J293"/>
      <c r="K293"/>
      <c r="L293"/>
      <c r="M293"/>
      <c r="N293"/>
      <c r="O293"/>
      <c r="P293"/>
    </row>
    <row r="294" spans="1:16" ht="16.5" x14ac:dyDescent="0.3">
      <c r="A294"/>
      <c r="B294"/>
      <c r="C294"/>
      <c r="D294"/>
      <c r="E294"/>
      <c r="F294"/>
      <c r="G294"/>
      <c r="H294"/>
      <c r="I294"/>
      <c r="J294"/>
      <c r="K294"/>
      <c r="L294"/>
      <c r="M294"/>
      <c r="N294"/>
      <c r="O294"/>
      <c r="P294"/>
    </row>
    <row r="295" spans="1:16" ht="16.5" x14ac:dyDescent="0.3">
      <c r="A295"/>
      <c r="B295"/>
      <c r="C295"/>
      <c r="D295"/>
      <c r="E295"/>
      <c r="F295"/>
      <c r="G295"/>
      <c r="H295"/>
      <c r="I295"/>
      <c r="J295"/>
      <c r="K295"/>
      <c r="L295"/>
      <c r="M295"/>
      <c r="N295"/>
      <c r="O295"/>
      <c r="P295"/>
    </row>
    <row r="296" spans="1:16" ht="16.5" x14ac:dyDescent="0.3">
      <c r="A296"/>
      <c r="B296"/>
      <c r="C296"/>
      <c r="D296"/>
      <c r="E296"/>
      <c r="F296"/>
      <c r="G296"/>
      <c r="H296"/>
      <c r="I296"/>
      <c r="J296"/>
      <c r="K296"/>
      <c r="L296"/>
      <c r="M296"/>
      <c r="N296"/>
      <c r="O296"/>
      <c r="P296"/>
    </row>
    <row r="297" spans="1:16" ht="16.5" x14ac:dyDescent="0.3">
      <c r="A297"/>
      <c r="B297"/>
      <c r="C297"/>
      <c r="D297"/>
      <c r="E297"/>
      <c r="F297"/>
      <c r="G297"/>
      <c r="H297"/>
      <c r="I297"/>
      <c r="J297"/>
      <c r="K297"/>
      <c r="L297"/>
      <c r="M297"/>
      <c r="N297"/>
      <c r="O297"/>
      <c r="P297"/>
    </row>
    <row r="298" spans="1:16" ht="16.5" x14ac:dyDescent="0.3">
      <c r="A298"/>
      <c r="B298"/>
      <c r="C298"/>
      <c r="D298"/>
      <c r="E298"/>
      <c r="F298"/>
      <c r="G298"/>
      <c r="H298"/>
      <c r="I298"/>
      <c r="J298"/>
      <c r="K298"/>
      <c r="L298"/>
      <c r="M298"/>
      <c r="N298"/>
      <c r="O298"/>
      <c r="P298"/>
    </row>
    <row r="299" spans="1:16" ht="16.5" x14ac:dyDescent="0.3">
      <c r="A299"/>
      <c r="B299"/>
      <c r="C299"/>
      <c r="D299"/>
      <c r="E299"/>
      <c r="F299"/>
      <c r="G299"/>
      <c r="H299"/>
      <c r="I299"/>
      <c r="J299"/>
      <c r="K299"/>
      <c r="L299"/>
      <c r="M299"/>
      <c r="N299"/>
      <c r="O299"/>
      <c r="P299"/>
    </row>
    <row r="300" spans="1:16" ht="16.5" x14ac:dyDescent="0.3">
      <c r="A300"/>
      <c r="B300"/>
      <c r="C300"/>
      <c r="D300"/>
      <c r="E300"/>
      <c r="F300"/>
      <c r="G300"/>
      <c r="H300"/>
      <c r="I300"/>
      <c r="J300"/>
      <c r="K300"/>
      <c r="L300"/>
      <c r="M300"/>
      <c r="N300"/>
      <c r="O300"/>
      <c r="P300"/>
    </row>
    <row r="301" spans="1:16" ht="16.5" x14ac:dyDescent="0.3">
      <c r="A301"/>
      <c r="B301"/>
      <c r="C301"/>
      <c r="D301"/>
      <c r="E301"/>
      <c r="F301"/>
      <c r="G301"/>
      <c r="H301"/>
      <c r="I301"/>
      <c r="J301"/>
      <c r="K301"/>
      <c r="L301"/>
      <c r="M301"/>
      <c r="N301"/>
      <c r="O301"/>
      <c r="P301"/>
    </row>
    <row r="302" spans="1:16" ht="16.5" x14ac:dyDescent="0.3">
      <c r="A302"/>
      <c r="B302"/>
      <c r="C302"/>
      <c r="D302"/>
      <c r="E302"/>
      <c r="F302"/>
      <c r="G302"/>
      <c r="H302"/>
      <c r="I302"/>
      <c r="J302"/>
      <c r="K302"/>
      <c r="L302"/>
      <c r="M302"/>
      <c r="N302"/>
      <c r="O302"/>
      <c r="P302"/>
    </row>
    <row r="303" spans="1:16" ht="16.5" x14ac:dyDescent="0.3">
      <c r="A303"/>
      <c r="B303"/>
      <c r="C303"/>
      <c r="D303"/>
      <c r="E303"/>
      <c r="F303"/>
      <c r="G303"/>
      <c r="H303"/>
      <c r="I303"/>
      <c r="J303"/>
      <c r="K303"/>
      <c r="L303"/>
      <c r="M303"/>
      <c r="N303"/>
      <c r="O303"/>
      <c r="P303"/>
    </row>
    <row r="304" spans="1:16" ht="16.5" x14ac:dyDescent="0.3">
      <c r="A304"/>
      <c r="B304"/>
      <c r="C304"/>
      <c r="D304"/>
      <c r="E304"/>
      <c r="F304"/>
      <c r="G304"/>
      <c r="H304"/>
      <c r="I304"/>
      <c r="J304"/>
      <c r="K304"/>
      <c r="L304"/>
      <c r="M304"/>
      <c r="N304"/>
      <c r="O304"/>
      <c r="P304"/>
    </row>
    <row r="305" spans="1:16" ht="16.5" x14ac:dyDescent="0.3">
      <c r="A305"/>
      <c r="B305"/>
      <c r="C305"/>
      <c r="D305"/>
      <c r="E305"/>
      <c r="F305"/>
      <c r="G305"/>
      <c r="H305"/>
      <c r="I305"/>
      <c r="J305"/>
      <c r="K305"/>
      <c r="L305"/>
      <c r="M305"/>
      <c r="N305"/>
      <c r="O305"/>
      <c r="P305"/>
    </row>
    <row r="306" spans="1:16" ht="16.5" x14ac:dyDescent="0.3">
      <c r="A306"/>
      <c r="B306"/>
      <c r="C306"/>
      <c r="D306"/>
      <c r="E306"/>
      <c r="F306"/>
      <c r="G306"/>
      <c r="H306"/>
      <c r="I306"/>
      <c r="J306"/>
      <c r="K306"/>
      <c r="L306"/>
      <c r="M306"/>
      <c r="N306"/>
      <c r="O306"/>
      <c r="P306"/>
    </row>
    <row r="307" spans="1:16" ht="16.5" x14ac:dyDescent="0.3">
      <c r="A307"/>
      <c r="B307"/>
      <c r="C307"/>
      <c r="D307"/>
      <c r="E307"/>
      <c r="F307"/>
      <c r="G307"/>
      <c r="H307"/>
      <c r="I307"/>
      <c r="J307"/>
      <c r="K307"/>
      <c r="L307"/>
      <c r="M307"/>
      <c r="N307"/>
      <c r="O307"/>
      <c r="P307"/>
    </row>
    <row r="308" spans="1:16" ht="16.5" x14ac:dyDescent="0.3">
      <c r="A308"/>
      <c r="B308"/>
      <c r="C308"/>
      <c r="D308"/>
      <c r="E308"/>
      <c r="F308"/>
      <c r="G308"/>
      <c r="H308"/>
      <c r="I308"/>
      <c r="J308"/>
      <c r="K308"/>
      <c r="L308"/>
      <c r="M308"/>
      <c r="N308"/>
      <c r="O308"/>
      <c r="P308"/>
    </row>
    <row r="309" spans="1:16" ht="16.5" x14ac:dyDescent="0.3">
      <c r="A309"/>
      <c r="B309"/>
      <c r="C309"/>
      <c r="D309"/>
      <c r="E309"/>
      <c r="F309"/>
      <c r="G309"/>
      <c r="H309"/>
      <c r="I309"/>
      <c r="J309"/>
      <c r="K309"/>
      <c r="L309"/>
      <c r="M309"/>
      <c r="N309"/>
      <c r="O309"/>
      <c r="P309"/>
    </row>
    <row r="310" spans="1:16" ht="16.5" x14ac:dyDescent="0.3">
      <c r="A310"/>
      <c r="B310"/>
      <c r="C310"/>
      <c r="D310"/>
      <c r="E310"/>
      <c r="F310"/>
      <c r="G310"/>
      <c r="H310"/>
      <c r="I310"/>
      <c r="J310"/>
      <c r="K310"/>
      <c r="L310"/>
      <c r="M310"/>
      <c r="N310"/>
      <c r="O310"/>
      <c r="P310"/>
    </row>
    <row r="311" spans="1:16" ht="16.5" x14ac:dyDescent="0.3">
      <c r="A311"/>
      <c r="B311"/>
      <c r="C311"/>
      <c r="D311"/>
      <c r="E311"/>
      <c r="F311"/>
      <c r="G311"/>
      <c r="H311"/>
      <c r="I311"/>
      <c r="J311"/>
      <c r="K311"/>
      <c r="L311"/>
      <c r="M311"/>
      <c r="N311"/>
      <c r="O311"/>
      <c r="P311"/>
    </row>
    <row r="312" spans="1:16" ht="16.5" x14ac:dyDescent="0.3">
      <c r="A312"/>
      <c r="B312"/>
      <c r="C312"/>
      <c r="D312"/>
      <c r="E312"/>
      <c r="F312"/>
      <c r="G312"/>
      <c r="H312"/>
      <c r="I312"/>
      <c r="J312"/>
      <c r="K312"/>
      <c r="L312"/>
      <c r="M312"/>
      <c r="N312"/>
      <c r="O312"/>
      <c r="P312"/>
    </row>
    <row r="313" spans="1:16" ht="16.5" x14ac:dyDescent="0.3">
      <c r="A313"/>
      <c r="B313"/>
      <c r="C313"/>
      <c r="D313"/>
      <c r="E313"/>
      <c r="F313"/>
      <c r="G313"/>
      <c r="H313"/>
      <c r="I313"/>
      <c r="J313"/>
      <c r="K313"/>
      <c r="L313"/>
      <c r="M313"/>
      <c r="N313"/>
      <c r="O313"/>
      <c r="P313"/>
    </row>
    <row r="314" spans="1:16" ht="16.5" x14ac:dyDescent="0.3">
      <c r="A314"/>
      <c r="B314"/>
      <c r="C314"/>
      <c r="D314"/>
      <c r="E314"/>
      <c r="F314"/>
      <c r="G314"/>
      <c r="H314"/>
      <c r="I314"/>
      <c r="J314"/>
      <c r="K314"/>
      <c r="L314"/>
      <c r="M314"/>
      <c r="N314"/>
      <c r="O314"/>
      <c r="P314"/>
    </row>
    <row r="315" spans="1:16" ht="16.5" x14ac:dyDescent="0.3">
      <c r="A315"/>
      <c r="B315"/>
      <c r="C315"/>
      <c r="D315"/>
      <c r="E315"/>
      <c r="F315"/>
      <c r="G315"/>
      <c r="H315"/>
      <c r="I315"/>
      <c r="J315"/>
      <c r="K315"/>
      <c r="L315"/>
      <c r="M315"/>
      <c r="N315"/>
      <c r="O315"/>
      <c r="P315"/>
    </row>
  </sheetData>
  <mergeCells count="3">
    <mergeCell ref="C1:V1"/>
    <mergeCell ref="C2:V2"/>
    <mergeCell ref="G4:W4"/>
  </mergeCells>
  <hyperlinks>
    <hyperlink ref="A6" location="Home!A1" display="Home" xr:uid="{00000000-0004-0000-1000-000000000000}"/>
    <hyperlink ref="A8" location="Setup!A1" display="Model set up" xr:uid="{00000000-0004-0000-1000-000001000000}"/>
    <hyperlink ref="A10" location="Population!A1" display="Population" xr:uid="{00000000-0004-0000-1000-000002000000}"/>
  </hyperlinks>
  <pageMargins left="0.7" right="0.7" top="0.75" bottom="0.75" header="0.3" footer="0.3"/>
  <pageSetup paperSize="9" orientation="portrait" horizontalDpi="4294967293" verticalDpi="300"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CA45749B-398C-45CC-9B43-756657EDD429}">
            <xm:f>NOT(ISERROR(SEARCH($C$4,A6)))</xm:f>
            <xm:f>$C$4</xm:f>
            <x14:dxf>
              <font>
                <b val="0"/>
                <i val="0"/>
                <strike val="0"/>
                <color theme="0"/>
              </font>
              <fill>
                <patternFill>
                  <bgColor theme="5"/>
                </patternFill>
              </fill>
            </x14:dxf>
          </x14:cfRule>
          <xm:sqref>A6:A11 A17:A25</xm:sqref>
        </x14:conditionalFormatting>
        <x14:conditionalFormatting xmlns:xm="http://schemas.microsoft.com/office/excel/2006/main">
          <x14:cfRule type="containsText" priority="1" operator="containsText" id="{6F340989-BBB1-485C-A43D-615C7934E9A5}">
            <xm:f>NOT(ISERROR(SEARCH($C$4,A12)))</xm:f>
            <xm:f>$C$4</xm:f>
            <x14:dxf>
              <font>
                <b val="0"/>
                <i val="0"/>
                <strike val="0"/>
                <color theme="0"/>
              </font>
              <fill>
                <patternFill>
                  <bgColor theme="5"/>
                </patternFill>
              </fill>
            </x14:dxf>
          </x14:cfRule>
          <xm:sqref>A12:A16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C00000"/>
  </sheetPr>
  <dimension ref="A1:AU315"/>
  <sheetViews>
    <sheetView topLeftCell="C1" zoomScale="75" zoomScaleNormal="75" workbookViewId="0">
      <selection activeCell="P13" sqref="P13"/>
    </sheetView>
  </sheetViews>
  <sheetFormatPr defaultColWidth="8.625" defaultRowHeight="15" x14ac:dyDescent="0.3"/>
  <cols>
    <col min="1" max="1" width="21" style="1" customWidth="1"/>
    <col min="2" max="2" width="8.625" style="1"/>
    <col min="3" max="3" width="14.125" style="1" customWidth="1"/>
    <col min="4" max="4" width="6.875" style="1" bestFit="1" customWidth="1"/>
    <col min="5" max="7" width="15.875" style="1" customWidth="1"/>
    <col min="8" max="8" width="20.875" style="1" customWidth="1"/>
    <col min="9" max="11" width="15.875" style="1" customWidth="1"/>
    <col min="12" max="12" width="15.75" style="1" bestFit="1" customWidth="1"/>
    <col min="13" max="13" width="13.875" style="1" bestFit="1" customWidth="1"/>
    <col min="14" max="14" width="10.5" style="1" bestFit="1" customWidth="1"/>
    <col min="15" max="15" width="11" style="1" customWidth="1"/>
    <col min="16" max="16" width="13.875" style="1" bestFit="1" customWidth="1"/>
    <col min="17" max="17" width="15.75" style="1" bestFit="1" customWidth="1"/>
    <col min="18" max="18" width="13.875" style="1" bestFit="1" customWidth="1"/>
    <col min="19" max="19" width="8.625" style="1"/>
    <col min="20" max="20" width="12.75" style="1" bestFit="1" customWidth="1"/>
    <col min="21" max="21" width="14.5" style="1" bestFit="1" customWidth="1"/>
    <col min="22" max="22" width="15.75" style="1" bestFit="1" customWidth="1"/>
    <col min="23" max="23" width="12" style="1" bestFit="1" customWidth="1"/>
    <col min="24" max="24" width="14.5" style="1" bestFit="1" customWidth="1"/>
    <col min="25" max="27" width="8.625" style="1"/>
    <col min="28" max="28" width="15.75" style="1" bestFit="1" customWidth="1"/>
    <col min="29" max="29" width="14.5" style="1" bestFit="1" customWidth="1"/>
    <col min="30" max="30" width="12" style="1" bestFit="1" customWidth="1"/>
    <col min="31" max="31" width="10.5" style="1" customWidth="1"/>
    <col min="32" max="32" width="15.75" style="1" bestFit="1" customWidth="1"/>
    <col min="33" max="33" width="13.875" style="1" bestFit="1" customWidth="1"/>
    <col min="34" max="34" width="12.75" style="1" customWidth="1"/>
    <col min="35" max="39" width="8.625" style="1"/>
    <col min="40" max="40" width="9.5" style="1" bestFit="1" customWidth="1"/>
    <col min="41" max="41" width="12.75" style="1" customWidth="1"/>
    <col min="42" max="42" width="8.625" style="1"/>
    <col min="43" max="47" width="14.125" style="1" bestFit="1" customWidth="1"/>
    <col min="48" max="16384" width="8.625" style="1"/>
  </cols>
  <sheetData>
    <row r="1" spans="1:34"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147"/>
      <c r="W1" s="4"/>
      <c r="X1" s="4"/>
      <c r="Y1" s="4"/>
      <c r="Z1" s="4"/>
      <c r="AA1" s="4"/>
    </row>
    <row r="2" spans="1:34"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148"/>
      <c r="W2" s="6"/>
      <c r="X2" s="6"/>
      <c r="Y2" s="6"/>
      <c r="Z2" s="6"/>
      <c r="AA2" s="6"/>
    </row>
    <row r="3" spans="1:34" ht="17.25" thickTop="1" x14ac:dyDescent="0.3">
      <c r="A3" s="2"/>
      <c r="B3" s="44"/>
      <c r="C3" s="44"/>
      <c r="D3" s="44"/>
      <c r="E3" s="44"/>
      <c r="F3" s="44"/>
      <c r="G3" s="44"/>
      <c r="H3" s="44"/>
      <c r="I3" s="44"/>
      <c r="J3" s="44"/>
      <c r="K3" s="44"/>
      <c r="L3" s="44"/>
      <c r="M3" s="44"/>
      <c r="N3" s="44"/>
      <c r="O3" s="44"/>
      <c r="P3" s="44"/>
      <c r="Q3" s="44"/>
      <c r="R3" s="44"/>
      <c r="S3" s="44"/>
      <c r="T3" s="44"/>
      <c r="U3" s="44"/>
      <c r="V3" s="44"/>
      <c r="W3" s="44"/>
      <c r="X3" s="44"/>
      <c r="Y3" s="44"/>
      <c r="Z3" s="44"/>
      <c r="AA3" s="44"/>
    </row>
    <row r="4" spans="1:34" ht="21" customHeight="1" x14ac:dyDescent="0.3">
      <c r="A4" s="7" t="s">
        <v>0</v>
      </c>
      <c r="B4" s="8"/>
      <c r="C4" s="10" t="s">
        <v>81</v>
      </c>
      <c r="D4" s="10"/>
      <c r="E4" s="10"/>
      <c r="F4" s="10"/>
      <c r="G4" s="145" t="s">
        <v>82</v>
      </c>
      <c r="H4" s="145"/>
      <c r="I4" s="145"/>
      <c r="J4" s="145"/>
      <c r="K4" s="145"/>
      <c r="L4" s="145"/>
      <c r="M4" s="145"/>
      <c r="N4" s="145"/>
      <c r="O4" s="145"/>
      <c r="P4" s="145"/>
      <c r="Q4" s="145"/>
      <c r="R4" s="145"/>
      <c r="S4" s="145"/>
      <c r="T4" s="145"/>
      <c r="U4" s="145"/>
      <c r="V4" s="145"/>
      <c r="W4" s="145"/>
      <c r="X4" s="8"/>
      <c r="Y4" s="8"/>
      <c r="Z4" s="8"/>
      <c r="AA4" s="8"/>
    </row>
    <row r="5" spans="1:34" ht="17.25" thickBot="1" x14ac:dyDescent="0.35">
      <c r="A5" s="2"/>
      <c r="B5" s="44"/>
      <c r="C5" s="44"/>
      <c r="D5" s="44"/>
      <c r="E5" s="44"/>
      <c r="F5" s="44"/>
      <c r="G5" s="44"/>
      <c r="H5" s="44"/>
      <c r="I5" s="44"/>
      <c r="J5" s="44"/>
      <c r="K5" s="44"/>
      <c r="L5" s="44"/>
      <c r="M5" s="44"/>
      <c r="N5" s="44"/>
      <c r="O5" s="44"/>
      <c r="P5" s="44"/>
      <c r="Q5" s="44"/>
      <c r="R5" s="44"/>
      <c r="S5" s="44"/>
      <c r="T5" s="44"/>
      <c r="U5" s="44"/>
      <c r="V5" s="44"/>
      <c r="W5" s="44"/>
      <c r="X5" s="44"/>
      <c r="Y5" s="44"/>
      <c r="Z5" s="44"/>
      <c r="AA5" s="44"/>
    </row>
    <row r="6" spans="1:34" ht="18" thickTop="1" thickBot="1" x14ac:dyDescent="0.35">
      <c r="A6" s="45" t="s">
        <v>1</v>
      </c>
      <c r="C6" s="12" t="s">
        <v>289</v>
      </c>
      <c r="D6" s="16">
        <v>1</v>
      </c>
      <c r="E6" s="44"/>
      <c r="F6" s="44"/>
      <c r="G6" s="44"/>
      <c r="H6" s="44"/>
      <c r="I6" s="44" t="s">
        <v>292</v>
      </c>
      <c r="J6"/>
      <c r="K6" s="44"/>
      <c r="L6" s="44"/>
      <c r="M6" s="44"/>
      <c r="U6" s="12" t="s">
        <v>289</v>
      </c>
      <c r="V6" s="16">
        <v>90</v>
      </c>
      <c r="W6" s="44"/>
      <c r="X6" s="44" t="s">
        <v>304</v>
      </c>
      <c r="Y6" s="44"/>
      <c r="Z6" s="44"/>
      <c r="AA6" s="44"/>
      <c r="AB6" s="44"/>
    </row>
    <row r="7" spans="1:34" ht="18" thickTop="1" thickBot="1" x14ac:dyDescent="0.35">
      <c r="A7" s="2"/>
      <c r="C7" s="44"/>
      <c r="D7" s="44"/>
      <c r="E7" s="44"/>
      <c r="F7" s="44"/>
      <c r="G7" s="44"/>
      <c r="H7" s="44" t="s">
        <v>263</v>
      </c>
      <c r="I7" s="44"/>
      <c r="J7" s="44"/>
      <c r="K7" s="44"/>
      <c r="L7" s="44"/>
      <c r="M7" s="44"/>
      <c r="N7" s="44"/>
      <c r="O7" s="44"/>
      <c r="U7" s="44"/>
      <c r="V7" s="44"/>
      <c r="W7" s="44" t="s">
        <v>263</v>
      </c>
      <c r="X7" s="44"/>
      <c r="Y7" s="44"/>
      <c r="Z7" s="44"/>
      <c r="AA7" s="44"/>
      <c r="AB7" s="44"/>
      <c r="AC7" s="44"/>
      <c r="AD7" s="44"/>
    </row>
    <row r="8" spans="1:34" ht="18" thickTop="1" thickBot="1" x14ac:dyDescent="0.35">
      <c r="A8" s="45" t="s">
        <v>12</v>
      </c>
      <c r="C8" s="44"/>
      <c r="D8" s="44"/>
      <c r="E8" s="44"/>
      <c r="F8" s="44"/>
      <c r="G8" s="44"/>
      <c r="H8" s="44" t="s">
        <v>166</v>
      </c>
      <c r="I8" s="44" t="s">
        <v>181</v>
      </c>
      <c r="J8" s="44" t="s">
        <v>182</v>
      </c>
      <c r="K8" s="44" t="s">
        <v>272</v>
      </c>
      <c r="L8" s="1" t="s">
        <v>281</v>
      </c>
      <c r="M8" s="1" t="s">
        <v>282</v>
      </c>
      <c r="N8" s="44" t="s">
        <v>183</v>
      </c>
      <c r="O8" s="44" t="s">
        <v>1</v>
      </c>
      <c r="P8" s="44" t="s">
        <v>184</v>
      </c>
      <c r="Q8" s="44" t="s">
        <v>186</v>
      </c>
      <c r="R8" s="44" t="s">
        <v>187</v>
      </c>
      <c r="S8" s="44" t="s">
        <v>185</v>
      </c>
      <c r="T8" s="44"/>
      <c r="U8" s="44"/>
      <c r="V8" s="44"/>
      <c r="W8" s="44" t="s">
        <v>166</v>
      </c>
      <c r="X8" s="44" t="s">
        <v>181</v>
      </c>
      <c r="Y8" s="44" t="s">
        <v>182</v>
      </c>
      <c r="Z8" s="44" t="s">
        <v>272</v>
      </c>
      <c r="AA8" s="1" t="s">
        <v>281</v>
      </c>
      <c r="AB8" s="1" t="s">
        <v>282</v>
      </c>
      <c r="AC8" s="44" t="s">
        <v>183</v>
      </c>
      <c r="AD8" s="44" t="s">
        <v>1</v>
      </c>
      <c r="AE8" s="44" t="s">
        <v>184</v>
      </c>
      <c r="AF8" s="44" t="s">
        <v>186</v>
      </c>
      <c r="AG8" s="44" t="s">
        <v>187</v>
      </c>
      <c r="AH8" s="44" t="s">
        <v>185</v>
      </c>
    </row>
    <row r="9" spans="1:34" ht="18" thickTop="1" thickBot="1" x14ac:dyDescent="0.35">
      <c r="A9" s="2"/>
      <c r="C9" s="44" t="s">
        <v>310</v>
      </c>
      <c r="D9" s="16">
        <f>i_Pop_Obes/100</f>
        <v>0.35</v>
      </c>
      <c r="E9" s="44"/>
      <c r="F9" s="44" t="s">
        <v>264</v>
      </c>
      <c r="G9" s="44" t="s">
        <v>166</v>
      </c>
      <c r="H9" s="14">
        <v>0</v>
      </c>
      <c r="I9" s="14">
        <f t="shared" ref="I9:P9" si="0">((1-EXP(-((-LN(1-i_Eve_Reop/100))/365.25)*1)))</f>
        <v>1.4042352610710296E-4</v>
      </c>
      <c r="J9" s="14">
        <f t="shared" si="0"/>
        <v>1.4042352610710296E-4</v>
      </c>
      <c r="K9" s="14">
        <f t="shared" si="0"/>
        <v>1.4042352610710296E-4</v>
      </c>
      <c r="L9" s="14">
        <f t="shared" si="0"/>
        <v>1.4042352610710296E-4</v>
      </c>
      <c r="M9" s="14">
        <f t="shared" si="0"/>
        <v>1.4042352610710296E-4</v>
      </c>
      <c r="N9" s="14">
        <f t="shared" si="0"/>
        <v>1.4042352610710296E-4</v>
      </c>
      <c r="O9" s="14">
        <f t="shared" si="0"/>
        <v>1.4042352610710296E-4</v>
      </c>
      <c r="P9" s="14">
        <f t="shared" si="0"/>
        <v>1.4042352610710296E-4</v>
      </c>
      <c r="Q9" s="14">
        <v>0</v>
      </c>
      <c r="R9" s="14">
        <v>0</v>
      </c>
      <c r="S9" s="14">
        <v>0</v>
      </c>
      <c r="U9" s="44" t="s">
        <v>264</v>
      </c>
      <c r="V9" s="44" t="s">
        <v>166</v>
      </c>
      <c r="W9" s="14">
        <v>0</v>
      </c>
      <c r="X9" s="14">
        <v>0</v>
      </c>
      <c r="Y9" s="14">
        <v>0</v>
      </c>
      <c r="Z9" s="14">
        <v>0</v>
      </c>
      <c r="AA9" s="14">
        <v>0</v>
      </c>
      <c r="AB9" s="14">
        <v>0</v>
      </c>
      <c r="AC9" s="14">
        <v>0</v>
      </c>
      <c r="AD9" s="14">
        <v>0</v>
      </c>
      <c r="AE9" s="14">
        <v>0</v>
      </c>
      <c r="AF9" s="14">
        <v>0</v>
      </c>
      <c r="AG9" s="14">
        <v>0</v>
      </c>
      <c r="AH9" s="14">
        <v>0</v>
      </c>
    </row>
    <row r="10" spans="1:34" ht="18" thickTop="1" thickBot="1" x14ac:dyDescent="0.35">
      <c r="A10" s="45" t="s">
        <v>13</v>
      </c>
      <c r="C10" s="44" t="s">
        <v>311</v>
      </c>
      <c r="D10" s="16">
        <f>i_Pop_Morb/100</f>
        <v>0.06</v>
      </c>
      <c r="E10" s="44" t="s">
        <v>16</v>
      </c>
      <c r="F10" s="44"/>
      <c r="G10" s="44" t="s">
        <v>181</v>
      </c>
      <c r="H10" s="14">
        <f>1-H11-H20</f>
        <v>0.88381554155006925</v>
      </c>
      <c r="I10" s="14">
        <f ca="1">1-I9-I12-I20-I13-I14</f>
        <v>5.9990747824186013E-3</v>
      </c>
      <c r="J10" s="14">
        <v>0</v>
      </c>
      <c r="K10" s="14">
        <v>0</v>
      </c>
      <c r="L10" s="14">
        <v>0</v>
      </c>
      <c r="M10" s="14">
        <v>0</v>
      </c>
      <c r="N10" s="14">
        <v>0</v>
      </c>
      <c r="O10" s="14">
        <v>0</v>
      </c>
      <c r="P10" s="14">
        <v>0</v>
      </c>
      <c r="Q10" s="14">
        <v>0</v>
      </c>
      <c r="R10" s="14">
        <v>0</v>
      </c>
      <c r="S10" s="14">
        <v>0</v>
      </c>
      <c r="U10" s="44"/>
      <c r="V10" s="44" t="s">
        <v>181</v>
      </c>
      <c r="W10" s="14">
        <v>0</v>
      </c>
      <c r="X10" s="14">
        <v>0</v>
      </c>
      <c r="Y10" s="14">
        <v>0</v>
      </c>
      <c r="Z10" s="14">
        <v>0</v>
      </c>
      <c r="AA10" s="14">
        <v>0</v>
      </c>
      <c r="AB10" s="14">
        <v>0</v>
      </c>
      <c r="AC10" s="14">
        <v>0</v>
      </c>
      <c r="AD10" s="14">
        <v>0</v>
      </c>
      <c r="AE10" s="14">
        <v>0</v>
      </c>
      <c r="AF10" s="14">
        <v>0</v>
      </c>
      <c r="AG10" s="14">
        <v>0</v>
      </c>
      <c r="AH10" s="14">
        <v>0</v>
      </c>
    </row>
    <row r="11" spans="1:34" ht="18" thickTop="1" thickBot="1" x14ac:dyDescent="0.35">
      <c r="A11" s="2"/>
      <c r="C11" s="44" t="s">
        <v>314</v>
      </c>
      <c r="D11" s="16">
        <f>IF(i_Ris_Risk="Obese",D9+D10,D10)</f>
        <v>0.06</v>
      </c>
      <c r="E11" s="44" t="s">
        <v>16</v>
      </c>
      <c r="F11" s="44"/>
      <c r="G11" s="44" t="s">
        <v>182</v>
      </c>
      <c r="H11" s="14">
        <f>(i_Eve_Prol/100*(1-$D$11))+((i_Ris_Prol/((1/(i_Eve_Prol/100))-1+i_Ris_Prol))*$D$11)</f>
        <v>0.1098525526740797</v>
      </c>
      <c r="I11" s="14">
        <v>0</v>
      </c>
      <c r="J11" s="14">
        <f ca="1">1-J9-J12-J20-J13-J14</f>
        <v>0.61242010354419973</v>
      </c>
      <c r="K11" s="14">
        <v>0</v>
      </c>
      <c r="L11" s="14">
        <v>0</v>
      </c>
      <c r="M11" s="14">
        <v>0</v>
      </c>
      <c r="N11" s="14">
        <v>0</v>
      </c>
      <c r="O11" s="14">
        <v>0</v>
      </c>
      <c r="P11" s="14">
        <v>0</v>
      </c>
      <c r="Q11" s="14">
        <v>0</v>
      </c>
      <c r="R11" s="14">
        <v>0</v>
      </c>
      <c r="S11" s="14">
        <v>0</v>
      </c>
      <c r="U11" s="44"/>
      <c r="V11" s="44" t="s">
        <v>182</v>
      </c>
      <c r="W11" s="14">
        <v>0</v>
      </c>
      <c r="X11" s="14">
        <v>0</v>
      </c>
      <c r="Y11" s="14">
        <v>0</v>
      </c>
      <c r="Z11" s="14">
        <v>0</v>
      </c>
      <c r="AA11" s="14">
        <v>0</v>
      </c>
      <c r="AB11" s="14">
        <v>0</v>
      </c>
      <c r="AC11" s="14">
        <v>0</v>
      </c>
      <c r="AD11" s="14">
        <v>0</v>
      </c>
      <c r="AE11" s="14">
        <v>0</v>
      </c>
      <c r="AF11" s="14">
        <v>0</v>
      </c>
      <c r="AG11" s="14">
        <v>0</v>
      </c>
      <c r="AH11" s="14">
        <v>0</v>
      </c>
    </row>
    <row r="12" spans="1:34" ht="18" thickTop="1" thickBot="1" x14ac:dyDescent="0.35">
      <c r="A12" s="45" t="s">
        <v>22</v>
      </c>
      <c r="C12" s="139" t="s">
        <v>86</v>
      </c>
      <c r="D12" s="16">
        <f>IF(D13&gt;i_Pop_Diab/100,0,(i_Pop_Diab/100)-D13)</f>
        <v>0.41300000000000003</v>
      </c>
      <c r="E12" s="44" t="s">
        <v>16</v>
      </c>
      <c r="F12" s="44"/>
      <c r="G12" s="44" t="s">
        <v>272</v>
      </c>
      <c r="H12" s="14">
        <v>0</v>
      </c>
      <c r="I12" s="14">
        <f>((1-EXP(-(-LN(1-MIN(0.9,1/i_Eve_Time))/i_Eve_Time)*1)))</f>
        <v>0.99</v>
      </c>
      <c r="J12" s="14">
        <f>1-EXP(-(1/(MAX(0.01,LN(i_Bac_MV_days)))))</f>
        <v>0.38357897123821882</v>
      </c>
      <c r="K12" s="14">
        <f ca="1">1-K9-K15-K20-K13-K14</f>
        <v>4.360574144908539E-2</v>
      </c>
      <c r="L12" s="14">
        <f>(1-EXP(-(1/POWER(i_Cos_SSI,100/91.3))))/2</f>
        <v>2.8531848275821226E-2</v>
      </c>
      <c r="M12" s="14">
        <f>(1-EXP(-(1/POWER(i_Cos_DSWI,100/91.3))))/2</f>
        <v>1.5155541063384514E-2</v>
      </c>
      <c r="N12" s="14">
        <v>0</v>
      </c>
      <c r="O12" s="14">
        <v>0</v>
      </c>
      <c r="P12" s="14">
        <v>0</v>
      </c>
      <c r="Q12" s="14">
        <v>0</v>
      </c>
      <c r="R12" s="14">
        <v>0</v>
      </c>
      <c r="S12" s="14">
        <v>0</v>
      </c>
      <c r="U12" s="44"/>
      <c r="V12" s="44" t="s">
        <v>272</v>
      </c>
      <c r="W12" s="14">
        <f ca="1">1-W20-W14-W13</f>
        <v>0.99350603085068478</v>
      </c>
      <c r="X12" s="84">
        <f ca="1">1-X20-X13-X14</f>
        <v>0.82472308361277147</v>
      </c>
      <c r="Y12" s="14">
        <f ca="1">1-Y20-Y13-Y14</f>
        <v>0.82472308361277147</v>
      </c>
      <c r="Z12" s="14">
        <v>0</v>
      </c>
      <c r="AA12" s="14">
        <v>0</v>
      </c>
      <c r="AB12" s="14">
        <v>0</v>
      </c>
      <c r="AC12" s="14">
        <v>0</v>
      </c>
      <c r="AD12" s="14">
        <v>0</v>
      </c>
      <c r="AE12" s="14">
        <v>0</v>
      </c>
      <c r="AF12" s="14">
        <v>0</v>
      </c>
      <c r="AG12" s="14">
        <v>0</v>
      </c>
      <c r="AH12" s="14">
        <v>0</v>
      </c>
    </row>
    <row r="13" spans="1:34" ht="18" thickTop="1" thickBot="1" x14ac:dyDescent="0.35">
      <c r="A13" s="2"/>
      <c r="C13" s="32" t="s">
        <v>463</v>
      </c>
      <c r="D13" s="16">
        <f>(D11*(i_Bac_Obes/100))</f>
        <v>3.9E-2</v>
      </c>
      <c r="E13" s="44"/>
      <c r="F13" s="44"/>
      <c r="G13" s="1" t="s">
        <v>281</v>
      </c>
      <c r="H13" s="14">
        <v>0</v>
      </c>
      <c r="I13" s="14">
        <f ca="1">Calculations!$Q$32</f>
        <v>8.8285299135640544E-4</v>
      </c>
      <c r="J13" s="14">
        <f ca="1">Calculations!$Q$32</f>
        <v>8.8285299135640544E-4</v>
      </c>
      <c r="K13" s="14">
        <f ca="1">Calculations!$Q$32</f>
        <v>8.8285299135640544E-4</v>
      </c>
      <c r="L13" s="14">
        <f>1-L9-L15-L20-L12</f>
        <v>0.94061213117003439</v>
      </c>
      <c r="M13" s="14">
        <v>0</v>
      </c>
      <c r="N13" s="14">
        <f ca="1">Calculations!$Q$32</f>
        <v>8.8285299135640544E-4</v>
      </c>
      <c r="O13" s="14">
        <v>0</v>
      </c>
      <c r="P13" s="14">
        <v>0</v>
      </c>
      <c r="Q13" s="14">
        <v>0</v>
      </c>
      <c r="R13" s="14">
        <v>0</v>
      </c>
      <c r="S13" s="14">
        <v>0</v>
      </c>
      <c r="U13" s="44"/>
      <c r="V13" s="1" t="s">
        <v>281</v>
      </c>
      <c r="W13" s="14">
        <f ca="1">Calculations!$Q$35</f>
        <v>2.0760960414784905E-4</v>
      </c>
      <c r="X13" s="14">
        <f ca="1">Calculations!$Q$35</f>
        <v>2.0760960414784905E-4</v>
      </c>
      <c r="Y13" s="14">
        <f ca="1">Calculations!$Q$35</f>
        <v>2.0760960414784905E-4</v>
      </c>
      <c r="Z13" s="14">
        <f ca="1">Calculations!$Q$35</f>
        <v>2.0760960414784905E-4</v>
      </c>
      <c r="AA13" s="14">
        <v>0</v>
      </c>
      <c r="AB13" s="14">
        <v>0</v>
      </c>
      <c r="AC13" s="14">
        <v>0</v>
      </c>
      <c r="AD13" s="14">
        <v>0</v>
      </c>
      <c r="AE13" s="14">
        <v>0</v>
      </c>
      <c r="AF13" s="14">
        <v>0</v>
      </c>
      <c r="AG13" s="14">
        <v>0</v>
      </c>
      <c r="AH13" s="14">
        <v>0</v>
      </c>
    </row>
    <row r="14" spans="1:34" ht="18" thickTop="1" thickBot="1" x14ac:dyDescent="0.35">
      <c r="A14" s="45" t="s">
        <v>23</v>
      </c>
      <c r="C14" s="44"/>
      <c r="D14" s="44"/>
      <c r="E14" s="44"/>
      <c r="F14" s="44"/>
      <c r="G14" s="1" t="s">
        <v>282</v>
      </c>
      <c r="H14" s="14">
        <v>0</v>
      </c>
      <c r="I14" s="14">
        <f ca="1">(((Calculations!$R$32*(1-$D$11))+((i_Ris_DSWI/((1/Calculations!$R$32)-1+i_Ris_DSWI))*$D$11))/2)+(((Calculations!$R$32*(1-$D$12))+((i_Ris_Diab/((1/Calculations!$R$32)-1+i_Ris_Diab))*$D$12))/2)</f>
        <v>7.9389994790188875E-4</v>
      </c>
      <c r="J14" s="14">
        <f ca="1">(((Calculations!$R$32*(1-$D$11))+((i_Ris_DSWI/((1/Calculations!$R$32)-1+i_Ris_DSWI))*$D$11))/2)+(((Calculations!$R$32*(1-$D$12))+((i_Ris_Diab/((1/Calculations!$R$32)-1+i_Ris_Diab))*$D$12))/2)</f>
        <v>7.9389994790188875E-4</v>
      </c>
      <c r="K14" s="14">
        <f ca="1">(((Calculations!$R$32*(1-$D$11))+((i_Ris_DSWI/((1/Calculations!$R$32)-1+i_Ris_DSWI))*$D$11))/2)+(((Calculations!$R$32*(1-$D$12))+((i_Ris_Diab/((1/Calculations!$R$32)-1+i_Ris_Diab))*$D$12))/2)</f>
        <v>7.9389994790188875E-4</v>
      </c>
      <c r="L14" s="14">
        <v>0</v>
      </c>
      <c r="M14" s="14">
        <f>1-M9-M15-M20-M12</f>
        <v>0.9673647455949077</v>
      </c>
      <c r="N14" s="14">
        <f ca="1">(((Calculations!$R$32*(1-$D$11))+((i_Ris_DSWI/((1/Calculations!$R$32)-1+i_Ris_DSWI))*$D$11))/2)+(((Calculations!$R$32*(1-$D$12))+((i_Ris_Diab/((1/Calculations!$R$32)-1+i_Ris_Diab))*$D$12))/2)</f>
        <v>7.9389994790188875E-4</v>
      </c>
      <c r="O14" s="14">
        <v>0</v>
      </c>
      <c r="P14" s="14">
        <v>0</v>
      </c>
      <c r="Q14" s="14">
        <v>0</v>
      </c>
      <c r="R14" s="14">
        <v>0</v>
      </c>
      <c r="S14" s="14">
        <v>0</v>
      </c>
      <c r="U14" s="44"/>
      <c r="V14" s="1" t="s">
        <v>282</v>
      </c>
      <c r="W14" s="14">
        <f ca="1">(((Calculations!$R$35*(1-$D$11))+((i_Ris_DSWI/((1/Calculations!$R$35)-1+i_Ris_DSWI))*$D$11))/2)+(((Calculations!$R$35*(1-$D$12))+((i_Ris_Diab/((1/Calculations!$R$35)-1+i_Ris_Diab))*$D$12))/2)</f>
        <v>1.8635954516733712E-4</v>
      </c>
      <c r="X14" s="14">
        <f ca="1">(((Calculations!$R$35*(1-$D$11))+((i_Ris_DSWI/((1/Calculations!$R$35)-1+i_Ris_DSWI))*$D$11))/2)+(((Calculations!$R$35*(1-$D$12))+((i_Ris_Diab/((1/Calculations!$R$35)-1+i_Ris_Diab))*$D$12))/2)</f>
        <v>1.8635954516733712E-4</v>
      </c>
      <c r="Y14" s="14">
        <f ca="1">(((Calculations!$R$35*(1-$D$11))+((i_Ris_DSWI/((1/Calculations!$R$35)-1+i_Ris_DSWI))*$D$11))/2)+(((Calculations!$R$35*(1-$D$12))+((i_Ris_Diab/((1/Calculations!$R$35)-1+i_Ris_Diab))*$D$12))/2)</f>
        <v>1.8635954516733712E-4</v>
      </c>
      <c r="Z14" s="14">
        <f ca="1">(((Calculations!$R$35*(1-$D$11))+((i_Ris_DSWI/((1/Calculations!$R$35)-1+i_Ris_DSWI))*$D$11))/2)+(((Calculations!$R$35*(1-$D$12))+((i_Ris_Diab/((1/Calculations!$R$35)-1+i_Ris_Diab))*$D$12))/2)</f>
        <v>1.8635954516733712E-4</v>
      </c>
      <c r="AA14" s="14">
        <v>0</v>
      </c>
      <c r="AB14" s="14">
        <v>0</v>
      </c>
      <c r="AC14" s="14">
        <v>0</v>
      </c>
      <c r="AD14" s="14">
        <v>0</v>
      </c>
      <c r="AE14" s="14">
        <v>0</v>
      </c>
      <c r="AF14" s="14">
        <v>0</v>
      </c>
      <c r="AG14" s="14">
        <v>0</v>
      </c>
      <c r="AH14" s="14">
        <v>0</v>
      </c>
    </row>
    <row r="15" spans="1:34" ht="18" thickTop="1" thickBot="1" x14ac:dyDescent="0.35">
      <c r="A15" s="2"/>
      <c r="C15" s="44"/>
      <c r="D15" s="44"/>
      <c r="E15" s="44"/>
      <c r="F15" s="44"/>
      <c r="G15" s="44" t="s">
        <v>183</v>
      </c>
      <c r="H15" s="14">
        <v>0</v>
      </c>
      <c r="I15" s="14">
        <v>0</v>
      </c>
      <c r="J15" s="14">
        <v>0</v>
      </c>
      <c r="K15" s="14">
        <f>((1-EXP(-(-LN(1-MIN(0.999,1/(i_Eve_ICU-i_Eve_Time)))/i_Eve_ICU)*1)))*(1-$D$11)+(((1-EXP(-(-LN(1-MIN(0.999,1/(i_Eve_ICU-i_Eve_Time+i_Ris_Leng)))/i_Eve_ICU)*1)))*D11)</f>
        <v>0.9523933333333332</v>
      </c>
      <c r="L15" s="14">
        <f>(1-EXP(-(1/POWER(i_Cos_SSI,100/91.3))))/2</f>
        <v>2.8531848275821226E-2</v>
      </c>
      <c r="M15" s="14">
        <f>(1-EXP(-(1/POWER(i_Cos_DSWI,100/91.3))))/2</f>
        <v>1.5155541063384514E-2</v>
      </c>
      <c r="N15" s="14">
        <f ca="1">1-N9-N16-N17-N20-N13-N14</f>
        <v>0.83038868598013649</v>
      </c>
      <c r="O15" s="14">
        <v>0</v>
      </c>
      <c r="P15" s="14">
        <v>0</v>
      </c>
      <c r="Q15" s="14">
        <v>0</v>
      </c>
      <c r="R15" s="14">
        <v>0</v>
      </c>
      <c r="S15" s="14">
        <v>0</v>
      </c>
      <c r="U15" s="44"/>
      <c r="V15" s="44" t="s">
        <v>183</v>
      </c>
      <c r="W15" s="14">
        <v>0</v>
      </c>
      <c r="X15" s="14">
        <v>0</v>
      </c>
      <c r="Y15" s="14">
        <v>0</v>
      </c>
      <c r="Z15" s="14">
        <f ca="1">1-Z20-Z13-Z14</f>
        <v>0.82472308361277147</v>
      </c>
      <c r="AA15" s="14">
        <f>1-AA20</f>
        <v>0.82511705276208669</v>
      </c>
      <c r="AB15" s="14">
        <f>1-AB20</f>
        <v>0.82013373337705298</v>
      </c>
      <c r="AC15" s="14">
        <v>0</v>
      </c>
      <c r="AD15" s="14">
        <v>0</v>
      </c>
      <c r="AE15" s="14">
        <v>0</v>
      </c>
      <c r="AF15" s="14">
        <v>0</v>
      </c>
      <c r="AG15" s="14">
        <v>0</v>
      </c>
      <c r="AH15" s="14">
        <v>0</v>
      </c>
    </row>
    <row r="16" spans="1:34" ht="18" thickTop="1" thickBot="1" x14ac:dyDescent="0.35">
      <c r="A16" s="45" t="s">
        <v>24</v>
      </c>
      <c r="D16" s="44"/>
      <c r="E16" s="44"/>
      <c r="F16" s="44"/>
      <c r="G16" s="44" t="s">
        <v>1</v>
      </c>
      <c r="H16" s="14">
        <v>0</v>
      </c>
      <c r="I16" s="14">
        <v>0</v>
      </c>
      <c r="J16" s="14">
        <v>0</v>
      </c>
      <c r="K16" s="14">
        <v>0</v>
      </c>
      <c r="L16" s="14">
        <v>0</v>
      </c>
      <c r="M16" s="14">
        <v>0</v>
      </c>
      <c r="N16" s="14">
        <f>(1-EXP(-(1/POWER(i_Eve_Hosp-i_Eve_ICU-i_Eve_Time,91.3/100))))*(i_Eve_Home/100)</f>
        <v>0.12337973965770015</v>
      </c>
      <c r="O16" s="14">
        <f ca="1">1-O20-O19-O18-O9</f>
        <v>0.99939013071983895</v>
      </c>
      <c r="P16" s="14">
        <f>((1-EXP(-((-LN(1-MIN(0.95,1/(i_Eve_Faci))))/1)*1)))</f>
        <v>3.7037037037036979E-2</v>
      </c>
      <c r="Q16" s="14">
        <f>((1-EXP(-((-LN(1-MIN(0.95,1/(i_Cos_DSWI))))/1)*1)))*(i_Eve_Home/100)</f>
        <v>3.1041666666666638E-2</v>
      </c>
      <c r="R16" s="14">
        <f>((1-EXP(-((-LN(1-MIN(0.95,1/(i_Cos_SSI))))/1)*1)))*(i_Eve_Home/100)</f>
        <v>5.6015037593984962E-2</v>
      </c>
      <c r="S16" s="14">
        <v>0</v>
      </c>
      <c r="U16" s="44"/>
      <c r="V16" s="44" t="s">
        <v>1</v>
      </c>
      <c r="W16" s="14">
        <v>0</v>
      </c>
      <c r="X16" s="14">
        <v>0</v>
      </c>
      <c r="Y16" s="14">
        <v>0</v>
      </c>
      <c r="Z16" s="14">
        <v>0</v>
      </c>
      <c r="AA16" s="14">
        <v>0</v>
      </c>
      <c r="AB16" s="14">
        <v>0</v>
      </c>
      <c r="AC16" s="14">
        <f>(i_Eve_Home/100)-(AC20/2)</f>
        <v>0.65755852638104328</v>
      </c>
      <c r="AD16" s="14">
        <f ca="1">1-AD20-AD19-AD18-AD9</f>
        <v>0.99017120247927448</v>
      </c>
      <c r="AE16" s="14">
        <f>((1-EXP(-((-LN(1-MIN(0.95,1/(i_Eve_Faci))))/1)*91.3)))</f>
        <v>0.96811730665662343</v>
      </c>
      <c r="AF16" s="14">
        <f ca="1">(i_Eve_Home/100)-(AF20/2)</f>
        <v>0.74140899021448048</v>
      </c>
      <c r="AG16" s="14">
        <f ca="1">(i_Eve_Home/100)-(AG20/2)</f>
        <v>0.74140899021448048</v>
      </c>
      <c r="AH16" s="14">
        <v>0</v>
      </c>
    </row>
    <row r="17" spans="1:47" ht="18" thickTop="1" thickBot="1" x14ac:dyDescent="0.35">
      <c r="A17" s="2"/>
      <c r="C17" s="44"/>
      <c r="D17" s="44"/>
      <c r="E17" s="44"/>
      <c r="F17" s="44"/>
      <c r="G17" s="44" t="s">
        <v>184</v>
      </c>
      <c r="H17" s="14">
        <v>0</v>
      </c>
      <c r="I17" s="14">
        <v>0</v>
      </c>
      <c r="J17" s="14">
        <v>0</v>
      </c>
      <c r="K17" s="14">
        <v>0</v>
      </c>
      <c r="L17" s="14">
        <v>0</v>
      </c>
      <c r="M17" s="14">
        <v>0</v>
      </c>
      <c r="N17" s="14">
        <f>(1-EXP(-(1/POWER(i_Eve_Hosp-i_Eve_ICU-i_Eve_Time,91.3/100))))*(i_Eve_Care/100)</f>
        <v>4.2230649144581932E-2</v>
      </c>
      <c r="O17" s="14">
        <v>0</v>
      </c>
      <c r="P17" s="14">
        <f ca="1">1-P9-P16-P18-P19-P20</f>
        <v>0.96235309368280197</v>
      </c>
      <c r="Q17" s="14">
        <f>((1-EXP(-((-LN(1-MIN(0.95,1/(i_Cos_DSWI))))/1)*1)))*(1-(i_Eve_Home/100))</f>
        <v>1.062499999999999E-2</v>
      </c>
      <c r="R17" s="14">
        <f>((1-EXP(-((-LN(1-MIN(0.95,1/(i_Cos_DSWI))))/1)*1)))*(1-(i_Eve_Home/100))</f>
        <v>1.062499999999999E-2</v>
      </c>
      <c r="S17" s="14">
        <v>0</v>
      </c>
      <c r="U17" s="44"/>
      <c r="V17" s="44" t="s">
        <v>184</v>
      </c>
      <c r="W17" s="14">
        <v>0</v>
      </c>
      <c r="X17" s="14">
        <v>0</v>
      </c>
      <c r="Y17" s="14">
        <v>0</v>
      </c>
      <c r="Z17" s="14">
        <v>0</v>
      </c>
      <c r="AA17" s="14">
        <v>0</v>
      </c>
      <c r="AB17" s="14">
        <v>0</v>
      </c>
      <c r="AC17" s="14">
        <f>(i_Eve_Care/100)-(AC20/2)</f>
        <v>0.16755852638104335</v>
      </c>
      <c r="AD17" s="14">
        <v>0</v>
      </c>
      <c r="AE17" s="14">
        <f ca="1">1-AE9-AE16-AE19-AE18-AE20</f>
        <v>2.2053895822651059E-2</v>
      </c>
      <c r="AF17" s="14">
        <f ca="1">(i_Eve_Care/100)-(AF20/2)</f>
        <v>0.25140899021448043</v>
      </c>
      <c r="AG17" s="14">
        <f ca="1">(i_Eve_Care/100)-(AG20/2)</f>
        <v>0.25140899021448043</v>
      </c>
      <c r="AH17" s="14">
        <v>0</v>
      </c>
    </row>
    <row r="18" spans="1:47" ht="18" thickTop="1" thickBot="1" x14ac:dyDescent="0.35">
      <c r="A18" s="45" t="s">
        <v>2</v>
      </c>
      <c r="C18" s="44"/>
      <c r="D18" s="44"/>
      <c r="E18" s="44"/>
      <c r="F18" s="44"/>
      <c r="G18" s="44" t="s">
        <v>186</v>
      </c>
      <c r="H18" s="14">
        <v>0</v>
      </c>
      <c r="I18" s="14">
        <v>0</v>
      </c>
      <c r="J18" s="14">
        <v>0</v>
      </c>
      <c r="K18" s="14">
        <v>0</v>
      </c>
      <c r="L18" s="14">
        <v>0</v>
      </c>
      <c r="M18" s="14">
        <v>0</v>
      </c>
      <c r="N18" s="14">
        <v>0</v>
      </c>
      <c r="O18" s="14">
        <f ca="1">(((Calculations!$R$35*(1-$D$11))+((i_Ris_DSWI/((1/Calculations!$R$35)-1+i_Ris_DSWI))*$D$11))/2)+(((Calculations!$R$35*(1-$D$12))+((i_Ris_Diab/((1/Calculations!$R$35)-1+i_Ris_Diab))*$D$12))/2)</f>
        <v>1.8635954516733712E-4</v>
      </c>
      <c r="P18" s="14">
        <f ca="1">(((Calculations!$R$35*(1-$D$11))+((i_Ris_DSWI/((1/Calculations!$R$35)-1+i_Ris_DSWI))*$D$11))/2)+(((Calculations!$R$35*(1-$D$12))+((i_Ris_Diab/((1/Calculations!$R$35)-1+i_Ris_Diab))*$D$12))/2)</f>
        <v>1.8635954516733712E-4</v>
      </c>
      <c r="Q18" s="14">
        <f ca="1">1-Q20-Q16-Q17</f>
        <v>0.95825785672859465</v>
      </c>
      <c r="R18" s="14">
        <v>0</v>
      </c>
      <c r="S18" s="14">
        <v>0</v>
      </c>
      <c r="U18" s="44"/>
      <c r="V18" s="44" t="s">
        <v>186</v>
      </c>
      <c r="W18" s="14">
        <v>0</v>
      </c>
      <c r="X18" s="14">
        <v>0</v>
      </c>
      <c r="Y18" s="14">
        <v>0</v>
      </c>
      <c r="Z18" s="14">
        <v>0</v>
      </c>
      <c r="AA18" s="14">
        <v>0</v>
      </c>
      <c r="AB18" s="14">
        <v>0</v>
      </c>
      <c r="AC18" s="14">
        <v>0</v>
      </c>
      <c r="AD18" s="14">
        <f ca="1">(((Calculations!$R$38*(1-$D$11))+((i_Ris_DSWI/((1/Calculations!$R$38)-1+i_Ris_DSWI))*$D$11))/2)+(((Calculations!$R$38*(1-$D$12))+((i_Ris_Diab/((1/Calculations!$R$38)-1+i_Ris_Diab))*$D$12))/2)</f>
        <v>1.2533892905598368E-3</v>
      </c>
      <c r="AE18" s="14">
        <f ca="1">(((Calculations!$R$38*(1-$D$11))+((i_Ris_DSWI/((1/Calculations!$R$38)-1+i_Ris_DSWI))*$D$11))/2)+(((Calculations!$R$38*(1-$D$12))+((i_Ris_Diab/((1/Calculations!$R$38)-1+i_Ris_Diab))*$D$12))/2)</f>
        <v>1.2533892905598368E-3</v>
      </c>
      <c r="AF18" s="14">
        <v>0</v>
      </c>
      <c r="AG18" s="14">
        <v>0</v>
      </c>
      <c r="AH18" s="14">
        <v>0</v>
      </c>
      <c r="AO18" s="1">
        <f ca="1">SUM(OFFSET($S$26,93,0,2,12))</f>
        <v>285.52714464692423</v>
      </c>
    </row>
    <row r="19" spans="1:47" ht="18" thickTop="1" thickBot="1" x14ac:dyDescent="0.35">
      <c r="A19" s="2"/>
      <c r="C19" s="44"/>
      <c r="D19" s="44"/>
      <c r="E19" s="44"/>
      <c r="F19" s="44"/>
      <c r="G19" s="44" t="s">
        <v>187</v>
      </c>
      <c r="H19" s="14">
        <v>0</v>
      </c>
      <c r="I19" s="14">
        <v>0</v>
      </c>
      <c r="J19" s="14">
        <v>0</v>
      </c>
      <c r="K19" s="14">
        <v>0</v>
      </c>
      <c r="L19" s="14">
        <v>0</v>
      </c>
      <c r="M19" s="14">
        <v>0</v>
      </c>
      <c r="N19" s="14">
        <v>0</v>
      </c>
      <c r="O19" s="14">
        <f ca="1">Calculations!$Q$35</f>
        <v>2.0760960414784905E-4</v>
      </c>
      <c r="P19" s="14">
        <f ca="1">Calculations!$Q$35</f>
        <v>2.0760960414784905E-4</v>
      </c>
      <c r="Q19" s="14">
        <v>0</v>
      </c>
      <c r="R19" s="14">
        <f ca="1">1-R20-R16-R17</f>
        <v>0.93328448580127632</v>
      </c>
      <c r="S19" s="14">
        <v>0</v>
      </c>
      <c r="U19" s="44"/>
      <c r="V19" s="44" t="s">
        <v>187</v>
      </c>
      <c r="W19" s="14">
        <v>0</v>
      </c>
      <c r="X19" s="14">
        <v>0</v>
      </c>
      <c r="Y19" s="14">
        <v>0</v>
      </c>
      <c r="Z19" s="14">
        <v>0</v>
      </c>
      <c r="AA19" s="14">
        <v>0</v>
      </c>
      <c r="AB19" s="14">
        <v>0</v>
      </c>
      <c r="AC19" s="14">
        <v>0</v>
      </c>
      <c r="AD19" s="14">
        <f ca="1">Calculations!$Q$38</f>
        <v>1.3933886591265252E-3</v>
      </c>
      <c r="AE19" s="14">
        <f ca="1">Calculations!$Q$38</f>
        <v>1.3933886591265252E-3</v>
      </c>
      <c r="AF19" s="14">
        <v>0</v>
      </c>
      <c r="AG19" s="14">
        <v>0</v>
      </c>
      <c r="AH19" s="14">
        <v>0</v>
      </c>
      <c r="AO19" s="1">
        <f ca="1">SUM(OFFSET($AI$26,94,0,2,3))</f>
        <v>0</v>
      </c>
    </row>
    <row r="20" spans="1:47" ht="18" thickTop="1" thickBot="1" x14ac:dyDescent="0.35">
      <c r="A20" s="45" t="s">
        <v>3</v>
      </c>
      <c r="C20" s="44"/>
      <c r="D20" s="44"/>
      <c r="E20" s="44"/>
      <c r="F20" s="44"/>
      <c r="G20" s="44" t="s">
        <v>185</v>
      </c>
      <c r="H20" s="14">
        <f>(i_Bac_CABG_death/100*(1-$D$11))+((i_Ris_Hosp/((1/(i_Bac_CABG_death/100))-1+i_Ris_Hosp))*$D$11)</f>
        <v>6.3319057758510766E-3</v>
      </c>
      <c r="I20" s="14">
        <f t="shared" ref="I20:N20" si="1">((1-EXP(-((-LN(1-i_Adv_In_h/100))/i_Adv_Mort)*1))*(1-$D$11))+((i_Ris_Hosp/((1/((1-EXP(-((-LN(1-i_Adv_In_h/100))/i_Adv_Mort)*1))))-1+i_Ris_Hosp))*$D$11)</f>
        <v>2.1837487522160101E-3</v>
      </c>
      <c r="J20" s="14">
        <f t="shared" si="1"/>
        <v>2.1837487522160101E-3</v>
      </c>
      <c r="K20" s="14">
        <f t="shared" si="1"/>
        <v>2.1837487522160101E-3</v>
      </c>
      <c r="L20" s="14">
        <f t="shared" si="1"/>
        <v>2.1837487522160101E-3</v>
      </c>
      <c r="M20" s="14">
        <f t="shared" si="1"/>
        <v>2.1837487522160101E-3</v>
      </c>
      <c r="N20" s="14">
        <f t="shared" si="1"/>
        <v>2.1837487522160101E-3</v>
      </c>
      <c r="O20" s="46">
        <f ca="1">((1-EXP(-((-LN(1-Death_per_year))/365.25)*1)))</f>
        <v>7.5476604738722308E-5</v>
      </c>
      <c r="P20" s="46">
        <f ca="1">((1-EXP(-((-LN(1-Death_per_year))/365.25)*1)))</f>
        <v>7.5476604738722308E-5</v>
      </c>
      <c r="Q20" s="46">
        <f ca="1">((1-EXP(-((-LN(1-Death_per_year))/365.25)*1)))</f>
        <v>7.5476604738722308E-5</v>
      </c>
      <c r="R20" s="46">
        <f ca="1">((1-EXP(-((-LN(1-Death_per_year))/365.25)*1)))</f>
        <v>7.5476604738722308E-5</v>
      </c>
      <c r="S20" s="14">
        <v>1</v>
      </c>
      <c r="U20" s="44"/>
      <c r="V20" s="44" t="s">
        <v>185</v>
      </c>
      <c r="W20" s="14">
        <f>i_Bac_CABG_death/100</f>
        <v>6.0999999999999995E-3</v>
      </c>
      <c r="X20" s="14">
        <f>((1-EXP(-((-LN(1-i_Adv_In_h/100))/i_Adv_Mort)*91.3)))</f>
        <v>0.17488294723791331</v>
      </c>
      <c r="Y20" s="14">
        <f>((1-EXP(-((-LN(1-i_Adv_In_h/100))/i_Adv_Mort)*91.3)))</f>
        <v>0.17488294723791331</v>
      </c>
      <c r="Z20" s="14">
        <f>((1-EXP(-((-LN(1-i_Adv_In_h/100))/i_Adv_Mort)*91.3)))</f>
        <v>0.17488294723791331</v>
      </c>
      <c r="AA20" s="14">
        <f>((1-EXP(-((-LN(1-i_Adv_In_h/100))/i_Adv_Mort)*91.3)))</f>
        <v>0.17488294723791331</v>
      </c>
      <c r="AB20" s="14">
        <f>((1-EXP(-((-LN(1-i_Adv_In_h/100))/i_Adv_Mort)*91.3))*(1-$D$11))+((i_Ris_Hosp/((1/((1-EXP(-((-LN(1-i_Adv_In_h/100))/i_Adv_Mort)*91.3))))-1+i_Ris_Hosp))*$D$11)</f>
        <v>0.179866266622947</v>
      </c>
      <c r="AC20" s="14">
        <f>((1-EXP(-((-LN(1-i_Adv_In_h/100))/i_Adv_Mort)*91.3)))</f>
        <v>0.17488294723791331</v>
      </c>
      <c r="AD20" s="46">
        <f ca="1">((1-EXP(-((-LN(1-Mean_mortality))/365.25)*91.3)))</f>
        <v>7.1820195710391443E-3</v>
      </c>
      <c r="AE20" s="46">
        <f ca="1">((1-EXP(-((-LN(1-Mean_mortality))/365.25)*91.3)))</f>
        <v>7.1820195710391443E-3</v>
      </c>
      <c r="AF20" s="46">
        <f ca="1">((1-EXP(-((-LN(1-Mean_mortality))/365.25)*91.3)))</f>
        <v>7.1820195710391443E-3</v>
      </c>
      <c r="AG20" s="46">
        <f ca="1">((1-EXP(-((-LN(1-Mean_mortality))/365.25)*91.3)))</f>
        <v>7.1820195710391443E-3</v>
      </c>
      <c r="AH20" s="14">
        <v>1</v>
      </c>
    </row>
    <row r="21" spans="1:47" ht="17.25" thickTop="1" x14ac:dyDescent="0.3">
      <c r="A21" s="2"/>
      <c r="C21" s="44"/>
      <c r="D21" s="44"/>
      <c r="E21" s="44"/>
      <c r="F21" s="44"/>
      <c r="G21" s="44"/>
      <c r="H21" s="44"/>
      <c r="I21" s="44"/>
      <c r="J21" s="44"/>
      <c r="K21" s="44"/>
      <c r="L21" s="44"/>
      <c r="M21" s="44"/>
      <c r="N21" s="44"/>
      <c r="O21" s="44"/>
    </row>
    <row r="22" spans="1:47" ht="16.5" x14ac:dyDescent="0.3">
      <c r="A22" s="2"/>
      <c r="C22" s="44"/>
      <c r="D22" s="44"/>
      <c r="E22" s="44"/>
      <c r="F22" s="44"/>
      <c r="G22" s="44"/>
      <c r="H22" s="74" t="s">
        <v>312</v>
      </c>
      <c r="I22" s="44"/>
      <c r="J22" s="44"/>
      <c r="K22" s="44"/>
      <c r="L22" s="44"/>
      <c r="M22" s="44"/>
      <c r="N22" s="44"/>
      <c r="O22" s="44"/>
      <c r="S22" s="1">
        <f ca="1">Markov!S23-MarkovKendall!S23</f>
        <v>-0.24286993650821387</v>
      </c>
      <c r="T22" s="1">
        <f ca="1">Markov!T23-MarkovKendall!T23</f>
        <v>-1.8803353138046077</v>
      </c>
      <c r="U22" s="1">
        <f ca="1">Markov!U23-MarkovKendall!U23</f>
        <v>-1.4757902611040663</v>
      </c>
      <c r="V22" s="1">
        <f ca="1">Markov!V23-MarkovKendall!V23</f>
        <v>2.3704896204358192</v>
      </c>
      <c r="W22" s="1">
        <f ca="1">Markov!W23-MarkovKendall!W23</f>
        <v>96.797987881548465</v>
      </c>
      <c r="X22" s="1">
        <f ca="1">Markov!X23-MarkovKendall!X23</f>
        <v>161.08973148082339</v>
      </c>
      <c r="Y22" s="1">
        <f ca="1">Markov!Y23-MarkovKendall!Y23</f>
        <v>29.931828572425729</v>
      </c>
      <c r="Z22" s="1">
        <f ca="1">Markov!Z23-MarkovKendall!Z23</f>
        <v>0</v>
      </c>
      <c r="AA22" s="1">
        <f ca="1">Markov!AA23-MarkovKendall!AA23</f>
        <v>181.9558627508377</v>
      </c>
      <c r="AB22" s="1">
        <f ca="1">Markov!AB23-MarkovKendall!AB23</f>
        <v>297.25237025199078</v>
      </c>
      <c r="AC22" s="1">
        <f ca="1">Markov!AC23-MarkovKendall!AC23</f>
        <v>36.231143134772992</v>
      </c>
      <c r="AD22" s="1">
        <f ca="1">Markov!AD23-MarkovKendall!AD23</f>
        <v>0</v>
      </c>
    </row>
    <row r="23" spans="1:47" ht="16.5" x14ac:dyDescent="0.3">
      <c r="A23" s="2"/>
      <c r="C23" s="44"/>
      <c r="D23" s="44"/>
      <c r="E23" s="44"/>
      <c r="F23" s="44"/>
      <c r="G23" s="44"/>
      <c r="H23" s="44"/>
      <c r="I23" s="44"/>
      <c r="J23" s="44"/>
      <c r="K23" s="44"/>
      <c r="L23" s="44"/>
      <c r="M23" s="44"/>
      <c r="N23" s="44"/>
      <c r="O23" s="44"/>
      <c r="S23" s="109">
        <f ca="1">SUM(S26:S136)</f>
        <v>10369.483942480287</v>
      </c>
      <c r="T23" s="109">
        <f t="shared" ref="T23:AD23" ca="1" si="2">SUM(T26:T136)</f>
        <v>2979.7151811423537</v>
      </c>
      <c r="U23" s="109">
        <f t="shared" ca="1" si="2"/>
        <v>949.63883500394365</v>
      </c>
      <c r="V23" s="109">
        <f t="shared" ca="1" si="2"/>
        <v>2748.1499073483155</v>
      </c>
      <c r="W23" s="109">
        <f t="shared" ca="1" si="2"/>
        <v>275.88901783372182</v>
      </c>
      <c r="X23" s="109">
        <f t="shared" ca="1" si="2"/>
        <v>459.60046278897232</v>
      </c>
      <c r="Y23" s="109">
        <f t="shared" ca="1" si="2"/>
        <v>14272.233675135329</v>
      </c>
      <c r="Z23" s="109">
        <f t="shared" ca="1" si="2"/>
        <v>0</v>
      </c>
      <c r="AA23" s="109">
        <f t="shared" ca="1" si="2"/>
        <v>3480.5227420242236</v>
      </c>
      <c r="AB23" s="109">
        <f t="shared" ca="1" si="2"/>
        <v>854.68002274254957</v>
      </c>
      <c r="AC23" s="109">
        <f t="shared" ca="1" si="2"/>
        <v>104.12724888456233</v>
      </c>
      <c r="AD23" s="109">
        <f t="shared" ca="1" si="2"/>
        <v>0</v>
      </c>
      <c r="AK23" s="1">
        <f>i_Int_Kend_leadsoff</f>
        <v>0.71</v>
      </c>
      <c r="AQ23" s="1" t="s">
        <v>326</v>
      </c>
    </row>
    <row r="24" spans="1:47" ht="16.5" x14ac:dyDescent="0.3">
      <c r="A24" s="2"/>
      <c r="C24" s="1" t="s">
        <v>189</v>
      </c>
      <c r="R24" s="1" t="s">
        <v>24</v>
      </c>
      <c r="S24" s="44" t="s">
        <v>166</v>
      </c>
      <c r="T24" s="44" t="s">
        <v>181</v>
      </c>
      <c r="U24" s="44" t="s">
        <v>182</v>
      </c>
      <c r="V24" s="44" t="s">
        <v>272</v>
      </c>
      <c r="W24" s="1" t="s">
        <v>281</v>
      </c>
      <c r="X24" s="1" t="s">
        <v>282</v>
      </c>
      <c r="Y24" s="44" t="s">
        <v>183</v>
      </c>
      <c r="Z24" s="44" t="s">
        <v>1</v>
      </c>
      <c r="AA24" s="44" t="s">
        <v>184</v>
      </c>
      <c r="AB24" s="44" t="s">
        <v>186</v>
      </c>
      <c r="AC24" s="44" t="s">
        <v>187</v>
      </c>
      <c r="AD24" s="44" t="s">
        <v>185</v>
      </c>
      <c r="AF24" s="1" t="s">
        <v>320</v>
      </c>
      <c r="AG24" s="1" t="s">
        <v>321</v>
      </c>
      <c r="AH24" s="1" t="s">
        <v>319</v>
      </c>
      <c r="AI24" s="1" t="s">
        <v>317</v>
      </c>
      <c r="AJ24" s="1" t="s">
        <v>178</v>
      </c>
      <c r="AK24" s="1" t="s">
        <v>318</v>
      </c>
      <c r="AL24" s="1" t="s">
        <v>329</v>
      </c>
      <c r="AM24" s="1" t="s">
        <v>464</v>
      </c>
      <c r="AN24" s="1" t="s">
        <v>49</v>
      </c>
      <c r="AO24" s="1" t="s">
        <v>53</v>
      </c>
      <c r="AP24" s="1" t="s">
        <v>49</v>
      </c>
      <c r="AQ24" s="1">
        <v>1</v>
      </c>
      <c r="AR24" s="1">
        <v>2</v>
      </c>
      <c r="AS24" s="1">
        <v>3</v>
      </c>
      <c r="AT24" s="1">
        <v>4</v>
      </c>
      <c r="AU24" s="1">
        <v>5</v>
      </c>
    </row>
    <row r="25" spans="1:47" ht="16.5" x14ac:dyDescent="0.3">
      <c r="A25" s="2"/>
      <c r="B25" s="44" t="s">
        <v>188</v>
      </c>
      <c r="C25" s="44">
        <v>0</v>
      </c>
      <c r="D25" s="44" t="s">
        <v>49</v>
      </c>
      <c r="E25" s="44" t="s">
        <v>166</v>
      </c>
      <c r="F25" s="44" t="s">
        <v>181</v>
      </c>
      <c r="G25" s="44" t="s">
        <v>182</v>
      </c>
      <c r="H25" s="44" t="s">
        <v>272</v>
      </c>
      <c r="I25" s="1" t="s">
        <v>281</v>
      </c>
      <c r="J25" s="1" t="s">
        <v>282</v>
      </c>
      <c r="K25" s="44" t="s">
        <v>183</v>
      </c>
      <c r="L25" s="44" t="s">
        <v>1</v>
      </c>
      <c r="M25" s="44" t="s">
        <v>184</v>
      </c>
      <c r="N25" s="44" t="s">
        <v>186</v>
      </c>
      <c r="O25" s="44" t="s">
        <v>187</v>
      </c>
      <c r="P25" s="44" t="s">
        <v>185</v>
      </c>
      <c r="Q25" s="44"/>
      <c r="R25" s="44" t="s">
        <v>273</v>
      </c>
      <c r="S25" s="44">
        <f>i_Cos_CABG</f>
        <v>10244.049999999999</v>
      </c>
      <c r="T25" s="109">
        <f>i_Cos_Mech+i_Cos_ICU</f>
        <v>3291.27</v>
      </c>
      <c r="U25" s="109">
        <f>i_Cos_Mech+i_Cos_ICU</f>
        <v>3291.27</v>
      </c>
      <c r="V25" s="44">
        <f>i_Cos_ICU</f>
        <v>2535.52</v>
      </c>
      <c r="W25" s="1">
        <f>i_Cos_Inpa_SSI+(Y25*(1-i_Bac_ICU))+(V25*i_Bac_ICU)</f>
        <v>2232.1905093833784</v>
      </c>
      <c r="X25" s="1">
        <f>i_Cos_Inpa_DSWI+(Y25*(1-i_Bac_ICU))+(V25*i_Bac_ICU)</f>
        <v>2232.1905093833784</v>
      </c>
      <c r="Y25" s="44">
        <f>i_Cos_Gene</f>
        <v>2357.3000000000002</v>
      </c>
      <c r="Z25" s="44">
        <f>i_Cos_Pati</f>
        <v>0</v>
      </c>
      <c r="AA25" s="44">
        <f>i_Cos_Care</f>
        <v>420.43</v>
      </c>
      <c r="AB25" s="44">
        <f>i_Cos_Read</f>
        <v>23585.82</v>
      </c>
      <c r="AC25" s="44">
        <f>i_Cos_Outp</f>
        <v>2582.6</v>
      </c>
      <c r="AD25" s="44">
        <f>i_Cos_Mort</f>
        <v>0</v>
      </c>
      <c r="AI25" s="1">
        <f>i_Int_Kend_cost/i_Eve_ECG</f>
        <v>1.875</v>
      </c>
      <c r="AJ25" s="1">
        <f>i_Cos_Nurs/60*i_Cos_Fals</f>
        <v>1.931</v>
      </c>
      <c r="AK25" s="1">
        <f>i_Cos_Nurs/60*i_Cos_Lead</f>
        <v>0.96550000000000002</v>
      </c>
      <c r="AN25" s="1">
        <v>0.5</v>
      </c>
      <c r="AO25" s="16">
        <f ca="1">SUM(OFFSET($S$26,0,0,93,12))+SUM(OFFSET($AI$26,0,0,93,3))</f>
        <v>35379.574790863844</v>
      </c>
      <c r="AP25" s="1">
        <v>0.5</v>
      </c>
      <c r="AQ25" s="79">
        <f ca="1">$AO25*i_Set_CABG*POWER((1-(i_Set_Cost/100)),ROUNDDOWN($AN25-1,0))</f>
        <v>7075914.9581727684</v>
      </c>
      <c r="AR25" s="79">
        <f ca="1">$AO25*i_Set_CABG*POWER((1-(i_Set_Cost/100)),ROUNDDOWN($AN25+0.5,0))</f>
        <v>6828257.9346367214</v>
      </c>
      <c r="AS25" s="79">
        <f ca="1">$AO25*i_Set_CABG*POWER((1-(i_Set_Cost/100)),ROUNDDOWN($AN25+1.5,0))</f>
        <v>6589268.9069244359</v>
      </c>
      <c r="AT25" s="79">
        <f ca="1">$AO25*i_Set_CABG*POWER((1-(i_Set_Cost/100)),ROUNDDOWN($AN25+2.5,0))</f>
        <v>6358644.4951820802</v>
      </c>
      <c r="AU25" s="79">
        <f ca="1">$AO25*i_Set_CABG*POWER((1-(i_Set_Cost/100)),ROUNDDOWN($AN25+3.5,0))</f>
        <v>6136091.9378507072</v>
      </c>
    </row>
    <row r="26" spans="1:47" ht="16.5" x14ac:dyDescent="0.3">
      <c r="A26" s="2"/>
      <c r="B26" s="44">
        <v>0</v>
      </c>
      <c r="C26" s="44">
        <v>0</v>
      </c>
      <c r="D26" s="44">
        <f>ROUND(C26/365.25,1)</f>
        <v>0</v>
      </c>
      <c r="E26" s="14">
        <v>1</v>
      </c>
      <c r="F26" s="14">
        <v>0</v>
      </c>
      <c r="G26" s="14">
        <v>0</v>
      </c>
      <c r="H26" s="14">
        <v>0</v>
      </c>
      <c r="I26" s="14">
        <v>0</v>
      </c>
      <c r="J26" s="14">
        <v>0</v>
      </c>
      <c r="K26" s="14">
        <v>0</v>
      </c>
      <c r="L26" s="14">
        <v>0</v>
      </c>
      <c r="M26" s="14">
        <v>0</v>
      </c>
      <c r="N26" s="14">
        <v>0</v>
      </c>
      <c r="O26" s="14">
        <v>0</v>
      </c>
      <c r="P26" s="14">
        <v>0</v>
      </c>
      <c r="Q26" s="44"/>
      <c r="R26" s="44">
        <f t="shared" ref="R26:R57" si="3">SUM(E26:P26)</f>
        <v>1</v>
      </c>
      <c r="S26" s="16">
        <f>E26*S$25</f>
        <v>10244.049999999999</v>
      </c>
      <c r="T26" s="16">
        <f t="shared" ref="T26:AD26" si="4">F26*T$25*($C26-$C25)</f>
        <v>0</v>
      </c>
      <c r="U26" s="16">
        <f t="shared" si="4"/>
        <v>0</v>
      </c>
      <c r="V26" s="16">
        <f t="shared" si="4"/>
        <v>0</v>
      </c>
      <c r="W26" s="16">
        <f t="shared" si="4"/>
        <v>0</v>
      </c>
      <c r="X26" s="16">
        <f t="shared" si="4"/>
        <v>0</v>
      </c>
      <c r="Y26" s="16">
        <f t="shared" si="4"/>
        <v>0</v>
      </c>
      <c r="Z26" s="16">
        <f t="shared" si="4"/>
        <v>0</v>
      </c>
      <c r="AA26" s="16">
        <f t="shared" si="4"/>
        <v>0</v>
      </c>
      <c r="AB26" s="16">
        <f t="shared" si="4"/>
        <v>0</v>
      </c>
      <c r="AC26" s="16">
        <f t="shared" si="4"/>
        <v>0</v>
      </c>
      <c r="AD26" s="16">
        <f t="shared" si="4"/>
        <v>0</v>
      </c>
      <c r="AF26" s="16">
        <f>SUM(L26:P26)-M26</f>
        <v>0</v>
      </c>
      <c r="AG26" s="16">
        <f>E26</f>
        <v>1</v>
      </c>
      <c r="AH26" s="16">
        <f>IF(AG26+AF26&gt;1,
IF(AG26-AF26&lt;0,AG26,AG26-AF26),AG26)</f>
        <v>1</v>
      </c>
      <c r="AI26" s="16">
        <f>AH26*AI$25</f>
        <v>1.875</v>
      </c>
      <c r="AJ26" s="16">
        <f>(AH26*(i_Adv_Fals/i_Adv_Alar)*i_Int_Kend_false)*AJ$25</f>
        <v>1.5312636900000003</v>
      </c>
      <c r="AK26" s="16">
        <f>(AH26*(i_Adv_Lead/i_Adv_Alar)*i_Int_Kend_leadsoff)*AK$25</f>
        <v>0.280371545</v>
      </c>
      <c r="AL26" s="16">
        <v>0</v>
      </c>
      <c r="AM26" s="16">
        <v>1</v>
      </c>
      <c r="AN26" s="1">
        <v>1</v>
      </c>
      <c r="AO26" s="16">
        <f ca="1">SUM(OFFSET($S$26,93,0,2,12))+SUM(OFFSET($AI$26,93,0,2,3))</f>
        <v>285.52714464692423</v>
      </c>
      <c r="AP26" s="1">
        <v>1</v>
      </c>
      <c r="AQ26" s="79">
        <f ca="1">AO26*i_Set_CABG*POWER((1-(i_Set_Cost/100)),ROUNDDOWN($AN26-1,0))</f>
        <v>57105.428929384849</v>
      </c>
      <c r="AR26" s="79">
        <f ca="1">$AO26*i_Set_CABG*POWER((1-(i_Set_Cost/100)),ROUNDDOWN($AN26+0.5,0))</f>
        <v>55106.738916856375</v>
      </c>
      <c r="AS26" s="79">
        <f ca="1">$AO26*i_Set_CABG*POWER((1-(i_Set_Cost/100)),ROUNDDOWN($AN26+1.5,0))</f>
        <v>53178.003054766406</v>
      </c>
      <c r="AT26" s="79">
        <f ca="1">$AO26*i_Set_CABG*POWER((1-(i_Set_Cost/100)),ROUNDDOWN($AN26+2.5,0))</f>
        <v>51316.772947849575</v>
      </c>
      <c r="AU26" s="79">
        <f ca="1">$AO26*i_Set_CABG*POWER((1-(i_Set_Cost/100)),ROUNDDOWN($AN26+3.5,0))</f>
        <v>49520.68589467484</v>
      </c>
    </row>
    <row r="27" spans="1:47" ht="16.5" x14ac:dyDescent="0.3">
      <c r="A27" s="2"/>
      <c r="B27" s="44">
        <f>B26+1</f>
        <v>1</v>
      </c>
      <c r="C27" s="44">
        <f>C26+1</f>
        <v>1</v>
      </c>
      <c r="D27" s="44">
        <f t="shared" ref="D27:D90" si="5">ROUND(C27/365.25,1)</f>
        <v>0</v>
      </c>
      <c r="E27" s="14">
        <f t="shared" ref="E27:E58" si="6">SUMPRODUCT($E26:$P26,$H$9:$S$9)</f>
        <v>0</v>
      </c>
      <c r="F27" s="14">
        <f t="shared" ref="F27:F58" ca="1" si="7">SUMPRODUCT($E26:$P26,$H$10:$S$10)</f>
        <v>0.88381554155006925</v>
      </c>
      <c r="G27" s="14">
        <f t="shared" ref="G27:G58" ca="1" si="8">SUMPRODUCT($E26:$P26,$H$11:$S$11)</f>
        <v>0.1098525526740797</v>
      </c>
      <c r="H27" s="14">
        <f t="shared" ref="H27:H58" ca="1" si="9">SUMPRODUCT($E26:$P26,$H$12:$S$12)</f>
        <v>0</v>
      </c>
      <c r="I27" s="14">
        <f t="shared" ref="I27:I58" ca="1" si="10">SUMPRODUCT($E26:$P26,$H$13:$S$13)</f>
        <v>0</v>
      </c>
      <c r="J27" s="14">
        <f t="shared" ref="J27:J58" ca="1" si="11">SUMPRODUCT($E26:$P26,$H$14:$S$14)</f>
        <v>0</v>
      </c>
      <c r="K27" s="14">
        <f t="shared" ref="K27:K58" ca="1" si="12">SUMPRODUCT($E26:$P26,$H$15:$S$15)</f>
        <v>0</v>
      </c>
      <c r="L27" s="14">
        <f ca="1">SUMPRODUCT($E26:$P26,$H$16:$S$16)</f>
        <v>0</v>
      </c>
      <c r="M27" s="14">
        <f t="shared" ref="M27:M58" ca="1" si="13">SUMPRODUCT($E26:$P26,$H$17:$S$17)</f>
        <v>0</v>
      </c>
      <c r="N27" s="14">
        <f t="shared" ref="N27:N58" ca="1" si="14">SUMPRODUCT($E26:$P26,$H$18:$S$18)</f>
        <v>0</v>
      </c>
      <c r="O27" s="14">
        <f t="shared" ref="O27:O58" ca="1" si="15">SUMPRODUCT($E26:$P26,$H$19:$S$19)</f>
        <v>0</v>
      </c>
      <c r="P27" s="14">
        <f t="shared" ref="P27:P58" ca="1" si="16">SUMPRODUCT($E26:$P26,$H$20:$S$20)</f>
        <v>6.3319057758510766E-3</v>
      </c>
      <c r="Q27" s="44"/>
      <c r="R27" s="44">
        <f t="shared" ca="1" si="3"/>
        <v>1</v>
      </c>
      <c r="S27" s="16">
        <f t="shared" ref="S27:S90" si="17">E27*S$25</f>
        <v>0</v>
      </c>
      <c r="T27" s="16">
        <f ca="1">((F26+F27)/2)*T$25*($C27-$C26)</f>
        <v>1454.4377887187482</v>
      </c>
      <c r="U27" s="16">
        <f ca="1">((G26+G27)/2)*U$25*($C27-$C26)</f>
        <v>180.77720551980914</v>
      </c>
      <c r="V27" s="16">
        <f ca="1">((H27+H26)/2)*V$25*($C27-$C26)</f>
        <v>0</v>
      </c>
      <c r="W27" s="16">
        <f ca="1">((I26+I27)/2)*W$25*($C27-$C26)</f>
        <v>0</v>
      </c>
      <c r="X27" s="16">
        <f ca="1">((J26+J27)/2)*X$25*($C27-$C26)</f>
        <v>0</v>
      </c>
      <c r="Y27" s="16">
        <f ca="1">((K27+K26)/2)*Y$25*($C27-$C26)</f>
        <v>0</v>
      </c>
      <c r="Z27" s="16">
        <f t="shared" ref="Z27:Z58" ca="1" si="18">(L27-OFFSET(L27,-IF(C27-C26&gt;i_Cos_Days,1,MIN(B27,i_Cos_Days)),0))*MIN(i_Cos_Days,($C27-$C26))</f>
        <v>0</v>
      </c>
      <c r="AA27" s="16">
        <f ca="1">((M26+M27)/2)*AA$25*($C27-$C26)</f>
        <v>0</v>
      </c>
      <c r="AB27" s="16">
        <f ca="1">(N27-(N26*$Q$18))*AB$25</f>
        <v>0</v>
      </c>
      <c r="AC27" s="16">
        <f ca="1">(O27-(O26*$R$19))*AC$25</f>
        <v>0</v>
      </c>
      <c r="AD27" s="16">
        <f ca="1">((P27-P26)*AD$25)</f>
        <v>0</v>
      </c>
      <c r="AF27" s="16">
        <f t="shared" ref="AF27:AF90" ca="1" si="19">SUM(L27:P27)-M27</f>
        <v>6.3319057758510766E-3</v>
      </c>
      <c r="AG27" s="16">
        <f t="shared" ref="AG27:AG58" ca="1" si="20">MIN(1,SUM(OFFSET(E27,0,0,-i_Eve_ECG,1)))</f>
        <v>1</v>
      </c>
      <c r="AH27" s="16">
        <f t="shared" ref="AH27:AH90" ca="1" si="21">IF(AG27+AF27&gt;1,
IF(AG27-AF27&lt;0,AG27,AG27-AF27),AG27)</f>
        <v>0.99366809422414892</v>
      </c>
      <c r="AI27" s="16">
        <f t="shared" ref="AI27:AI90" ca="1" si="22">AH27*AI$25</f>
        <v>1.8631276766702793</v>
      </c>
      <c r="AJ27" s="16">
        <f t="shared" ref="AJ27:AJ57" ca="1" si="23">(AH27*(i_Adv_Fals/i_Adv_Alar)*i_Int_Kend_false)*AJ$25</f>
        <v>1.5215678725969384</v>
      </c>
      <c r="AK27" s="16">
        <f t="shared" ref="AK27:AK57" ca="1" si="24">(AH27*(i_Adv_Lead/i_Adv_Alar)*i_Int_Kend_leadsoff)*AK$25</f>
        <v>0.27859625879483019</v>
      </c>
      <c r="AL27" s="16">
        <f t="shared" ref="AL27:AL58" ca="1" si="25">((SUM(F26:J26)-((I26+J26)*(1-i_Bac_ICU)))+(SUM(F27:J27)-((I27+J27)*(1-i_Bac_ICU))))/2*(C27-C26)</f>
        <v>0.49683404711207446</v>
      </c>
      <c r="AM27" s="16">
        <f t="shared" ref="AM27:AM58" ca="1" si="26">(((I26+J26)*(1-i_Bac_ICU))+((I27+J27)*(1-i_Bac_ICU))+K26+E26+E27+K27)/2*(C27-C26)</f>
        <v>0.5</v>
      </c>
      <c r="AN27" s="1">
        <v>2</v>
      </c>
      <c r="AO27" s="16">
        <f ca="1">SUM(OFFSET($S$26,95,0,4,12))+SUM(OFFSET($AI$26,95,0,4,3))</f>
        <v>223.62425644794106</v>
      </c>
      <c r="AP27" s="1">
        <v>2</v>
      </c>
      <c r="AQ27" s="79">
        <f ca="1">AO27*i_Set_CABG*POWER((1-(i_Set_Cost/100)),ROUNDDOWN($AN27-1,0))</f>
        <v>43159.48149445263</v>
      </c>
      <c r="AR27" s="79">
        <f ca="1">$AO27*i_Set_CABG*POWER((1-(i_Set_Cost/100)),ROUNDDOWN($AN27+0.5,0))</f>
        <v>41648.899642146782</v>
      </c>
      <c r="AS27" s="79">
        <f ca="1">$AO27*i_Set_CABG*POWER((1-(i_Set_Cost/100)),ROUNDDOWN($AN27+1.5,0))</f>
        <v>40191.188154671647</v>
      </c>
      <c r="AT27" s="79">
        <f ca="1">$AO27*i_Set_CABG*POWER((1-(i_Set_Cost/100)),ROUNDDOWN($AN27+2.5,0))</f>
        <v>38784.496569258139</v>
      </c>
      <c r="AU27" s="76">
        <v>0</v>
      </c>
    </row>
    <row r="28" spans="1:47" ht="16.5" x14ac:dyDescent="0.3">
      <c r="A28" s="2"/>
      <c r="B28" s="44">
        <f t="shared" ref="B28:C43" si="27">B27+1</f>
        <v>2</v>
      </c>
      <c r="C28" s="44">
        <f t="shared" si="27"/>
        <v>2</v>
      </c>
      <c r="D28" s="44">
        <f t="shared" si="5"/>
        <v>0</v>
      </c>
      <c r="E28" s="14">
        <f t="shared" ca="1" si="6"/>
        <v>1.3953437757108003E-4</v>
      </c>
      <c r="F28" s="14">
        <f t="shared" ca="1" si="7"/>
        <v>5.3020755276226598E-3</v>
      </c>
      <c r="G28" s="14">
        <f t="shared" ca="1" si="8"/>
        <v>6.7275911683254544E-2</v>
      </c>
      <c r="H28" s="14">
        <f t="shared" ca="1" si="9"/>
        <v>0.91711451527718424</v>
      </c>
      <c r="I28" s="14">
        <f t="shared" ca="1" si="10"/>
        <v>8.772628494012084E-4</v>
      </c>
      <c r="J28" s="14">
        <f t="shared" ca="1" si="11"/>
        <v>7.8887304823632102E-4</v>
      </c>
      <c r="K28" s="14">
        <f t="shared" ca="1" si="12"/>
        <v>0</v>
      </c>
      <c r="L28" s="14">
        <f t="shared" ref="L28:L58" ca="1" si="28">SUMPRODUCT($E27:$P27,$H$16:$S$16)</f>
        <v>0</v>
      </c>
      <c r="M28" s="14">
        <f t="shared" ca="1" si="13"/>
        <v>0</v>
      </c>
      <c r="N28" s="14">
        <f t="shared" ca="1" si="14"/>
        <v>0</v>
      </c>
      <c r="O28" s="14">
        <f t="shared" ca="1" si="15"/>
        <v>0</v>
      </c>
      <c r="P28" s="14">
        <f t="shared" ca="1" si="16"/>
        <v>8.5018272367299221E-3</v>
      </c>
      <c r="Q28" s="44"/>
      <c r="R28" s="44">
        <f t="shared" ca="1" si="3"/>
        <v>0.99999999999999989</v>
      </c>
      <c r="S28" s="16">
        <f t="shared" ca="1" si="17"/>
        <v>1.4293971405570223</v>
      </c>
      <c r="T28" s="16">
        <f t="shared" ref="T28:T91" ca="1" si="29">((F27+F28)/2)*T$25*($C28-$C27)</f>
        <v>1463.1630697796475</v>
      </c>
      <c r="U28" s="16">
        <f t="shared" ref="U28:U91" ca="1" si="30">((G27+G28)/2)*U$25*($C28-$C27)</f>
        <v>291.48880044268174</v>
      </c>
      <c r="V28" s="16">
        <f t="shared" ref="V28:V91" ca="1" si="31">((H28+H27)/2)*V$25*($C28-$C27)</f>
        <v>1162.6810978878032</v>
      </c>
      <c r="W28" s="16">
        <f t="shared" ref="W28:W91" ca="1" si="32">((I27+I28)/2)*W$25*($C28-$C27)</f>
        <v>0.97910890333399869</v>
      </c>
      <c r="X28" s="16">
        <f t="shared" ref="X28:X91" ca="1" si="33">((J27+J28)/2)*X$25*($C28-$C27)</f>
        <v>0.88045746569072592</v>
      </c>
      <c r="Y28" s="16">
        <f t="shared" ref="Y28:Y91" ca="1" si="34">((K28+K27)/2)*Y$25*($C28-$C27)</f>
        <v>0</v>
      </c>
      <c r="Z28" s="16">
        <f t="shared" ca="1" si="18"/>
        <v>0</v>
      </c>
      <c r="AA28" s="16">
        <f t="shared" ref="AA28:AA91" ca="1" si="35">((M27+M28)/2)*AA$25*($C28-$C27)</f>
        <v>0</v>
      </c>
      <c r="AB28" s="16">
        <f t="shared" ref="AB28:AB91" ca="1" si="36">(N28-(N27*$Q$18))*AB$25</f>
        <v>0</v>
      </c>
      <c r="AC28" s="16">
        <f t="shared" ref="AC28:AC91" ca="1" si="37">(O28-(O27*$R$19))*AC$25</f>
        <v>0</v>
      </c>
      <c r="AD28" s="16">
        <f t="shared" ref="AD28:AD91" ca="1" si="38">((P28-P27)*AD$25)</f>
        <v>0</v>
      </c>
      <c r="AF28" s="16">
        <f t="shared" ca="1" si="19"/>
        <v>8.5018272367299221E-3</v>
      </c>
      <c r="AG28" s="16">
        <f t="shared" ca="1" si="20"/>
        <v>1</v>
      </c>
      <c r="AH28" s="16">
        <f t="shared" ca="1" si="21"/>
        <v>0.99149817276327012</v>
      </c>
      <c r="AI28" s="16">
        <f t="shared" ca="1" si="22"/>
        <v>1.8590590739311315</v>
      </c>
      <c r="AJ28" s="16">
        <f t="shared" ca="1" si="23"/>
        <v>1.5182451506537427</v>
      </c>
      <c r="AK28" s="16">
        <f t="shared" ca="1" si="24"/>
        <v>0.27798787456231494</v>
      </c>
      <c r="AL28" s="16">
        <f t="shared" ca="1" si="25"/>
        <v>0.99183217133336976</v>
      </c>
      <c r="AM28" s="16">
        <f t="shared" ca="1" si="26"/>
        <v>7.5096216033975784E-4</v>
      </c>
      <c r="AN28" s="1">
        <v>3</v>
      </c>
      <c r="AO28" s="16">
        <f ca="1">SUM(OFFSET($S$26,99,0,4,12))+SUM(OFFSET($AI$26,99,0,4,3))</f>
        <v>216.50595689014656</v>
      </c>
      <c r="AP28" s="1">
        <v>3</v>
      </c>
      <c r="AQ28" s="79">
        <f ca="1">AO28*i_Set_CABG*POWER((1-(i_Set_Cost/100)),ROUNDDOWN($AN28-1,0))</f>
        <v>40323.151941005344</v>
      </c>
      <c r="AR28" s="79">
        <f ca="1">$AO28*i_Set_CABG*POWER((1-(i_Set_Cost/100)),ROUNDDOWN($AN28+0.5,0))</f>
        <v>38911.841623070155</v>
      </c>
      <c r="AS28" s="79">
        <f ca="1">$AO28*i_Set_CABG*POWER((1-(i_Set_Cost/100)),ROUNDDOWN($AN28+1.5,0))</f>
        <v>37549.9271662627</v>
      </c>
      <c r="AT28" s="76">
        <v>0</v>
      </c>
      <c r="AU28" s="76">
        <v>0</v>
      </c>
    </row>
    <row r="29" spans="1:47" ht="16.5" x14ac:dyDescent="0.3">
      <c r="A29" s="2"/>
      <c r="B29" s="44">
        <f t="shared" si="27"/>
        <v>3</v>
      </c>
      <c r="C29" s="44">
        <f t="shared" si="27"/>
        <v>3</v>
      </c>
      <c r="D29" s="44">
        <f t="shared" si="5"/>
        <v>0</v>
      </c>
      <c r="E29" s="14">
        <f t="shared" ca="1" si="6"/>
        <v>1.3921007563885625E-4</v>
      </c>
      <c r="F29" s="14">
        <f t="shared" ca="1" si="7"/>
        <v>1.5513019907007584E-4</v>
      </c>
      <c r="G29" s="14">
        <f t="shared" ca="1" si="8"/>
        <v>4.1216449006651154E-2</v>
      </c>
      <c r="H29" s="14">
        <f t="shared" ca="1" si="9"/>
        <v>7.1083123925696115E-2</v>
      </c>
      <c r="I29" s="14">
        <f t="shared" ca="1" si="10"/>
        <v>1.6989170647161594E-3</v>
      </c>
      <c r="J29" s="14">
        <f t="shared" ca="1" si="11"/>
        <v>1.5488448017779699E-3</v>
      </c>
      <c r="K29" s="14">
        <f t="shared" ca="1" si="12"/>
        <v>0.87349073598161509</v>
      </c>
      <c r="L29" s="14">
        <f t="shared" ca="1" si="28"/>
        <v>0</v>
      </c>
      <c r="M29" s="14">
        <f t="shared" ca="1" si="13"/>
        <v>0</v>
      </c>
      <c r="N29" s="14">
        <f t="shared" ca="1" si="14"/>
        <v>0</v>
      </c>
      <c r="O29" s="14">
        <f t="shared" ca="1" si="15"/>
        <v>0</v>
      </c>
      <c r="P29" s="14">
        <f t="shared" ca="1" si="16"/>
        <v>1.0667588944834527E-2</v>
      </c>
      <c r="Q29" s="44"/>
      <c r="R29" s="44">
        <f t="shared" ca="1" si="3"/>
        <v>1</v>
      </c>
      <c r="S29" s="16">
        <f t="shared" ca="1" si="17"/>
        <v>1.4260749753482254</v>
      </c>
      <c r="T29" s="16">
        <f t="shared" ca="1" si="29"/>
        <v>8.980568746046</v>
      </c>
      <c r="U29" s="16">
        <f t="shared" ca="1" si="30"/>
        <v>178.53882598393295</v>
      </c>
      <c r="V29" s="16">
        <f t="shared" ca="1" si="31"/>
        <v>1252.7974390758436</v>
      </c>
      <c r="W29" s="16">
        <f t="shared" ca="1" si="32"/>
        <v>2.8752621773784375</v>
      </c>
      <c r="X29" s="16">
        <f t="shared" ca="1" si="33"/>
        <v>2.6091157992090084</v>
      </c>
      <c r="Y29" s="16">
        <f t="shared" ca="1" si="34"/>
        <v>1029.5398559647308</v>
      </c>
      <c r="Z29" s="16">
        <f t="shared" ca="1" si="18"/>
        <v>0</v>
      </c>
      <c r="AA29" s="16">
        <f t="shared" ca="1" si="35"/>
        <v>0</v>
      </c>
      <c r="AB29" s="16">
        <f t="shared" ca="1" si="36"/>
        <v>0</v>
      </c>
      <c r="AC29" s="16">
        <f t="shared" ca="1" si="37"/>
        <v>0</v>
      </c>
      <c r="AD29" s="16">
        <f t="shared" ca="1" si="38"/>
        <v>0</v>
      </c>
      <c r="AF29" s="16">
        <f t="shared" ca="1" si="19"/>
        <v>1.0667588944834527E-2</v>
      </c>
      <c r="AG29" s="16">
        <f t="shared" ca="1" si="20"/>
        <v>1</v>
      </c>
      <c r="AH29" s="16">
        <f t="shared" ca="1" si="21"/>
        <v>0.98933241105516545</v>
      </c>
      <c r="AI29" s="16">
        <f t="shared" ca="1" si="22"/>
        <v>1.8549982707284352</v>
      </c>
      <c r="AJ29" s="16">
        <f t="shared" ca="1" si="23"/>
        <v>1.5149287983889299</v>
      </c>
      <c r="AK29" s="16">
        <f t="shared" ca="1" si="24"/>
        <v>0.27738065660611178</v>
      </c>
      <c r="AL29" s="16">
        <f t="shared" ca="1" si="25"/>
        <v>0.55152151842362807</v>
      </c>
      <c r="AM29" s="16">
        <f t="shared" ca="1" si="26"/>
        <v>0.43889377348558967</v>
      </c>
      <c r="AN29" s="1">
        <v>4</v>
      </c>
      <c r="AO29" s="16">
        <f ca="1">SUM(OFFSET($S$26,103,0,4,12))+SUM(OFFSET($AI$26,103,0,4,3))</f>
        <v>210.35284249094178</v>
      </c>
      <c r="AP29" s="1">
        <v>4</v>
      </c>
      <c r="AQ29" s="79">
        <f ca="1">AO29*i_Set_CABG*POWER((1-(i_Set_Cost/100)),ROUNDDOWN($AN29-1,0))</f>
        <v>37805.964369485053</v>
      </c>
      <c r="AR29" s="79">
        <f ca="1">$AO29*i_Set_CABG*POWER((1-(i_Set_Cost/100)),ROUNDDOWN($AN29+0.5,0))</f>
        <v>36482.755616553077</v>
      </c>
      <c r="AS29" s="76">
        <v>0</v>
      </c>
      <c r="AT29" s="76">
        <v>0</v>
      </c>
      <c r="AU29" s="76">
        <v>0</v>
      </c>
    </row>
    <row r="30" spans="1:47" ht="16.5" x14ac:dyDescent="0.3">
      <c r="A30" s="2"/>
      <c r="B30" s="44">
        <f t="shared" si="27"/>
        <v>4</v>
      </c>
      <c r="C30" s="44">
        <f t="shared" si="27"/>
        <v>4</v>
      </c>
      <c r="D30" s="44">
        <f t="shared" si="5"/>
        <v>0</v>
      </c>
      <c r="E30" s="14">
        <f t="shared" ca="1" si="6"/>
        <v>1.389059972827173E-4</v>
      </c>
      <c r="F30" s="14">
        <f t="shared" ca="1" si="7"/>
        <v>1.2396666605521471E-4</v>
      </c>
      <c r="G30" s="14">
        <f t="shared" ca="1" si="8"/>
        <v>2.525707455054441E-2</v>
      </c>
      <c r="H30" s="14">
        <f t="shared" ca="1" si="9"/>
        <v>1.9134921153358169E-2</v>
      </c>
      <c r="I30" s="14">
        <f t="shared" ca="1" si="10"/>
        <v>2.4684668811589512E-3</v>
      </c>
      <c r="J30" s="14">
        <f t="shared" ca="1" si="11"/>
        <v>2.2810398903838824E-3</v>
      </c>
      <c r="K30" s="14">
        <f t="shared" ca="1" si="12"/>
        <v>0.79310786463185368</v>
      </c>
      <c r="L30" s="14">
        <f t="shared" ca="1" si="28"/>
        <v>0.10777105959882456</v>
      </c>
      <c r="M30" s="14">
        <f t="shared" ca="1" si="13"/>
        <v>3.6888080802282237E-2</v>
      </c>
      <c r="N30" s="14">
        <f t="shared" ca="1" si="14"/>
        <v>0</v>
      </c>
      <c r="O30" s="14">
        <f t="shared" ca="1" si="15"/>
        <v>0</v>
      </c>
      <c r="P30" s="14">
        <f t="shared" ca="1" si="16"/>
        <v>1.2828619828256123E-2</v>
      </c>
      <c r="Q30" s="44"/>
      <c r="R30" s="44">
        <f t="shared" ca="1" si="3"/>
        <v>1</v>
      </c>
      <c r="S30" s="16">
        <f t="shared" ca="1" si="17"/>
        <v>1.4229599814640201</v>
      </c>
      <c r="T30" s="16">
        <f t="shared" ca="1" si="29"/>
        <v>0.45929156964045753</v>
      </c>
      <c r="U30" s="16">
        <f t="shared" ca="1" si="30"/>
        <v>109.39115693904552</v>
      </c>
      <c r="V30" s="16">
        <f t="shared" ca="1" si="31"/>
        <v>114.37482882942186</v>
      </c>
      <c r="W30" s="16">
        <f t="shared" ca="1" si="32"/>
        <v>4.6511974464695385</v>
      </c>
      <c r="X30" s="16">
        <f t="shared" ca="1" si="33"/>
        <v>4.2745161309381849</v>
      </c>
      <c r="Y30" s="16">
        <f t="shared" ca="1" si="34"/>
        <v>1964.3364406130652</v>
      </c>
      <c r="Z30" s="16">
        <f t="shared" ca="1" si="18"/>
        <v>0</v>
      </c>
      <c r="AA30" s="16">
        <f t="shared" ca="1" si="35"/>
        <v>7.7544279058517604</v>
      </c>
      <c r="AB30" s="16">
        <f t="shared" ca="1" si="36"/>
        <v>0</v>
      </c>
      <c r="AC30" s="16">
        <f t="shared" ca="1" si="37"/>
        <v>0</v>
      </c>
      <c r="AD30" s="16">
        <f t="shared" ca="1" si="38"/>
        <v>0</v>
      </c>
      <c r="AF30" s="16">
        <f t="shared" ca="1" si="19"/>
        <v>0.12059967942708069</v>
      </c>
      <c r="AG30" s="16">
        <f t="shared" ca="1" si="20"/>
        <v>1</v>
      </c>
      <c r="AH30" s="16">
        <f t="shared" ca="1" si="21"/>
        <v>0.87940032057291928</v>
      </c>
      <c r="AI30" s="16">
        <f t="shared" ca="1" si="22"/>
        <v>1.6488756010742236</v>
      </c>
      <c r="AJ30" s="16">
        <f t="shared" ca="1" si="23"/>
        <v>1.3465937798676715</v>
      </c>
      <c r="AK30" s="16">
        <f t="shared" ca="1" si="24"/>
        <v>0.24655882655252467</v>
      </c>
      <c r="AL30" s="16">
        <f t="shared" ca="1" si="25"/>
        <v>7.921430629946305E-2</v>
      </c>
      <c r="AM30" s="16">
        <f t="shared" ca="1" si="26"/>
        <v>0.83670801911343817</v>
      </c>
      <c r="AN30" s="1">
        <v>5</v>
      </c>
      <c r="AO30" s="16">
        <f ca="1">SUM(OFFSET($S$26,107,0,4,12))+SUM(OFFSET($AI$26,107,0,4,3))</f>
        <v>204.37460018722948</v>
      </c>
      <c r="AP30" s="1">
        <v>5</v>
      </c>
      <c r="AQ30" s="79">
        <f ca="1">AO30*i_Set_CABG*POWER((1-(i_Set_Cost/100)),ROUNDDOWN($AN30-1,0))</f>
        <v>35445.913183619152</v>
      </c>
      <c r="AR30" s="76">
        <v>0</v>
      </c>
      <c r="AS30" s="76">
        <v>0</v>
      </c>
      <c r="AT30" s="76">
        <v>0</v>
      </c>
      <c r="AU30" s="76">
        <v>0</v>
      </c>
    </row>
    <row r="31" spans="1:47" ht="16.5" x14ac:dyDescent="0.3">
      <c r="A31" s="2"/>
      <c r="B31" s="44">
        <f t="shared" si="27"/>
        <v>5</v>
      </c>
      <c r="C31" s="44">
        <f t="shared" si="27"/>
        <v>5</v>
      </c>
      <c r="D31" s="44">
        <f t="shared" si="5"/>
        <v>0</v>
      </c>
      <c r="E31" s="14">
        <f t="shared" ca="1" si="6"/>
        <v>1.3860258040579587E-4</v>
      </c>
      <c r="F31" s="14">
        <f t="shared" ca="1" si="7"/>
        <v>1.235109645131696E-4</v>
      </c>
      <c r="G31" s="14">
        <f t="shared" ca="1" si="8"/>
        <v>1.5483199389851226E-2</v>
      </c>
      <c r="H31" s="14">
        <f t="shared" ca="1" si="9"/>
        <v>1.0750202412694506E-2</v>
      </c>
      <c r="I31" s="14">
        <f t="shared" ca="1" si="10"/>
        <v>3.0613685951095186E-3</v>
      </c>
      <c r="J31" s="14">
        <f t="shared" ca="1" si="11"/>
        <v>2.8715870858711597E-3</v>
      </c>
      <c r="K31" s="14">
        <f t="shared" ca="1" si="12"/>
        <v>0.67691676920872723</v>
      </c>
      <c r="L31" s="14">
        <f t="shared" ca="1" si="28"/>
        <v>0.20692500041393677</v>
      </c>
      <c r="M31" s="14">
        <f t="shared" ca="1" si="13"/>
        <v>6.8992818645173884E-2</v>
      </c>
      <c r="N31" s="14">
        <f t="shared" ca="1" si="14"/>
        <v>2.6958611609448222E-5</v>
      </c>
      <c r="O31" s="14">
        <f t="shared" ca="1" si="15"/>
        <v>3.00326268750419E-5</v>
      </c>
      <c r="P31" s="14">
        <f t="shared" ca="1" si="16"/>
        <v>1.4679949465232118E-2</v>
      </c>
      <c r="Q31" s="44"/>
      <c r="R31" s="44">
        <f t="shared" ca="1" si="3"/>
        <v>0.99999999999999989</v>
      </c>
      <c r="S31" s="16">
        <f t="shared" ca="1" si="17"/>
        <v>1.4198517638059931</v>
      </c>
      <c r="T31" s="16">
        <f t="shared" ca="1" si="29"/>
        <v>0.40725785058040309</v>
      </c>
      <c r="U31" s="16">
        <f t="shared" ca="1" si="30"/>
        <v>67.043620705902967</v>
      </c>
      <c r="V31" s="16">
        <f t="shared" ca="1" si="31"/>
        <v>37.887164252098941</v>
      </c>
      <c r="W31" s="16">
        <f t="shared" ca="1" si="32"/>
        <v>6.1718231342889958</v>
      </c>
      <c r="X31" s="16">
        <f t="shared" ca="1" si="33"/>
        <v>5.7508225173946403</v>
      </c>
      <c r="Y31" s="16">
        <f t="shared" ca="1" si="34"/>
        <v>1732.6445346762009</v>
      </c>
      <c r="Z31" s="16">
        <f t="shared" ca="1" si="18"/>
        <v>0</v>
      </c>
      <c r="AA31" s="16">
        <f t="shared" ca="1" si="35"/>
        <v>22.257753277346989</v>
      </c>
      <c r="AB31" s="16">
        <f ca="1">(N31-(N30*$Q$18))*AB$25</f>
        <v>0.63584096087035602</v>
      </c>
      <c r="AC31" s="16">
        <f t="shared" ca="1" si="37"/>
        <v>7.7562262167483201E-2</v>
      </c>
      <c r="AD31" s="16">
        <f t="shared" ca="1" si="38"/>
        <v>0</v>
      </c>
      <c r="AF31" s="16">
        <f t="shared" ca="1" si="19"/>
        <v>0.22166194111765342</v>
      </c>
      <c r="AG31" s="16">
        <f t="shared" ca="1" si="20"/>
        <v>1</v>
      </c>
      <c r="AH31" s="16">
        <f t="shared" ca="1" si="21"/>
        <v>0.77833805888234653</v>
      </c>
      <c r="AI31" s="16">
        <f t="shared" ca="1" si="22"/>
        <v>1.4593838604043998</v>
      </c>
      <c r="AJ31" s="16">
        <f t="shared" ca="1" si="23"/>
        <v>1.1918408081116194</v>
      </c>
      <c r="AK31" s="16">
        <f t="shared" ca="1" si="24"/>
        <v>0.21822384410114445</v>
      </c>
      <c r="AL31" s="16">
        <f t="shared" ca="1" si="25"/>
        <v>3.6410174092330869E-2</v>
      </c>
      <c r="AM31" s="16">
        <f t="shared" ca="1" si="26"/>
        <v>0.73951856591157394</v>
      </c>
      <c r="AN31"/>
      <c r="AO31"/>
    </row>
    <row r="32" spans="1:47" ht="16.5" x14ac:dyDescent="0.3">
      <c r="A32" s="2"/>
      <c r="B32" s="44">
        <f t="shared" si="27"/>
        <v>6</v>
      </c>
      <c r="C32" s="44">
        <f t="shared" si="27"/>
        <v>6</v>
      </c>
      <c r="D32" s="44">
        <f t="shared" si="5"/>
        <v>0</v>
      </c>
      <c r="E32" s="14">
        <f t="shared" ca="1" si="6"/>
        <v>1.3833464986638764E-4</v>
      </c>
      <c r="F32" s="14">
        <f t="shared" ca="1" si="7"/>
        <v>1.2324006617414865E-4</v>
      </c>
      <c r="G32" s="14">
        <f t="shared" ca="1" si="8"/>
        <v>9.4974484207929685E-3</v>
      </c>
      <c r="H32" s="14">
        <f t="shared" ca="1" si="9"/>
        <v>6.6609430555057128E-3</v>
      </c>
      <c r="I32" s="14">
        <f t="shared" ca="1" si="10"/>
        <v>3.500447712417535E-3</v>
      </c>
      <c r="J32" s="14">
        <f t="shared" ca="1" si="11"/>
        <v>3.336201050258723E-3</v>
      </c>
      <c r="K32" s="14">
        <f t="shared" ca="1" si="12"/>
        <v>0.5724733145712575</v>
      </c>
      <c r="L32" s="14">
        <f t="shared" ca="1" si="28"/>
        <v>0.29287442666620095</v>
      </c>
      <c r="M32" s="14">
        <f t="shared" ca="1" si="13"/>
        <v>9.4982692577526201E-2</v>
      </c>
      <c r="N32" s="14">
        <f t="shared" ca="1" si="14"/>
        <v>7.7253220644667956E-5</v>
      </c>
      <c r="O32" s="14">
        <f t="shared" ca="1" si="15"/>
        <v>8.5312173922534875E-5</v>
      </c>
      <c r="P32" s="14">
        <f t="shared" ca="1" si="16"/>
        <v>1.625038583543249E-2</v>
      </c>
      <c r="Q32" s="44"/>
      <c r="R32" s="44">
        <f t="shared" ca="1" si="3"/>
        <v>0.99999999999999978</v>
      </c>
      <c r="S32" s="16">
        <f t="shared" ca="1" si="17"/>
        <v>1.4171070699637682</v>
      </c>
      <c r="T32" s="16">
        <f t="shared" ca="1" si="29"/>
        <v>0.40606213238512501</v>
      </c>
      <c r="U32" s="16">
        <f t="shared" ca="1" si="30"/>
        <v>41.109028359869455</v>
      </c>
      <c r="V32" s="16">
        <f t="shared" ca="1" si="31"/>
        <v>22.073153778765509</v>
      </c>
      <c r="W32" s="16">
        <f t="shared" ca="1" si="32"/>
        <v>7.3236120429894873</v>
      </c>
      <c r="X32" s="16">
        <f t="shared" ca="1" si="33"/>
        <v>6.9284828808659276</v>
      </c>
      <c r="Y32" s="16">
        <f t="shared" ca="1" si="34"/>
        <v>1472.5936222472792</v>
      </c>
      <c r="Z32" s="16">
        <f t="shared" ca="1" si="18"/>
        <v>0</v>
      </c>
      <c r="AA32" s="16">
        <f t="shared" ca="1" si="35"/>
        <v>34.470112091679901</v>
      </c>
      <c r="AB32" s="16">
        <f t="shared" ca="1" si="36"/>
        <v>1.2127809601615447</v>
      </c>
      <c r="AC32" s="16">
        <f t="shared" ca="1" si="37"/>
        <v>0.1479395644077752</v>
      </c>
      <c r="AD32" s="16">
        <f t="shared" ca="1" si="38"/>
        <v>0</v>
      </c>
      <c r="AF32" s="16">
        <f t="shared" ca="1" si="19"/>
        <v>0.30928737789620064</v>
      </c>
      <c r="AG32" s="16">
        <f t="shared" ca="1" si="20"/>
        <v>1</v>
      </c>
      <c r="AH32" s="16">
        <f t="shared" ca="1" si="21"/>
        <v>0.69071262210379936</v>
      </c>
      <c r="AI32" s="16">
        <f t="shared" ca="1" si="22"/>
        <v>1.2950861664446238</v>
      </c>
      <c r="AJ32" s="16">
        <f t="shared" ca="1" si="23"/>
        <v>1.0576631584522396</v>
      </c>
      <c r="AK32" s="16">
        <f t="shared" ca="1" si="24"/>
        <v>0.19365616501024335</v>
      </c>
      <c r="AL32" s="16">
        <f t="shared" ca="1" si="25"/>
        <v>2.2483257546412873E-2</v>
      </c>
      <c r="AM32" s="16">
        <f t="shared" ca="1" si="26"/>
        <v>0.63005432733530986</v>
      </c>
    </row>
    <row r="33" spans="1:43" ht="16.5" x14ac:dyDescent="0.3">
      <c r="A33" s="2"/>
      <c r="B33" s="44">
        <f t="shared" si="27"/>
        <v>7</v>
      </c>
      <c r="C33" s="44">
        <f t="shared" si="27"/>
        <v>7</v>
      </c>
      <c r="D33" s="44">
        <f t="shared" si="5"/>
        <v>0</v>
      </c>
      <c r="E33" s="14">
        <f t="shared" ca="1" si="6"/>
        <v>1.3809933618224543E-4</v>
      </c>
      <c r="F33" s="14">
        <f t="shared" ca="1" si="7"/>
        <v>1.2300163985996953E-4</v>
      </c>
      <c r="G33" s="14">
        <f t="shared" ca="1" si="8"/>
        <v>5.8316247596788238E-3</v>
      </c>
      <c r="H33" s="14">
        <f t="shared" ca="1" si="9"/>
        <v>4.2059206958747286E-3</v>
      </c>
      <c r="I33" s="14">
        <f t="shared" ca="1" si="10"/>
        <v>3.8123476481787153E-3</v>
      </c>
      <c r="J33" s="14">
        <f t="shared" ca="1" si="11"/>
        <v>3.6947358012836633E-3</v>
      </c>
      <c r="K33" s="14">
        <f t="shared" ca="1" si="12"/>
        <v>0.4818696373803375</v>
      </c>
      <c r="L33" s="14">
        <f t="shared" ca="1" si="28"/>
        <v>0.36685247439943991</v>
      </c>
      <c r="M33" s="14">
        <f t="shared" ca="1" si="13"/>
        <v>0.11558453499791678</v>
      </c>
      <c r="N33" s="14">
        <f t="shared" ca="1" si="14"/>
        <v>1.4630938197251537E-4</v>
      </c>
      <c r="O33" s="14">
        <f t="shared" ca="1" si="15"/>
        <v>1.601433913639973E-4</v>
      </c>
      <c r="P33" s="14">
        <f t="shared" ca="1" si="16"/>
        <v>1.7581170567910965E-2</v>
      </c>
      <c r="Q33" s="44"/>
      <c r="R33" s="44">
        <f t="shared" ca="1" si="3"/>
        <v>0.99999999999999967</v>
      </c>
      <c r="S33" s="16">
        <f t="shared" ca="1" si="17"/>
        <v>1.4146965048177311</v>
      </c>
      <c r="T33" s="16">
        <f t="shared" ca="1" si="29"/>
        <v>0.40522396990945608</v>
      </c>
      <c r="U33" s="16">
        <f t="shared" ca="1" si="30"/>
        <v>25.2260593433457</v>
      </c>
      <c r="V33" s="16">
        <f t="shared" ca="1" si="31"/>
        <v>13.776575189450067</v>
      </c>
      <c r="W33" s="16">
        <f t="shared" ca="1" si="32"/>
        <v>8.1617762004928753</v>
      </c>
      <c r="X33" s="16">
        <f t="shared" ca="1" si="33"/>
        <v>7.847195256043384</v>
      </c>
      <c r="Y33" s="16">
        <f t="shared" ca="1" si="34"/>
        <v>1242.7013203177476</v>
      </c>
      <c r="Z33" s="16">
        <f t="shared" ca="1" si="18"/>
        <v>0</v>
      </c>
      <c r="AA33" s="16">
        <f t="shared" ca="1" si="35"/>
        <v>44.264389744771748</v>
      </c>
      <c r="AB33" s="16">
        <f t="shared" ca="1" si="36"/>
        <v>1.7048037386129311</v>
      </c>
      <c r="AC33" s="16">
        <f t="shared" ca="1" si="37"/>
        <v>0.20795834596343693</v>
      </c>
      <c r="AD33" s="16">
        <f t="shared" ca="1" si="38"/>
        <v>0</v>
      </c>
      <c r="AF33" s="16">
        <f t="shared" ca="1" si="19"/>
        <v>0.3847400977406874</v>
      </c>
      <c r="AG33" s="16">
        <f t="shared" ca="1" si="20"/>
        <v>1</v>
      </c>
      <c r="AH33" s="16">
        <f t="shared" ca="1" si="21"/>
        <v>0.6152599022593126</v>
      </c>
      <c r="AI33" s="16">
        <f t="shared" ca="1" si="22"/>
        <v>1.1536123167362111</v>
      </c>
      <c r="AJ33" s="16">
        <f t="shared" ca="1" si="23"/>
        <v>0.94212514824263449</v>
      </c>
      <c r="AK33" s="16">
        <f t="shared" ca="1" si="24"/>
        <v>0.17250136937299246</v>
      </c>
      <c r="AL33" s="16">
        <f t="shared" ca="1" si="25"/>
        <v>1.4528560887878064E-2</v>
      </c>
      <c r="AM33" s="16">
        <f t="shared" ca="1" si="26"/>
        <v>0.5331740875059563</v>
      </c>
    </row>
    <row r="34" spans="1:43" ht="16.5" x14ac:dyDescent="0.3">
      <c r="A34" s="2"/>
      <c r="B34" s="44">
        <f t="shared" si="27"/>
        <v>8</v>
      </c>
      <c r="C34" s="44">
        <f t="shared" si="27"/>
        <v>8</v>
      </c>
      <c r="D34" s="44">
        <f t="shared" si="5"/>
        <v>0</v>
      </c>
      <c r="E34" s="14">
        <f t="shared" ca="1" si="6"/>
        <v>1.3789229056810948E-4</v>
      </c>
      <c r="F34" s="14">
        <f t="shared" ca="1" si="7"/>
        <v>1.227922356314964E-4</v>
      </c>
      <c r="G34" s="14">
        <f t="shared" ca="1" si="8"/>
        <v>3.5865748037556397E-3</v>
      </c>
      <c r="H34" s="14">
        <f t="shared" ca="1" si="9"/>
        <v>2.706831584673199E-3</v>
      </c>
      <c r="I34" s="14">
        <f t="shared" ca="1" si="10"/>
        <v>4.020330766316511E-3</v>
      </c>
      <c r="J34" s="14">
        <f t="shared" ca="1" si="11"/>
        <v>3.9647798962706236E-3</v>
      </c>
      <c r="K34" s="14">
        <f t="shared" ca="1" si="12"/>
        <v>0.40430955487409037</v>
      </c>
      <c r="L34" s="14">
        <f t="shared" ca="1" si="28"/>
        <v>0.43037611358266864</v>
      </c>
      <c r="M34" s="14">
        <f t="shared" ca="1" si="13"/>
        <v>0.13158605848748595</v>
      </c>
      <c r="N34" s="14">
        <f t="shared" ca="1" si="14"/>
        <v>2.301088564314496E-4</v>
      </c>
      <c r="O34" s="14">
        <f t="shared" ca="1" si="15"/>
        <v>2.4961789921087811E-4</v>
      </c>
      <c r="P34" s="14">
        <f t="shared" ca="1" si="16"/>
        <v>1.8709344722896919E-2</v>
      </c>
      <c r="Q34" s="44"/>
      <c r="R34" s="44">
        <f t="shared" ca="1" si="3"/>
        <v>0.99999999999999978</v>
      </c>
      <c r="S34" s="16">
        <f t="shared" ca="1" si="17"/>
        <v>1.4125755191942417</v>
      </c>
      <c r="T34" s="16">
        <f t="shared" ca="1" si="29"/>
        <v>0.40448700429439849</v>
      </c>
      <c r="U34" s="16">
        <f t="shared" ca="1" si="30"/>
        <v>15.498918838572475</v>
      </c>
      <c r="V34" s="16">
        <f t="shared" ca="1" si="31"/>
        <v>8.7637108311874421</v>
      </c>
      <c r="W34" s="16">
        <f t="shared" ca="1" si="32"/>
        <v>8.7420152099441459</v>
      </c>
      <c r="X34" s="16">
        <f t="shared" ca="1" si="33"/>
        <v>8.5487491232768438</v>
      </c>
      <c r="Y34" s="16">
        <f t="shared" ca="1" si="34"/>
        <v>1044.4951049506815</v>
      </c>
      <c r="Z34" s="16">
        <f t="shared" ca="1" si="18"/>
        <v>0</v>
      </c>
      <c r="AA34" s="16">
        <f t="shared" ca="1" si="35"/>
        <v>51.958966309533935</v>
      </c>
      <c r="AB34" s="16">
        <f t="shared" ca="1" si="36"/>
        <v>2.1205242251825887</v>
      </c>
      <c r="AC34" s="16">
        <f t="shared" ca="1" si="37"/>
        <v>0.2586694881389468</v>
      </c>
      <c r="AD34" s="16">
        <f t="shared" ca="1" si="38"/>
        <v>0</v>
      </c>
      <c r="AF34" s="16">
        <f t="shared" ca="1" si="19"/>
        <v>0.44956518506120791</v>
      </c>
      <c r="AG34" s="16">
        <f t="shared" ca="1" si="20"/>
        <v>9.7057930751519197E-4</v>
      </c>
      <c r="AH34" s="16">
        <f t="shared" ca="1" si="21"/>
        <v>9.7057930751519197E-4</v>
      </c>
      <c r="AI34" s="16">
        <f t="shared" ca="1" si="22"/>
        <v>1.819836201590985E-3</v>
      </c>
      <c r="AJ34" s="16">
        <f t="shared" ca="1" si="23"/>
        <v>1.4862128518633578E-3</v>
      </c>
      <c r="AK34" s="16">
        <f t="shared" ca="1" si="24"/>
        <v>2.7212281999306446E-4</v>
      </c>
      <c r="AL34" s="16">
        <f t="shared" ca="1" si="25"/>
        <v>9.7005299637843365E-3</v>
      </c>
      <c r="AM34" s="16">
        <f t="shared" ca="1" si="26"/>
        <v>0.44956153189256642</v>
      </c>
      <c r="AO34" s="1" t="s">
        <v>329</v>
      </c>
      <c r="AP34" s="139" t="s">
        <v>464</v>
      </c>
    </row>
    <row r="35" spans="1:43" ht="16.5" x14ac:dyDescent="0.3">
      <c r="A35" s="2"/>
      <c r="B35" s="44">
        <f t="shared" si="27"/>
        <v>9</v>
      </c>
      <c r="C35" s="44">
        <f t="shared" si="27"/>
        <v>9</v>
      </c>
      <c r="D35" s="44">
        <f t="shared" si="5"/>
        <v>0</v>
      </c>
      <c r="E35" s="14">
        <f t="shared" ca="1" si="6"/>
        <v>1.3770956570570065E-4</v>
      </c>
      <c r="F35" s="14">
        <f t="shared" ca="1" si="7"/>
        <v>1.2260798926828689E-4</v>
      </c>
      <c r="G35" s="14">
        <f t="shared" ca="1" si="8"/>
        <v>2.2116383327980293E-3</v>
      </c>
      <c r="H35" s="14">
        <f t="shared" ca="1" si="9"/>
        <v>1.7901282369645335E-3</v>
      </c>
      <c r="I35" s="14">
        <f t="shared" ca="1" si="10"/>
        <v>4.1441823502163869E-3</v>
      </c>
      <c r="J35" s="14">
        <f t="shared" ca="1" si="11"/>
        <v>4.161463449999782E-3</v>
      </c>
      <c r="K35" s="14">
        <f t="shared" ca="1" si="12"/>
        <v>0.338486844208777</v>
      </c>
      <c r="L35" s="14">
        <f t="shared" ca="1" si="28"/>
        <v>0.48489193107375089</v>
      </c>
      <c r="M35" s="14">
        <f t="shared" ca="1" si="13"/>
        <v>0.14371160252542672</v>
      </c>
      <c r="N35" s="14">
        <f t="shared" ca="1" si="14"/>
        <v>3.2523063436651161E-4</v>
      </c>
      <c r="O35" s="14">
        <f t="shared" ca="1" si="15"/>
        <v>3.4963325680136947E-4</v>
      </c>
      <c r="P35" s="14">
        <f t="shared" ca="1" si="16"/>
        <v>1.9667028375924482E-2</v>
      </c>
      <c r="Q35" s="44"/>
      <c r="R35" s="44">
        <f t="shared" ca="1" si="3"/>
        <v>0.99999999999999967</v>
      </c>
      <c r="S35" s="16">
        <f t="shared" ca="1" si="17"/>
        <v>1.4107036765674825</v>
      </c>
      <c r="T35" s="16">
        <f t="shared" ca="1" si="29"/>
        <v>0.40383919910295485</v>
      </c>
      <c r="U35" s="16">
        <f t="shared" ca="1" si="30"/>
        <v>9.5417424749724979</v>
      </c>
      <c r="V35" s="16">
        <f t="shared" ca="1" si="31"/>
        <v>5.7010657834794518</v>
      </c>
      <c r="W35" s="16">
        <f t="shared" ca="1" si="32"/>
        <v>9.1123743462304212</v>
      </c>
      <c r="X35" s="16">
        <f t="shared" ca="1" si="33"/>
        <v>9.069661637242314</v>
      </c>
      <c r="Y35" s="16">
        <f t="shared" ca="1" si="34"/>
        <v>875.4969757790218</v>
      </c>
      <c r="Z35" s="16">
        <f t="shared" ca="1" si="18"/>
        <v>0</v>
      </c>
      <c r="AA35" s="16">
        <f t="shared" ca="1" si="35"/>
        <v>57.871697809829435</v>
      </c>
      <c r="AB35" s="16">
        <f t="shared" ca="1" si="36"/>
        <v>2.4700725199328333</v>
      </c>
      <c r="AC35" s="16">
        <f t="shared" ca="1" si="37"/>
        <v>0.30130869848567249</v>
      </c>
      <c r="AD35" s="16">
        <f t="shared" ca="1" si="38"/>
        <v>0</v>
      </c>
      <c r="AF35" s="16">
        <f t="shared" ca="1" si="19"/>
        <v>0.50523382334084332</v>
      </c>
      <c r="AG35" s="16">
        <f t="shared" ca="1" si="20"/>
        <v>1.1082888732208925E-3</v>
      </c>
      <c r="AH35" s="16">
        <f t="shared" ca="1" si="21"/>
        <v>1.1082888732208925E-3</v>
      </c>
      <c r="AI35" s="16">
        <f t="shared" ca="1" si="22"/>
        <v>2.0780416372891733E-3</v>
      </c>
      <c r="AJ35" s="16">
        <f t="shared" ca="1" si="23"/>
        <v>1.6970825095941663E-3</v>
      </c>
      <c r="AK35" s="16">
        <f t="shared" ca="1" si="24"/>
        <v>3.1073266369125075E-4</v>
      </c>
      <c r="AL35" s="16">
        <f t="shared" ca="1" si="25"/>
        <v>6.7552349018279306E-3</v>
      </c>
      <c r="AM35" s="16">
        <f t="shared" ca="1" si="26"/>
        <v>0.3781964303906899</v>
      </c>
      <c r="AO35" s="77">
        <f ca="1">SUM(OFFSET(AL26,0,0,93+IF(i_Set_Time&gt;0.5,2,0),1))*i_Set_CABG</f>
        <v>467.56008752364585</v>
      </c>
      <c r="AP35" s="77">
        <f ca="1">(SUM(OFFSET(AM26,0,0,93+IF(i_Set_Time&gt;0.5,2,0),1))*i_Set_CABG)+AO35</f>
        <v>2036.0093913495689</v>
      </c>
      <c r="AQ35" s="44"/>
    </row>
    <row r="36" spans="1:43" ht="16.5" x14ac:dyDescent="0.3">
      <c r="A36" s="2"/>
      <c r="B36" s="44">
        <f t="shared" si="27"/>
        <v>10</v>
      </c>
      <c r="C36" s="44">
        <f t="shared" si="27"/>
        <v>10</v>
      </c>
      <c r="D36" s="44">
        <f t="shared" si="5"/>
        <v>0</v>
      </c>
      <c r="E36" s="14">
        <f t="shared" ca="1" si="6"/>
        <v>1.3754770820447192E-4</v>
      </c>
      <c r="F36" s="14">
        <f t="shared" ca="1" si="7"/>
        <v>1.2244538888735108E-4</v>
      </c>
      <c r="G36" s="14">
        <f t="shared" ca="1" si="8"/>
        <v>1.3695795240949006E-3</v>
      </c>
      <c r="H36" s="14">
        <f t="shared" ca="1" si="9"/>
        <v>1.2290901471270197E-3</v>
      </c>
      <c r="I36" s="14">
        <f t="shared" ca="1" si="10"/>
        <v>4.2005435317557004E-3</v>
      </c>
      <c r="J36" s="14">
        <f t="shared" ca="1" si="11"/>
        <v>4.2976520603419119E-3</v>
      </c>
      <c r="K36" s="14">
        <f t="shared" ca="1" si="12"/>
        <v>0.28296186239503024</v>
      </c>
      <c r="L36" s="14">
        <f t="shared" ca="1" si="28"/>
        <v>0.5317109614631782</v>
      </c>
      <c r="M36" s="14">
        <f t="shared" ca="1" si="13"/>
        <v>0.15260299487513887</v>
      </c>
      <c r="N36" s="14">
        <f t="shared" ca="1" si="14"/>
        <v>4.2880107924265826E-4</v>
      </c>
      <c r="O36" s="14">
        <f t="shared" ca="1" si="15"/>
        <v>4.5681142506935613E-4</v>
      </c>
      <c r="P36" s="14">
        <f t="shared" ca="1" si="16"/>
        <v>2.0481710401928938E-2</v>
      </c>
      <c r="R36" s="44">
        <f t="shared" ca="1" si="3"/>
        <v>0.99999999999999956</v>
      </c>
      <c r="S36" s="16">
        <f t="shared" ca="1" si="17"/>
        <v>1.4090456002320204</v>
      </c>
      <c r="T36" s="16">
        <f t="shared" ca="1" si="29"/>
        <v>0.40326841596115326</v>
      </c>
      <c r="U36" s="16">
        <f t="shared" ca="1" si="30"/>
        <v>5.893377447927997</v>
      </c>
      <c r="V36" s="16">
        <f t="shared" ca="1" si="31"/>
        <v>3.8276442986159078</v>
      </c>
      <c r="W36" s="16">
        <f t="shared" ca="1" si="32"/>
        <v>9.3135089585719673</v>
      </c>
      <c r="X36" s="16">
        <f t="shared" ca="1" si="33"/>
        <v>9.4411786799812312</v>
      </c>
      <c r="Y36" s="16">
        <f t="shared" ca="1" si="34"/>
        <v>732.47051803857744</v>
      </c>
      <c r="Z36" s="16">
        <f t="shared" ca="1" si="18"/>
        <v>0</v>
      </c>
      <c r="AA36" s="16">
        <f t="shared" ca="1" si="35"/>
        <v>62.289773092559898</v>
      </c>
      <c r="AB36" s="16">
        <f t="shared" ca="1" si="36"/>
        <v>2.7629908051571981</v>
      </c>
      <c r="AC36" s="16">
        <f t="shared" ca="1" si="37"/>
        <v>0.33703996814329695</v>
      </c>
      <c r="AD36" s="16">
        <f t="shared" ca="1" si="38"/>
        <v>0</v>
      </c>
      <c r="AF36" s="16">
        <f t="shared" ca="1" si="19"/>
        <v>0.55307828436941919</v>
      </c>
      <c r="AG36" s="16">
        <f t="shared" ca="1" si="20"/>
        <v>1.1063022038542846E-3</v>
      </c>
      <c r="AH36" s="16">
        <f t="shared" ca="1" si="21"/>
        <v>1.1063022038542846E-3</v>
      </c>
      <c r="AI36" s="16">
        <f t="shared" ca="1" si="22"/>
        <v>2.0743166322267836E-3</v>
      </c>
      <c r="AJ36" s="16">
        <f t="shared" ca="1" si="23"/>
        <v>1.6940403949290443E-3</v>
      </c>
      <c r="AK36" s="16">
        <f t="shared" ca="1" si="24"/>
        <v>3.1017565813153065E-4</v>
      </c>
      <c r="AL36" s="16">
        <f t="shared" ca="1" si="25"/>
        <v>4.9544622555182331E-3</v>
      </c>
      <c r="AM36" s="16">
        <f t="shared" ca="1" si="26"/>
        <v>0.31773218518906743</v>
      </c>
      <c r="AO36" s="1" t="s">
        <v>330</v>
      </c>
    </row>
    <row r="37" spans="1:43" ht="16.5" x14ac:dyDescent="0.3">
      <c r="A37" s="2"/>
      <c r="B37" s="44">
        <f t="shared" si="27"/>
        <v>11</v>
      </c>
      <c r="C37" s="44">
        <f t="shared" si="27"/>
        <v>11</v>
      </c>
      <c r="D37" s="44">
        <f t="shared" si="5"/>
        <v>0</v>
      </c>
      <c r="E37" s="14">
        <f t="shared" ca="1" si="6"/>
        <v>1.3740373634694547E-4</v>
      </c>
      <c r="F37" s="14">
        <f t="shared" ca="1" si="7"/>
        <v>1.2230136126040379E-4</v>
      </c>
      <c r="G37" s="14">
        <f t="shared" ca="1" si="8"/>
        <v>8.5386800081894553E-4</v>
      </c>
      <c r="H37" s="14">
        <f t="shared" ca="1" si="9"/>
        <v>8.8514074005365483E-4</v>
      </c>
      <c r="I37" s="14">
        <f t="shared" ca="1" si="10"/>
        <v>4.2032982747031069E-3</v>
      </c>
      <c r="J37" s="14">
        <f t="shared" ca="1" si="11"/>
        <v>4.3842007929261765E-3</v>
      </c>
      <c r="K37" s="14">
        <f t="shared" ca="1" si="12"/>
        <v>0.23632388887189149</v>
      </c>
      <c r="L37" s="14">
        <f t="shared" ca="1" si="28"/>
        <v>0.57198930997968389</v>
      </c>
      <c r="M37" s="14">
        <f t="shared" ca="1" si="13"/>
        <v>0.15881703698831098</v>
      </c>
      <c r="N37" s="14">
        <f t="shared" ca="1" si="14"/>
        <v>5.3843044081284771E-4</v>
      </c>
      <c r="O37" s="14">
        <f t="shared" ca="1" si="15"/>
        <v>5.6840516554224876E-4</v>
      </c>
      <c r="P37" s="14">
        <f t="shared" ca="1" si="16"/>
        <v>2.1176715647648999E-2</v>
      </c>
      <c r="R37" s="44">
        <f t="shared" ca="1" si="3"/>
        <v>0.99999999999999967</v>
      </c>
      <c r="S37" s="16">
        <f t="shared" ca="1" si="17"/>
        <v>1.4075707453249267</v>
      </c>
      <c r="T37" s="16">
        <f t="shared" ca="1" si="29"/>
        <v>0.40276381817940066</v>
      </c>
      <c r="U37" s="16">
        <f t="shared" ca="1" si="30"/>
        <v>3.6589830676615973</v>
      </c>
      <c r="V37" s="16">
        <f t="shared" ca="1" si="31"/>
        <v>2.6803373495321718</v>
      </c>
      <c r="W37" s="16">
        <f t="shared" ca="1" si="32"/>
        <v>9.3794879613683086</v>
      </c>
      <c r="X37" s="16">
        <f t="shared" ca="1" si="33"/>
        <v>9.6897747714640161</v>
      </c>
      <c r="Y37" s="16">
        <f t="shared" ca="1" si="34"/>
        <v>612.05615073075739</v>
      </c>
      <c r="Z37" s="16">
        <f t="shared" ca="1" si="18"/>
        <v>0</v>
      </c>
      <c r="AA37" s="16">
        <f t="shared" ca="1" si="35"/>
        <v>65.465161998175105</v>
      </c>
      <c r="AB37" s="16">
        <f t="shared" ca="1" si="36"/>
        <v>3.0078627754089791</v>
      </c>
      <c r="AC37" s="16">
        <f t="shared" ca="1" si="37"/>
        <v>0.36691036832660529</v>
      </c>
      <c r="AD37" s="16">
        <f t="shared" ca="1" si="38"/>
        <v>0</v>
      </c>
      <c r="AF37" s="16">
        <f t="shared" ca="1" si="19"/>
        <v>0.59427286123368794</v>
      </c>
      <c r="AG37" s="16">
        <f t="shared" ca="1" si="20"/>
        <v>1.104495864562374E-3</v>
      </c>
      <c r="AH37" s="16">
        <f t="shared" ca="1" si="21"/>
        <v>1.104495864562374E-3</v>
      </c>
      <c r="AI37" s="16">
        <f t="shared" ca="1" si="22"/>
        <v>2.0709297460544513E-3</v>
      </c>
      <c r="AJ37" s="16">
        <f t="shared" ca="1" si="23"/>
        <v>1.6912744131595213E-3</v>
      </c>
      <c r="AK37" s="16">
        <f t="shared" ca="1" si="24"/>
        <v>3.0966921199346352E-4</v>
      </c>
      <c r="AL37" s="16">
        <f t="shared" ca="1" si="25"/>
        <v>3.8486217458147424E-3</v>
      </c>
      <c r="AM37" s="16">
        <f t="shared" ca="1" si="26"/>
        <v>0.2667657895209064</v>
      </c>
      <c r="AN37" s="1" t="s">
        <v>335</v>
      </c>
      <c r="AO37" s="16">
        <f ca="1">(SUM(AB26:AB118)/$AB$25)</f>
        <v>1.5871498120681331E-2</v>
      </c>
      <c r="AP37" s="16">
        <f ca="1">AO37*i_Set_CABG</f>
        <v>3.1742996241362662</v>
      </c>
      <c r="AQ37" s="78">
        <f ca="1">SUM(OFFSET(AP37,0,0,1+i_Set_Time,1))</f>
        <v>3.6532227806235968</v>
      </c>
    </row>
    <row r="38" spans="1:43" ht="16.5" x14ac:dyDescent="0.3">
      <c r="A38" s="2"/>
      <c r="B38" s="44">
        <f t="shared" si="27"/>
        <v>12</v>
      </c>
      <c r="C38" s="44">
        <f t="shared" si="27"/>
        <v>12</v>
      </c>
      <c r="D38" s="44">
        <f t="shared" si="5"/>
        <v>0</v>
      </c>
      <c r="E38" s="14">
        <f t="shared" ca="1" si="6"/>
        <v>1.3727509654866917E-4</v>
      </c>
      <c r="F38" s="14">
        <f t="shared" ca="1" si="7"/>
        <v>1.221732526626713E-4</v>
      </c>
      <c r="G38" s="14">
        <f t="shared" ca="1" si="8"/>
        <v>5.3802008065928562E-4</v>
      </c>
      <c r="H38" s="14">
        <f t="shared" ca="1" si="9"/>
        <v>6.7357417901116302E-4</v>
      </c>
      <c r="I38" s="14">
        <f t="shared" ca="1" si="10"/>
        <v>4.163955863522857E-3</v>
      </c>
      <c r="J38" s="14">
        <f t="shared" ca="1" si="11"/>
        <v>4.4302165017425024E-3</v>
      </c>
      <c r="K38" s="14">
        <f t="shared" ca="1" si="12"/>
        <v>0.19727005848971377</v>
      </c>
      <c r="L38" s="14">
        <f t="shared" ca="1" si="28"/>
        <v>0.6067287166508879</v>
      </c>
      <c r="M38" s="14">
        <f t="shared" ca="1" si="13"/>
        <v>0.16282993823898662</v>
      </c>
      <c r="N38" s="14">
        <f t="shared" ca="1" si="14"/>
        <v>6.5214793863711058E-4</v>
      </c>
      <c r="O38" s="14">
        <f t="shared" ca="1" si="15"/>
        <v>6.8220613905264796E-4</v>
      </c>
      <c r="P38" s="14">
        <f t="shared" ca="1" si="16"/>
        <v>2.1771717568574461E-2</v>
      </c>
      <c r="R38" s="44">
        <f t="shared" ca="1" si="3"/>
        <v>0.99999999999999967</v>
      </c>
      <c r="S38" s="16">
        <f t="shared" ca="1" si="17"/>
        <v>1.4062529527993943</v>
      </c>
      <c r="T38" s="16">
        <f t="shared" ca="1" si="29"/>
        <v>0.40231598128329965</v>
      </c>
      <c r="U38" s="16">
        <f t="shared" ca="1" si="30"/>
        <v>2.2905397429634289</v>
      </c>
      <c r="V38" s="16">
        <f t="shared" ca="1" si="31"/>
        <v>1.9760764257936134</v>
      </c>
      <c r="W38" s="16">
        <f t="shared" ca="1" si="32"/>
        <v>9.3386526384733966</v>
      </c>
      <c r="X38" s="16">
        <f t="shared" ca="1" si="33"/>
        <v>9.8377293154520711</v>
      </c>
      <c r="Y38" s="16">
        <f t="shared" ca="1" si="34"/>
        <v>511.05550605775608</v>
      </c>
      <c r="Z38" s="16">
        <f t="shared" ca="1" si="18"/>
        <v>0</v>
      </c>
      <c r="AA38" s="16">
        <f t="shared" ca="1" si="35"/>
        <v>67.615018897406358</v>
      </c>
      <c r="AB38" s="16">
        <f t="shared" ca="1" si="36"/>
        <v>3.2122174138311803</v>
      </c>
      <c r="AC38" s="16">
        <f t="shared" ca="1" si="37"/>
        <v>0.39183831260177049</v>
      </c>
      <c r="AD38" s="16">
        <f t="shared" ca="1" si="38"/>
        <v>0</v>
      </c>
      <c r="AF38" s="16">
        <f t="shared" ca="1" si="19"/>
        <v>0.62983478829715211</v>
      </c>
      <c r="AG38" s="16">
        <f t="shared" ca="1" si="20"/>
        <v>1.1028649638283256E-3</v>
      </c>
      <c r="AH38" s="16">
        <f t="shared" ca="1" si="21"/>
        <v>1.1028649638283256E-3</v>
      </c>
      <c r="AI38" s="16">
        <f t="shared" ca="1" si="22"/>
        <v>2.0678718071781106E-3</v>
      </c>
      <c r="AJ38" s="16">
        <f t="shared" ca="1" si="23"/>
        <v>1.6887770740834787E-3</v>
      </c>
      <c r="AK38" s="16">
        <f t="shared" ca="1" si="24"/>
        <v>3.0921195383491675E-4</v>
      </c>
      <c r="AL38" s="16">
        <f t="shared" ca="1" si="25"/>
        <v>3.16369652497681E-3</v>
      </c>
      <c r="AM38" s="16">
        <f t="shared" ca="1" si="26"/>
        <v>0.22395899109595402</v>
      </c>
      <c r="AN38" s="1" t="s">
        <v>323</v>
      </c>
      <c r="AO38" s="16">
        <f ca="1">SUM(AB119:AB120)/$AB$25</f>
        <v>2.3946157824366525E-3</v>
      </c>
      <c r="AP38" s="16">
        <f t="shared" ref="AP38:AP42" ca="1" si="39">AO38*i_Set_CABG</f>
        <v>0.47892315648733047</v>
      </c>
    </row>
    <row r="39" spans="1:43" ht="16.5" x14ac:dyDescent="0.3">
      <c r="A39" s="2"/>
      <c r="B39" s="44">
        <f t="shared" si="27"/>
        <v>13</v>
      </c>
      <c r="C39" s="44">
        <f t="shared" si="27"/>
        <v>13</v>
      </c>
      <c r="D39" s="44">
        <f t="shared" si="5"/>
        <v>0</v>
      </c>
      <c r="E39" s="14">
        <f t="shared" ca="1" si="6"/>
        <v>1.3715961339894707E-4</v>
      </c>
      <c r="F39" s="14">
        <f t="shared" ca="1" si="7"/>
        <v>1.2205879027663477E-4</v>
      </c>
      <c r="G39" s="14">
        <f t="shared" ca="1" si="8"/>
        <v>3.4457433328067042E-4</v>
      </c>
      <c r="H39" s="14">
        <f t="shared" ca="1" si="9"/>
        <v>5.4264409571467003E-4</v>
      </c>
      <c r="I39" s="14">
        <f t="shared" ca="1" si="10"/>
        <v>4.0920053807669303E-3</v>
      </c>
      <c r="J39" s="14">
        <f t="shared" ca="1" si="11"/>
        <v>4.4433068262546387E-3</v>
      </c>
      <c r="K39" s="14">
        <f t="shared" ca="1" si="12"/>
        <v>0.16463827989513088</v>
      </c>
      <c r="L39" s="14">
        <f t="shared" ca="1" si="28"/>
        <v>0.63678701591868148</v>
      </c>
      <c r="M39" s="14">
        <f t="shared" ca="1" si="13"/>
        <v>0.16504491494735404</v>
      </c>
      <c r="N39" s="14">
        <f t="shared" ca="1" si="14"/>
        <v>7.6834048685323346E-4</v>
      </c>
      <c r="O39" s="14">
        <f t="shared" ca="1" si="15"/>
        <v>7.9646017340646261E-4</v>
      </c>
      <c r="P39" s="14">
        <f t="shared" ca="1" si="16"/>
        <v>2.2283239538881141E-2</v>
      </c>
      <c r="R39" s="44">
        <f t="shared" ca="1" si="3"/>
        <v>0.99999999999999978</v>
      </c>
      <c r="S39" s="16">
        <f t="shared" ca="1" si="17"/>
        <v>1.4050699376394835</v>
      </c>
      <c r="T39" s="16">
        <f t="shared" ca="1" si="29"/>
        <v>0.40191679798242497</v>
      </c>
      <c r="U39" s="16">
        <f t="shared" ca="1" si="30"/>
        <v>1.4524282583840797</v>
      </c>
      <c r="V39" s="16">
        <f t="shared" ca="1" si="31"/>
        <v>1.5418728799664221</v>
      </c>
      <c r="W39" s="16">
        <f t="shared" ca="1" si="32"/>
        <v>9.2144391676703261</v>
      </c>
      <c r="X39" s="16">
        <f t="shared" ca="1" si="33"/>
        <v>9.9036972787736151</v>
      </c>
      <c r="Y39" s="16">
        <f t="shared" ca="1" si="34"/>
        <v>426.56326303729719</v>
      </c>
      <c r="Z39" s="16">
        <f t="shared" ca="1" si="18"/>
        <v>0</v>
      </c>
      <c r="AA39" s="16">
        <f t="shared" ca="1" si="35"/>
        <v>68.924212262566613</v>
      </c>
      <c r="AB39" s="16">
        <f t="shared" ca="1" si="36"/>
        <v>3.3825509623139793</v>
      </c>
      <c r="AC39" s="16">
        <f t="shared" ca="1" si="37"/>
        <v>0.41261623688846077</v>
      </c>
      <c r="AD39" s="16">
        <f t="shared" ca="1" si="38"/>
        <v>0</v>
      </c>
      <c r="AF39" s="16">
        <f t="shared" ca="1" si="19"/>
        <v>0.66063505611782236</v>
      </c>
      <c r="AG39" s="16">
        <f t="shared" ca="1" si="20"/>
        <v>1.1014219968214769E-3</v>
      </c>
      <c r="AH39" s="16">
        <f t="shared" ca="1" si="21"/>
        <v>1.1014219968214769E-3</v>
      </c>
      <c r="AI39" s="16">
        <f t="shared" ca="1" si="22"/>
        <v>2.0651662440402691E-3</v>
      </c>
      <c r="AJ39" s="16">
        <f t="shared" ca="1" si="23"/>
        <v>1.6865675111000233E-3</v>
      </c>
      <c r="AK39" s="16">
        <f t="shared" ca="1" si="24"/>
        <v>3.0880738694582258E-4</v>
      </c>
      <c r="AL39" s="16">
        <f t="shared" ca="1" si="25"/>
        <v>2.7329231042951901E-3</v>
      </c>
      <c r="AM39" s="16">
        <f t="shared" ca="1" si="26"/>
        <v>0.18809472809504696</v>
      </c>
      <c r="AN39" s="1" t="s">
        <v>331</v>
      </c>
      <c r="AO39" s="16">
        <f ca="1">SUM(AB121:AB124)/$AB$25</f>
        <v>4.6888550076213641E-3</v>
      </c>
      <c r="AP39" s="16">
        <f t="shared" ca="1" si="39"/>
        <v>0.93777100152427284</v>
      </c>
    </row>
    <row r="40" spans="1:43" ht="16.5" x14ac:dyDescent="0.3">
      <c r="A40" s="2"/>
      <c r="B40" s="44">
        <f t="shared" si="27"/>
        <v>14</v>
      </c>
      <c r="C40" s="44">
        <f t="shared" si="27"/>
        <v>14</v>
      </c>
      <c r="D40" s="44">
        <f t="shared" si="5"/>
        <v>0</v>
      </c>
      <c r="E40" s="14">
        <f t="shared" ca="1" si="6"/>
        <v>1.3705543977504266E-4</v>
      </c>
      <c r="F40" s="14">
        <f t="shared" ca="1" si="7"/>
        <v>1.2195603780570961E-4</v>
      </c>
      <c r="G40" s="14">
        <f t="shared" ca="1" si="8"/>
        <v>2.2609158252208603E-4</v>
      </c>
      <c r="H40" s="14">
        <f t="shared" ca="1" si="9"/>
        <v>4.6076526451577481E-4</v>
      </c>
      <c r="I40" s="14">
        <f t="shared" ca="1" si="10"/>
        <v>3.9952323432717622E-3</v>
      </c>
      <c r="J40" s="14">
        <f t="shared" ca="1" si="11"/>
        <v>4.4298059645431348E-3</v>
      </c>
      <c r="K40" s="14">
        <f t="shared" ca="1" si="12"/>
        <v>0.13741466871900943</v>
      </c>
      <c r="L40" s="14">
        <f t="shared" ca="1" si="28"/>
        <v>0.6628929261343347</v>
      </c>
      <c r="M40" s="14">
        <f t="shared" ca="1" si="13"/>
        <v>0.1658008919372351</v>
      </c>
      <c r="N40" s="14">
        <f t="shared" ca="1" si="14"/>
        <v>8.8569734210662662E-4</v>
      </c>
      <c r="O40" s="14">
        <f t="shared" ca="1" si="15"/>
        <v>9.0979193315904891E-4</v>
      </c>
      <c r="P40" s="14">
        <f t="shared" ca="1" si="16"/>
        <v>2.2725117301721293E-2</v>
      </c>
      <c r="R40" s="44">
        <f t="shared" ca="1" si="3"/>
        <v>0.99999999999999989</v>
      </c>
      <c r="S40" s="16">
        <f t="shared" ca="1" si="17"/>
        <v>1.4040027778275257</v>
      </c>
      <c r="T40" s="16">
        <f t="shared" ca="1" si="29"/>
        <v>0.40155934161128876</v>
      </c>
      <c r="U40" s="16">
        <f t="shared" ca="1" si="30"/>
        <v>0.9391078043520692</v>
      </c>
      <c r="V40" s="16">
        <f t="shared" ca="1" si="31"/>
        <v>1.2720822505257487</v>
      </c>
      <c r="W40" s="16">
        <f t="shared" ca="1" si="32"/>
        <v>9.0261276473632019</v>
      </c>
      <c r="X40" s="16">
        <f t="shared" ca="1" si="33"/>
        <v>9.9032390801535257</v>
      </c>
      <c r="Y40" s="16">
        <f t="shared" ca="1" si="34"/>
        <v>356.01470788405652</v>
      </c>
      <c r="Z40" s="16">
        <f t="shared" ca="1" si="18"/>
        <v>0</v>
      </c>
      <c r="AA40" s="16">
        <f t="shared" ca="1" si="35"/>
        <v>69.548751294243914</v>
      </c>
      <c r="AB40" s="16">
        <f t="shared" ca="1" si="36"/>
        <v>3.5244062972082499</v>
      </c>
      <c r="AC40" s="16">
        <f t="shared" ca="1" si="37"/>
        <v>0.42992028200670046</v>
      </c>
      <c r="AD40" s="16">
        <f t="shared" ca="1" si="38"/>
        <v>0</v>
      </c>
      <c r="AF40" s="16">
        <f t="shared" ca="1" si="19"/>
        <v>0.68741353271132177</v>
      </c>
      <c r="AG40" s="16">
        <f t="shared" ca="1" si="20"/>
        <v>1.1001427867301319E-3</v>
      </c>
      <c r="AH40" s="16">
        <f t="shared" ca="1" si="21"/>
        <v>1.1001427867301319E-3</v>
      </c>
      <c r="AI40" s="16">
        <f t="shared" ca="1" si="22"/>
        <v>2.0627677251189975E-3</v>
      </c>
      <c r="AJ40" s="16">
        <f t="shared" ca="1" si="23"/>
        <v>1.6846087031352653E-3</v>
      </c>
      <c r="AK40" s="16">
        <f t="shared" ca="1" si="24"/>
        <v>3.0844873283613256E-4</v>
      </c>
      <c r="AL40" s="16">
        <f t="shared" ca="1" si="25"/>
        <v>2.4550287450991661E-3</v>
      </c>
      <c r="AM40" s="16">
        <f t="shared" ca="1" si="26"/>
        <v>0.15809777339803399</v>
      </c>
      <c r="AN40" s="1" t="s">
        <v>332</v>
      </c>
      <c r="AO40" s="16">
        <f ca="1">SUM(AB125:AB128)/$AB$25</f>
        <v>4.5555969323870594E-3</v>
      </c>
      <c r="AP40" s="16">
        <f t="shared" ca="1" si="39"/>
        <v>0.91111938647741186</v>
      </c>
    </row>
    <row r="41" spans="1:43" ht="16.5" x14ac:dyDescent="0.3">
      <c r="B41" s="44">
        <f t="shared" si="27"/>
        <v>15</v>
      </c>
      <c r="C41" s="44">
        <f t="shared" si="27"/>
        <v>15</v>
      </c>
      <c r="D41" s="44">
        <f t="shared" si="5"/>
        <v>0</v>
      </c>
      <c r="E41" s="14">
        <f t="shared" ca="1" si="6"/>
        <v>1.3696101026115201E-4</v>
      </c>
      <c r="F41" s="14">
        <f t="shared" ca="1" si="7"/>
        <v>1.2186335111812615E-4</v>
      </c>
      <c r="G41" s="14">
        <f t="shared" ca="1" si="8"/>
        <v>1.5351892029580495E-4</v>
      </c>
      <c r="H41" s="14">
        <f t="shared" ca="1" si="9"/>
        <v>4.0867993429363221E-4</v>
      </c>
      <c r="I41" s="14">
        <f t="shared" ca="1" si="10"/>
        <v>3.8799950231339616E-3</v>
      </c>
      <c r="J41" s="14">
        <f t="shared" ca="1" si="11"/>
        <v>4.3949737347691907E-3</v>
      </c>
      <c r="K41" s="14">
        <f t="shared" ca="1" si="12"/>
        <v>0.11472754342737373</v>
      </c>
      <c r="L41" s="14">
        <f t="shared" ca="1" si="28"/>
        <v>0.68566206348080283</v>
      </c>
      <c r="M41" s="14">
        <f t="shared" ca="1" si="13"/>
        <v>0.16538118902670726</v>
      </c>
      <c r="N41" s="14">
        <f t="shared" ca="1" si="14"/>
        <v>1.0031614397761107E-3</v>
      </c>
      <c r="O41" s="14">
        <f t="shared" ca="1" si="15"/>
        <v>1.0211394920541005E-3</v>
      </c>
      <c r="P41" s="14">
        <f t="shared" ca="1" si="16"/>
        <v>2.3108911159413797E-2</v>
      </c>
      <c r="R41" s="44">
        <f t="shared" ca="1" si="3"/>
        <v>0.99999999999999967</v>
      </c>
      <c r="S41" s="16">
        <f t="shared" ca="1" si="17"/>
        <v>1.4030354371657543</v>
      </c>
      <c r="T41" s="16">
        <f t="shared" ca="1" si="29"/>
        <v>0.40123772009167646</v>
      </c>
      <c r="U41" s="16">
        <f t="shared" ca="1" si="30"/>
        <v>0.62470032980472001</v>
      </c>
      <c r="V41" s="16">
        <f t="shared" ca="1" si="31"/>
        <v>1.1022478452426139</v>
      </c>
      <c r="W41" s="16">
        <f t="shared" ca="1" si="32"/>
        <v>8.7895038932635572</v>
      </c>
      <c r="X41" s="16">
        <f t="shared" ca="1" si="33"/>
        <v>9.8492947461020375</v>
      </c>
      <c r="Y41" s="16">
        <f t="shared" ca="1" si="34"/>
        <v>297.18741834633454</v>
      </c>
      <c r="Z41" s="16">
        <f t="shared" ca="1" si="18"/>
        <v>0</v>
      </c>
      <c r="AA41" s="16">
        <f t="shared" ca="1" si="35"/>
        <v>69.61944114983514</v>
      </c>
      <c r="AB41" s="16">
        <f t="shared" ca="1" si="36"/>
        <v>3.6424761829009173</v>
      </c>
      <c r="AC41" s="16">
        <f t="shared" ca="1" si="37"/>
        <v>0.44432288893476646</v>
      </c>
      <c r="AD41" s="16">
        <f t="shared" ca="1" si="38"/>
        <v>0</v>
      </c>
      <c r="AF41" s="16">
        <f t="shared" ca="1" si="19"/>
        <v>0.7107952755720468</v>
      </c>
      <c r="AG41" s="16">
        <f t="shared" ca="1" si="20"/>
        <v>1.0990044608090383E-3</v>
      </c>
      <c r="AH41" s="16">
        <f t="shared" ca="1" si="21"/>
        <v>1.0990044608090383E-3</v>
      </c>
      <c r="AI41" s="16">
        <f t="shared" ca="1" si="22"/>
        <v>2.0606333640169469E-3</v>
      </c>
      <c r="AJ41" s="16">
        <f t="shared" ca="1" si="23"/>
        <v>1.6828656259849088E-3</v>
      </c>
      <c r="AK41" s="16">
        <f t="shared" ca="1" si="24"/>
        <v>3.0812957863892202E-4</v>
      </c>
      <c r="AL41" s="16">
        <f t="shared" ca="1" si="25"/>
        <v>2.268690200059517E-3</v>
      </c>
      <c r="AM41" s="16">
        <f t="shared" ca="1" si="26"/>
        <v>0.13303586517628474</v>
      </c>
      <c r="AN41" s="1" t="s">
        <v>333</v>
      </c>
      <c r="AO41" s="16">
        <f ca="1">SUM(AB129:AB132)/$AB$25</f>
        <v>4.4261265531073922E-3</v>
      </c>
      <c r="AP41" s="16">
        <f t="shared" ca="1" si="39"/>
        <v>0.88522531062147847</v>
      </c>
    </row>
    <row r="42" spans="1:43" ht="16.5" x14ac:dyDescent="0.3">
      <c r="B42" s="44">
        <f t="shared" si="27"/>
        <v>16</v>
      </c>
      <c r="C42" s="44">
        <f t="shared" si="27"/>
        <v>16</v>
      </c>
      <c r="D42" s="44">
        <f t="shared" si="5"/>
        <v>0</v>
      </c>
      <c r="E42" s="14">
        <f t="shared" ca="1" si="6"/>
        <v>1.3687499929485269E-4</v>
      </c>
      <c r="F42" s="14">
        <f t="shared" ca="1" si="7"/>
        <v>1.2177933681179844E-4</v>
      </c>
      <c r="G42" s="14">
        <f t="shared" ca="1" si="8"/>
        <v>1.09063589657559E-4</v>
      </c>
      <c r="H42" s="14">
        <f t="shared" ca="1" si="9"/>
        <v>3.7466377289063969E-4</v>
      </c>
      <c r="I42" s="14">
        <f t="shared" ca="1" si="10"/>
        <v>3.7514618689095743E-3</v>
      </c>
      <c r="J42" s="14">
        <f t="shared" ca="1" si="11"/>
        <v>4.3431679165306771E-3</v>
      </c>
      <c r="K42" s="14">
        <f t="shared" ca="1" si="12"/>
        <v>9.5834989711495067E-2</v>
      </c>
      <c r="L42" s="14">
        <f t="shared" ca="1" si="28"/>
        <v>0.70561252188462464</v>
      </c>
      <c r="M42" s="14">
        <f t="shared" ca="1" si="13"/>
        <v>0.16402162572789389</v>
      </c>
      <c r="N42" s="14">
        <f t="shared" ca="1" si="14"/>
        <v>1.1198873646876579E-3</v>
      </c>
      <c r="O42" s="14">
        <f t="shared" ca="1" si="15"/>
        <v>1.1296983985388698E-3</v>
      </c>
      <c r="P42" s="14">
        <f t="shared" ca="1" si="16"/>
        <v>2.344426542866429E-2</v>
      </c>
      <c r="R42" s="44">
        <f t="shared" ca="1" si="3"/>
        <v>0.99999999999999956</v>
      </c>
      <c r="S42" s="16">
        <f t="shared" ca="1" si="17"/>
        <v>1.4021543365264357</v>
      </c>
      <c r="T42" s="16">
        <f t="shared" ca="1" si="29"/>
        <v>0.40094693475156146</v>
      </c>
      <c r="U42" s="16">
        <f t="shared" ca="1" si="30"/>
        <v>0.43211496876710409</v>
      </c>
      <c r="V42" s="16">
        <f t="shared" ca="1" si="31"/>
        <v>0.99309181821993253</v>
      </c>
      <c r="W42" s="16">
        <f t="shared" ca="1" si="32"/>
        <v>8.5174328235939782</v>
      </c>
      <c r="X42" s="16">
        <f t="shared" ca="1" si="33"/>
        <v>9.7525984318395835</v>
      </c>
      <c r="Y42" s="16">
        <f t="shared" ca="1" si="34"/>
        <v>248.17952968412774</v>
      </c>
      <c r="Z42" s="16">
        <f t="shared" ca="1" si="18"/>
        <v>0</v>
      </c>
      <c r="AA42" s="16">
        <f t="shared" ca="1" si="35"/>
        <v>69.245412703638479</v>
      </c>
      <c r="AB42" s="16">
        <f t="shared" ca="1" si="36"/>
        <v>3.7407118410643343</v>
      </c>
      <c r="AC42" s="16">
        <f t="shared" ca="1" si="37"/>
        <v>0.45630604249290907</v>
      </c>
      <c r="AD42" s="16">
        <f t="shared" ca="1" si="38"/>
        <v>0</v>
      </c>
      <c r="AF42" s="16">
        <f t="shared" ca="1" si="19"/>
        <v>0.73130637307651547</v>
      </c>
      <c r="AG42" s="16">
        <f t="shared" ca="1" si="20"/>
        <v>1.0979871695357816E-3</v>
      </c>
      <c r="AH42" s="16">
        <f t="shared" ca="1" si="21"/>
        <v>1.0979871695357816E-3</v>
      </c>
      <c r="AI42" s="16">
        <f t="shared" ca="1" si="22"/>
        <v>2.0587259428795903E-3</v>
      </c>
      <c r="AJ42" s="16">
        <f t="shared" ca="1" si="23"/>
        <v>1.6813078847960168E-3</v>
      </c>
      <c r="AK42" s="16">
        <f t="shared" ca="1" si="24"/>
        <v>3.0784435911292401E-4</v>
      </c>
      <c r="AL42" s="16">
        <f t="shared" ca="1" si="25"/>
        <v>2.1369194403988625E-3</v>
      </c>
      <c r="AM42" s="16">
        <f t="shared" ca="1" si="26"/>
        <v>0.11211084885801902</v>
      </c>
      <c r="AN42" s="1" t="s">
        <v>334</v>
      </c>
      <c r="AO42" s="16">
        <f ca="1">SUM(AB133:AB136)/$AB$25</f>
        <v>4.3003357309438651E-3</v>
      </c>
      <c r="AP42" s="16">
        <f t="shared" ca="1" si="39"/>
        <v>0.860067146188773</v>
      </c>
    </row>
    <row r="43" spans="1:43" ht="16.5" x14ac:dyDescent="0.3">
      <c r="B43" s="44">
        <f t="shared" si="27"/>
        <v>17</v>
      </c>
      <c r="C43" s="44">
        <f t="shared" si="27"/>
        <v>17</v>
      </c>
      <c r="D43" s="44">
        <f t="shared" si="5"/>
        <v>0</v>
      </c>
      <c r="E43" s="14">
        <f t="shared" ca="1" si="6"/>
        <v>1.3679628445342949E-4</v>
      </c>
      <c r="F43" s="14">
        <f t="shared" ca="1" si="7"/>
        <v>1.2170281497493291E-4</v>
      </c>
      <c r="G43" s="14">
        <f t="shared" ca="1" si="8"/>
        <v>8.182880294078682E-5</v>
      </c>
      <c r="H43" s="14">
        <f t="shared" ca="1" si="9"/>
        <v>3.5159273513549378E-4</v>
      </c>
      <c r="I43" s="14">
        <f t="shared" ca="1" si="10"/>
        <v>3.6138133242623748E-3</v>
      </c>
      <c r="J43" s="14">
        <f t="shared" ca="1" si="11"/>
        <v>4.277991631726874E-3</v>
      </c>
      <c r="K43" s="14">
        <f t="shared" ca="1" si="12"/>
        <v>8.0109977657551262E-2</v>
      </c>
      <c r="L43" s="14">
        <f t="shared" ca="1" si="28"/>
        <v>0.72317920486003484</v>
      </c>
      <c r="M43" s="14">
        <f t="shared" ca="1" si="13"/>
        <v>0.16191779462513639</v>
      </c>
      <c r="N43" s="14">
        <f t="shared" ca="1" si="14"/>
        <v>1.2352054900740829E-3</v>
      </c>
      <c r="O43" s="14">
        <f t="shared" ca="1" si="15"/>
        <v>1.2348743901301614E-3</v>
      </c>
      <c r="P43" s="14">
        <f t="shared" ca="1" si="16"/>
        <v>2.3739217383578922E-2</v>
      </c>
      <c r="R43" s="44">
        <f t="shared" ca="1" si="3"/>
        <v>0.99999999999999956</v>
      </c>
      <c r="S43" s="16">
        <f t="shared" ca="1" si="17"/>
        <v>1.4013479777551543</v>
      </c>
      <c r="T43" s="16">
        <f t="shared" ca="1" si="29"/>
        <v>0.40068275085555766</v>
      </c>
      <c r="U43" s="16">
        <f t="shared" ca="1" si="30"/>
        <v>0.31413920249357885</v>
      </c>
      <c r="V43" s="16">
        <f t="shared" ca="1" si="31"/>
        <v>0.92071895061521103</v>
      </c>
      <c r="W43" s="16">
        <f t="shared" ca="1" si="32"/>
        <v>8.2203486925976268</v>
      </c>
      <c r="X43" s="16">
        <f t="shared" ca="1" si="33"/>
        <v>9.6220352617501987</v>
      </c>
      <c r="Y43" s="16">
        <f t="shared" ca="1" si="34"/>
        <v>207.37753578952646</v>
      </c>
      <c r="Z43" s="16">
        <f t="shared" ca="1" si="18"/>
        <v>0</v>
      </c>
      <c r="AA43" s="16">
        <f t="shared" ca="1" si="35"/>
        <v>68.517355249512249</v>
      </c>
      <c r="AB43" s="16">
        <f t="shared" ca="1" si="36"/>
        <v>3.8224270550095594</v>
      </c>
      <c r="AC43" s="16">
        <f t="shared" ca="1" si="37"/>
        <v>0.46627397038232282</v>
      </c>
      <c r="AD43" s="16">
        <f t="shared" ca="1" si="38"/>
        <v>0</v>
      </c>
      <c r="AF43" s="16">
        <f t="shared" ca="1" si="19"/>
        <v>0.7493885021238178</v>
      </c>
      <c r="AG43" s="16">
        <f t="shared" ca="1" si="20"/>
        <v>1.0970738882835106E-3</v>
      </c>
      <c r="AH43" s="16">
        <f t="shared" ca="1" si="21"/>
        <v>1.0970738882835106E-3</v>
      </c>
      <c r="AI43" s="16">
        <f t="shared" ca="1" si="22"/>
        <v>2.0570135405315825E-3</v>
      </c>
      <c r="AJ43" s="16">
        <f t="shared" ca="1" si="23"/>
        <v>1.6799094103756567E-3</v>
      </c>
      <c r="AK43" s="16">
        <f t="shared" ca="1" si="24"/>
        <v>3.0758830103720522E-4</v>
      </c>
      <c r="AL43" s="16">
        <f t="shared" ca="1" si="25"/>
        <v>2.0375240549149968E-3</v>
      </c>
      <c r="AM43" s="16">
        <f t="shared" ca="1" si="26"/>
        <v>9.4645328168402654E-2</v>
      </c>
    </row>
    <row r="44" spans="1:43" ht="16.5" x14ac:dyDescent="0.3">
      <c r="B44" s="44">
        <f t="shared" ref="B44:C59" si="40">B43+1</f>
        <v>18</v>
      </c>
      <c r="C44" s="44">
        <f t="shared" si="40"/>
        <v>18</v>
      </c>
      <c r="D44" s="44">
        <f t="shared" si="5"/>
        <v>0</v>
      </c>
      <c r="E44" s="14">
        <f t="shared" ca="1" si="6"/>
        <v>1.3672391475191191E-4</v>
      </c>
      <c r="F44" s="14">
        <f t="shared" ca="1" si="7"/>
        <v>1.2163278651451057E-4</v>
      </c>
      <c r="G44" s="14">
        <f t="shared" ca="1" si="8"/>
        <v>6.5141025013433333E-5</v>
      </c>
      <c r="H44" s="14">
        <f t="shared" ca="1" si="9"/>
        <v>3.3514910808700785E-4</v>
      </c>
      <c r="I44" s="14">
        <f t="shared" ca="1" si="10"/>
        <v>3.4704120791932292E-3</v>
      </c>
      <c r="J44" s="14">
        <f t="shared" ca="1" si="11"/>
        <v>4.2024183067663297E-3</v>
      </c>
      <c r="K44" s="14">
        <f t="shared" ca="1" si="12"/>
        <v>6.7025217709252016E-2</v>
      </c>
      <c r="L44" s="14">
        <f t="shared" ca="1" si="28"/>
        <v>0.73872657799527341</v>
      </c>
      <c r="M44" s="14">
        <f t="shared" ca="1" si="13"/>
        <v>0.15923143153796007</v>
      </c>
      <c r="N44" s="14">
        <f t="shared" ca="1" si="14"/>
        <v>1.3485916397908155E-3</v>
      </c>
      <c r="O44" s="14">
        <f t="shared" ca="1" si="15"/>
        <v>1.3362437479173578E-3</v>
      </c>
      <c r="P44" s="14">
        <f t="shared" ca="1" si="16"/>
        <v>2.4000460149479333E-2</v>
      </c>
      <c r="R44" s="44">
        <f t="shared" ca="1" si="3"/>
        <v>0.99999999999999944</v>
      </c>
      <c r="S44" s="16">
        <f t="shared" ca="1" si="17"/>
        <v>1.4006066189143231</v>
      </c>
      <c r="T44" s="16">
        <f t="shared" ca="1" si="29"/>
        <v>0.40044158255708034</v>
      </c>
      <c r="U44" s="16">
        <f t="shared" ca="1" si="30"/>
        <v>0.24185869282544309</v>
      </c>
      <c r="V44" s="16">
        <f t="shared" ca="1" si="31"/>
        <v>0.87062383916375863</v>
      </c>
      <c r="W44" s="16">
        <f t="shared" ca="1" si="32"/>
        <v>7.9066703559631168</v>
      </c>
      <c r="X44" s="16">
        <f t="shared" ca="1" si="33"/>
        <v>9.4649452901925049</v>
      </c>
      <c r="Y44" s="16">
        <f t="shared" ca="1" si="34"/>
        <v>173.4208980190827</v>
      </c>
      <c r="Z44" s="16">
        <f t="shared" ca="1" si="18"/>
        <v>0</v>
      </c>
      <c r="AA44" s="16">
        <f t="shared" ca="1" si="35"/>
        <v>67.510384577875328</v>
      </c>
      <c r="AB44" s="16">
        <f t="shared" ca="1" si="36"/>
        <v>3.8903931342026312</v>
      </c>
      <c r="AC44" s="16">
        <f t="shared" ca="1" si="37"/>
        <v>0.47456472731256705</v>
      </c>
      <c r="AD44" s="16">
        <f t="shared" ca="1" si="38"/>
        <v>0</v>
      </c>
      <c r="AF44" s="16">
        <f t="shared" ca="1" si="19"/>
        <v>0.76541187353246098</v>
      </c>
      <c r="AG44" s="16">
        <f t="shared" ca="1" si="20"/>
        <v>1.0962500948309506E-3</v>
      </c>
      <c r="AH44" s="16">
        <f t="shared" ca="1" si="21"/>
        <v>1.0962500948309506E-3</v>
      </c>
      <c r="AI44" s="16">
        <f t="shared" ca="1" si="22"/>
        <v>2.0554689278080322E-3</v>
      </c>
      <c r="AJ44" s="16">
        <f t="shared" ca="1" si="23"/>
        <v>1.6786479653736917E-3</v>
      </c>
      <c r="AK44" s="16">
        <f t="shared" ca="1" si="24"/>
        <v>3.0735733279415011E-4</v>
      </c>
      <c r="AL44" s="16">
        <f t="shared" ca="1" si="25"/>
        <v>1.9572839624088455E-3</v>
      </c>
      <c r="AM44" s="16">
        <f t="shared" ca="1" si="26"/>
        <v>8.0067915127902956E-2</v>
      </c>
    </row>
    <row r="45" spans="1:43" ht="16.5" x14ac:dyDescent="0.3">
      <c r="B45" s="44">
        <f t="shared" si="40"/>
        <v>19</v>
      </c>
      <c r="C45" s="44">
        <f t="shared" si="40"/>
        <v>19</v>
      </c>
      <c r="D45" s="44">
        <f t="shared" si="5"/>
        <v>0.1</v>
      </c>
      <c r="E45" s="14">
        <f t="shared" ca="1" si="6"/>
        <v>1.3665708355834825E-4</v>
      </c>
      <c r="F45" s="14">
        <f t="shared" ca="1" si="7"/>
        <v>1.2156840494160103E-4</v>
      </c>
      <c r="G45" s="14">
        <f t="shared" ca="1" si="8"/>
        <v>5.491314433079293E-5</v>
      </c>
      <c r="H45" s="14">
        <f t="shared" ca="1" si="9"/>
        <v>3.2272480547538939E-4</v>
      </c>
      <c r="I45" s="14">
        <f t="shared" ca="1" si="10"/>
        <v>3.3239458970099403E-3</v>
      </c>
      <c r="J45" s="14">
        <f t="shared" ca="1" si="11"/>
        <v>4.1188969876345717E-3</v>
      </c>
      <c r="K45" s="14">
        <f t="shared" ca="1" si="12"/>
        <v>5.6138883431444866E-2</v>
      </c>
      <c r="L45" s="14">
        <f t="shared" ca="1" si="28"/>
        <v>0.75255977796364193</v>
      </c>
      <c r="M45" s="14">
        <f t="shared" ca="1" si="13"/>
        <v>0.15609590558101022</v>
      </c>
      <c r="N45" s="14">
        <f t="shared" ca="1" si="14"/>
        <v>1.4596415805840286E-3</v>
      </c>
      <c r="O45" s="14">
        <f t="shared" ca="1" si="15"/>
        <v>1.4335202660808067E-3</v>
      </c>
      <c r="P45" s="14">
        <f t="shared" ca="1" si="16"/>
        <v>2.4233564854287057E-2</v>
      </c>
      <c r="R45" s="44">
        <f t="shared" ca="1" si="3"/>
        <v>0.99999999999999956</v>
      </c>
      <c r="S45" s="16">
        <f t="shared" ca="1" si="17"/>
        <v>1.3999219968258974</v>
      </c>
      <c r="T45" s="16">
        <f t="shared" ca="1" si="29"/>
        <v>0.40022039270187826</v>
      </c>
      <c r="U45" s="16">
        <f t="shared" ca="1" si="30"/>
        <v>0.19756534296878578</v>
      </c>
      <c r="V45" s="16">
        <f t="shared" ca="1" si="31"/>
        <v>0.83402623265786469</v>
      </c>
      <c r="W45" s="16">
        <f t="shared" ca="1" si="32"/>
        <v>7.5831506959169861</v>
      </c>
      <c r="X45" s="16">
        <f t="shared" ca="1" si="33"/>
        <v>9.2873805128742237</v>
      </c>
      <c r="Y45" s="16">
        <f t="shared" ca="1" si="34"/>
        <v>145.16736780948239</v>
      </c>
      <c r="Z45" s="16">
        <f t="shared" ca="1" si="18"/>
        <v>0</v>
      </c>
      <c r="AA45" s="16">
        <f t="shared" ca="1" si="35"/>
        <v>66.286536172464352</v>
      </c>
      <c r="AB45" s="16">
        <f t="shared" ca="1" si="36"/>
        <v>3.9469229667735175</v>
      </c>
      <c r="AC45" s="16">
        <f t="shared" ca="1" si="37"/>
        <v>0.48146044804145099</v>
      </c>
      <c r="AD45" s="16">
        <f t="shared" ca="1" si="38"/>
        <v>0</v>
      </c>
      <c r="AF45" s="16">
        <f t="shared" ca="1" si="19"/>
        <v>0.77968650466459377</v>
      </c>
      <c r="AG45" s="16">
        <f t="shared" ca="1" si="20"/>
        <v>1.0955034420423533E-3</v>
      </c>
      <c r="AH45" s="16">
        <f t="shared" ca="1" si="21"/>
        <v>1.0955034420423533E-3</v>
      </c>
      <c r="AI45" s="16">
        <f t="shared" ca="1" si="22"/>
        <v>2.0540689538294126E-3</v>
      </c>
      <c r="AJ45" s="16">
        <f t="shared" ca="1" si="23"/>
        <v>1.6775046430694755E-3</v>
      </c>
      <c r="AK45" s="16">
        <f t="shared" ca="1" si="24"/>
        <v>3.0714799259823252E-4</v>
      </c>
      <c r="AL45" s="16">
        <f t="shared" ca="1" si="25"/>
        <v>1.8884008066198089E-3</v>
      </c>
      <c r="AM45" s="16">
        <f t="shared" ca="1" si="26"/>
        <v>6.789874153536718E-2</v>
      </c>
    </row>
    <row r="46" spans="1:43" ht="16.5" x14ac:dyDescent="0.3">
      <c r="B46" s="44">
        <f t="shared" si="40"/>
        <v>20</v>
      </c>
      <c r="C46" s="44">
        <f t="shared" si="40"/>
        <v>20</v>
      </c>
      <c r="D46" s="44">
        <f t="shared" si="5"/>
        <v>0.1</v>
      </c>
      <c r="E46" s="14">
        <f t="shared" ca="1" si="6"/>
        <v>1.3659510562247077E-4</v>
      </c>
      <c r="F46" s="14">
        <f t="shared" ca="1" si="7"/>
        <v>1.2150895226419864E-4</v>
      </c>
      <c r="G46" s="14">
        <f t="shared" ca="1" si="8"/>
        <v>4.8642043006881354E-5</v>
      </c>
      <c r="H46" s="14">
        <f t="shared" ca="1" si="9"/>
        <v>3.1275133517128526E-4</v>
      </c>
      <c r="I46" s="14">
        <f t="shared" ca="1" si="10"/>
        <v>3.1765469410728643E-3</v>
      </c>
      <c r="J46" s="14">
        <f t="shared" ca="1" si="11"/>
        <v>4.0294407131052697E-3</v>
      </c>
      <c r="K46" s="14">
        <f t="shared" ca="1" si="12"/>
        <v>4.7081717030708084E-2</v>
      </c>
      <c r="L46" s="14">
        <f t="shared" ca="1" si="28"/>
        <v>0.76493415393134989</v>
      </c>
      <c r="M46" s="14">
        <f t="shared" ca="1" si="13"/>
        <v>0.1526208989812865</v>
      </c>
      <c r="N46" s="14">
        <f t="shared" ca="1" si="14"/>
        <v>1.5680496725014865E-3</v>
      </c>
      <c r="O46" s="14">
        <f t="shared" ca="1" si="15"/>
        <v>1.5265278711823328E-3</v>
      </c>
      <c r="P46" s="14">
        <f t="shared" ca="1" si="16"/>
        <v>2.444316742272817E-2</v>
      </c>
      <c r="R46" s="44">
        <f t="shared" ca="1" si="3"/>
        <v>0.99999999999999933</v>
      </c>
      <c r="S46" s="16">
        <f t="shared" ca="1" si="17"/>
        <v>1.3992870917518716</v>
      </c>
      <c r="T46" s="16">
        <f t="shared" ca="1" si="29"/>
        <v>0.40001660672536615</v>
      </c>
      <c r="U46" s="16">
        <f t="shared" ca="1" si="30"/>
        <v>0.17041404071443361</v>
      </c>
      <c r="V46" s="16">
        <f t="shared" ca="1" si="31"/>
        <v>0.80563123206622833</v>
      </c>
      <c r="W46" s="16">
        <f t="shared" ca="1" si="32"/>
        <v>7.2551692097415295</v>
      </c>
      <c r="X46" s="16">
        <f t="shared" ca="1" si="33"/>
        <v>9.0943210414211268</v>
      </c>
      <c r="Y46" s="16">
        <f t="shared" ca="1" si="34"/>
        <v>121.66096073471658</v>
      </c>
      <c r="Z46" s="16">
        <f t="shared" ca="1" si="18"/>
        <v>0</v>
      </c>
      <c r="AA46" s="16">
        <f t="shared" ca="1" si="35"/>
        <v>64.896903071063207</v>
      </c>
      <c r="AB46" s="16">
        <f t="shared" ca="1" si="36"/>
        <v>3.993943979781323</v>
      </c>
      <c r="AC46" s="16">
        <f t="shared" ca="1" si="37"/>
        <v>0.48719624734148309</v>
      </c>
      <c r="AD46" s="16">
        <f t="shared" ca="1" si="38"/>
        <v>0</v>
      </c>
      <c r="AF46" s="16">
        <f t="shared" ca="1" si="19"/>
        <v>0.79247189889776182</v>
      </c>
      <c r="AG46" s="16">
        <f t="shared" ca="1" si="20"/>
        <v>1.0948234511161548E-3</v>
      </c>
      <c r="AH46" s="16">
        <f t="shared" ca="1" si="21"/>
        <v>1.0948234511161548E-3</v>
      </c>
      <c r="AI46" s="16">
        <f t="shared" ca="1" si="22"/>
        <v>2.0527939708427905E-3</v>
      </c>
      <c r="AJ46" s="16">
        <f t="shared" ca="1" si="23"/>
        <v>1.6764633976546581E-3</v>
      </c>
      <c r="AK46" s="16">
        <f t="shared" ca="1" si="24"/>
        <v>3.0695734249166828E-4</v>
      </c>
      <c r="AL46" s="16">
        <f t="shared" ca="1" si="25"/>
        <v>1.8263364828630902E-3</v>
      </c>
      <c r="AM46" s="16">
        <f t="shared" ca="1" si="26"/>
        <v>5.7736059454810196E-2</v>
      </c>
    </row>
    <row r="47" spans="1:43" ht="16.5" x14ac:dyDescent="0.3">
      <c r="B47" s="44">
        <f t="shared" si="40"/>
        <v>21</v>
      </c>
      <c r="C47" s="44">
        <f t="shared" si="40"/>
        <v>21</v>
      </c>
      <c r="D47" s="44">
        <f t="shared" si="5"/>
        <v>0.1</v>
      </c>
      <c r="E47" s="14">
        <f t="shared" ca="1" si="6"/>
        <v>1.3653739769150071E-4</v>
      </c>
      <c r="F47" s="14">
        <f t="shared" ca="1" si="7"/>
        <v>1.2145381854017918E-4</v>
      </c>
      <c r="G47" s="14">
        <f t="shared" ca="1" si="8"/>
        <v>4.4794686050289649E-5</v>
      </c>
      <c r="H47" s="14">
        <f t="shared" ca="1" si="9"/>
        <v>3.0429079097005196E-4</v>
      </c>
      <c r="I47" s="14">
        <f t="shared" ca="1" si="10"/>
        <v>3.0298911544899211E-3</v>
      </c>
      <c r="J47" s="14">
        <f t="shared" ca="1" si="11"/>
        <v>3.9357004391556332E-3</v>
      </c>
      <c r="K47" s="14">
        <f t="shared" ca="1" si="12"/>
        <v>3.9545688534980188E-2</v>
      </c>
      <c r="L47" s="14">
        <f t="shared" ca="1" si="28"/>
        <v>0.77606338335894642</v>
      </c>
      <c r="M47" s="14">
        <f t="shared" ca="1" si="13"/>
        <v>0.14889636565474143</v>
      </c>
      <c r="N47" s="14">
        <f t="shared" ca="1" si="14"/>
        <v>1.6735910607420402E-3</v>
      </c>
      <c r="O47" s="14">
        <f t="shared" ca="1" si="15"/>
        <v>1.6151780206367715E-3</v>
      </c>
      <c r="P47" s="14">
        <f t="shared" ca="1" si="16"/>
        <v>2.4633125083055055E-2</v>
      </c>
      <c r="R47" s="44">
        <f t="shared" ca="1" si="3"/>
        <v>0.99999999999999944</v>
      </c>
      <c r="S47" s="16">
        <f t="shared" ca="1" si="17"/>
        <v>1.3986959288216179</v>
      </c>
      <c r="T47" s="16">
        <f t="shared" ca="1" si="29"/>
        <v>0.39982803933266226</v>
      </c>
      <c r="U47" s="16">
        <f t="shared" ca="1" si="30"/>
        <v>0.1537627516219976</v>
      </c>
      <c r="V47" s="16">
        <f t="shared" ca="1" si="31"/>
        <v>0.78226132583694163</v>
      </c>
      <c r="W47" s="16">
        <f t="shared" ca="1" si="32"/>
        <v>6.9269761069953493</v>
      </c>
      <c r="X47" s="16">
        <f t="shared" ca="1" si="33"/>
        <v>8.8898562429878876</v>
      </c>
      <c r="Y47" s="16">
        <f t="shared" ca="1" si="34"/>
        <v>102.10339156999848</v>
      </c>
      <c r="Z47" s="16">
        <f t="shared" ca="1" si="18"/>
        <v>0</v>
      </c>
      <c r="AA47" s="16">
        <f t="shared" ca="1" si="35"/>
        <v>63.383451785462604</v>
      </c>
      <c r="AB47" s="16">
        <f t="shared" ca="1" si="36"/>
        <v>4.0330606477940725</v>
      </c>
      <c r="AC47" s="16">
        <f t="shared" ca="1" si="37"/>
        <v>0.49196784503058116</v>
      </c>
      <c r="AD47" s="16">
        <f t="shared" ca="1" si="38"/>
        <v>0</v>
      </c>
      <c r="AF47" s="16">
        <f t="shared" ca="1" si="19"/>
        <v>0.80398527752338034</v>
      </c>
      <c r="AG47" s="16">
        <f t="shared" ca="1" si="20"/>
        <v>1.0942012354087087E-3</v>
      </c>
      <c r="AH47" s="16">
        <f t="shared" ca="1" si="21"/>
        <v>1.0942012354087087E-3</v>
      </c>
      <c r="AI47" s="16">
        <f t="shared" ca="1" si="22"/>
        <v>2.0516273163913288E-3</v>
      </c>
      <c r="AJ47" s="16">
        <f t="shared" ca="1" si="23"/>
        <v>1.6755106213344985E-3</v>
      </c>
      <c r="AK47" s="16">
        <f t="shared" ca="1" si="24"/>
        <v>3.0678289091244833E-4</v>
      </c>
      <c r="AL47" s="16">
        <f t="shared" ca="1" si="25"/>
        <v>1.7685001546261219E-3</v>
      </c>
      <c r="AM47" s="16">
        <f t="shared" ca="1" si="26"/>
        <v>4.9244279316788292E-2</v>
      </c>
    </row>
    <row r="48" spans="1:43" ht="16.5" x14ac:dyDescent="0.3">
      <c r="B48" s="44">
        <f t="shared" si="40"/>
        <v>22</v>
      </c>
      <c r="C48" s="44">
        <f t="shared" si="40"/>
        <v>22</v>
      </c>
      <c r="D48" s="44">
        <f t="shared" si="5"/>
        <v>0.1</v>
      </c>
      <c r="E48" s="14">
        <f t="shared" ca="1" si="6"/>
        <v>1.3648346221011441E-4</v>
      </c>
      <c r="F48" s="14">
        <f t="shared" ca="1" si="7"/>
        <v>1.2140248462258371E-4</v>
      </c>
      <c r="G48" s="14">
        <f t="shared" ca="1" si="8"/>
        <v>4.2432147941035659E-5</v>
      </c>
      <c r="H48" s="14">
        <f t="shared" ca="1" si="9"/>
        <v>2.9678646983422713E-4</v>
      </c>
      <c r="I48" s="14">
        <f t="shared" ca="1" si="10"/>
        <v>2.8852808224809927E-3</v>
      </c>
      <c r="J48" s="14">
        <f t="shared" ca="1" si="11"/>
        <v>3.8390267352514519E-3</v>
      </c>
      <c r="K48" s="14">
        <f t="shared" ca="1" si="12"/>
        <v>3.327419292378752E-2</v>
      </c>
      <c r="L48" s="14">
        <f t="shared" ca="1" si="28"/>
        <v>0.78612632842083408</v>
      </c>
      <c r="M48" s="14">
        <f t="shared" ca="1" si="13"/>
        <v>0.14499586139515744</v>
      </c>
      <c r="N48" s="14">
        <f t="shared" ca="1" si="14"/>
        <v>1.776106861031088E-3</v>
      </c>
      <c r="O48" s="14">
        <f t="shared" ca="1" si="15"/>
        <v>1.6994511158129381E-3</v>
      </c>
      <c r="P48" s="14">
        <f t="shared" ca="1" si="16"/>
        <v>2.4806647161036088E-2</v>
      </c>
      <c r="R48" s="44">
        <f t="shared" ca="1" si="3"/>
        <v>0.99999999999999956</v>
      </c>
      <c r="S48" s="16">
        <f t="shared" ca="1" si="17"/>
        <v>1.3981434110535225</v>
      </c>
      <c r="T48" s="16">
        <f t="shared" ca="1" si="29"/>
        <v>0.39965283245525329</v>
      </c>
      <c r="U48" s="16">
        <f t="shared" ca="1" si="30"/>
        <v>0.14354353095531464</v>
      </c>
      <c r="V48" s="16">
        <f t="shared" ca="1" si="31"/>
        <v>0.76202170815723291</v>
      </c>
      <c r="W48" s="16">
        <f t="shared" ca="1" si="32"/>
        <v>6.6018953741824955</v>
      </c>
      <c r="X48" s="16">
        <f t="shared" ca="1" si="33"/>
        <v>8.6773361058782719</v>
      </c>
      <c r="Y48" s="16">
        <f t="shared" ca="1" si="34"/>
        <v>85.829153281376563</v>
      </c>
      <c r="Z48" s="16">
        <f t="shared" ca="1" si="18"/>
        <v>0</v>
      </c>
      <c r="AA48" s="16">
        <f t="shared" ca="1" si="35"/>
        <v>61.78055450929449</v>
      </c>
      <c r="AB48" s="16">
        <f t="shared" ca="1" si="36"/>
        <v>4.0656075651253296</v>
      </c>
      <c r="AC48" s="16">
        <f t="shared" ca="1" si="37"/>
        <v>0.4959380399222959</v>
      </c>
      <c r="AD48" s="16">
        <f t="shared" ca="1" si="38"/>
        <v>0</v>
      </c>
      <c r="AF48" s="16">
        <f t="shared" ca="1" si="19"/>
        <v>0.81440853355871423</v>
      </c>
      <c r="AG48" s="16">
        <f t="shared" ca="1" si="20"/>
        <v>1.0936292578437802E-3</v>
      </c>
      <c r="AH48" s="16">
        <f t="shared" ca="1" si="21"/>
        <v>1.0936292578437802E-3</v>
      </c>
      <c r="AI48" s="16">
        <f t="shared" ca="1" si="22"/>
        <v>2.050554858457088E-3</v>
      </c>
      <c r="AJ48" s="16">
        <f t="shared" ca="1" si="23"/>
        <v>1.6746347728578287E-3</v>
      </c>
      <c r="AK48" s="16">
        <f t="shared" ca="1" si="24"/>
        <v>3.0662252467886399E-4</v>
      </c>
      <c r="AL48" s="16">
        <f t="shared" ca="1" si="25"/>
        <v>1.7134530438769101E-3</v>
      </c>
      <c r="AM48" s="16">
        <f t="shared" ca="1" si="26"/>
        <v>4.2143527890125931E-2</v>
      </c>
    </row>
    <row r="49" spans="2:39" ht="16.5" x14ac:dyDescent="0.3">
      <c r="B49" s="44">
        <f t="shared" si="40"/>
        <v>23</v>
      </c>
      <c r="C49" s="44">
        <f t="shared" si="40"/>
        <v>23</v>
      </c>
      <c r="D49" s="44">
        <f t="shared" si="5"/>
        <v>0.1</v>
      </c>
      <c r="E49" s="14">
        <f t="shared" ca="1" si="6"/>
        <v>1.3643287364653852E-4</v>
      </c>
      <c r="F49" s="14">
        <f t="shared" ca="1" si="7"/>
        <v>1.2135450764988298E-4</v>
      </c>
      <c r="G49" s="14">
        <f t="shared" ca="1" si="8"/>
        <v>4.0979357157229222E-5</v>
      </c>
      <c r="H49" s="14">
        <f t="shared" ca="1" si="9"/>
        <v>2.8991105548988505E-4</v>
      </c>
      <c r="I49" s="14">
        <f t="shared" ca="1" si="10"/>
        <v>2.7437130249337461E-3</v>
      </c>
      <c r="J49" s="14">
        <f t="shared" ca="1" si="11"/>
        <v>3.7405211881764381E-3</v>
      </c>
      <c r="K49" s="14">
        <f t="shared" ca="1" si="12"/>
        <v>2.8053675716316825E-2</v>
      </c>
      <c r="L49" s="14">
        <f t="shared" ca="1" si="28"/>
        <v>0.79527280060705674</v>
      </c>
      <c r="M49" s="14">
        <f t="shared" ca="1" si="13"/>
        <v>0.14097933435527008</v>
      </c>
      <c r="N49" s="14">
        <f t="shared" ca="1" si="14"/>
        <v>1.8754918617619252E-3</v>
      </c>
      <c r="O49" s="14">
        <f t="shared" ca="1" si="15"/>
        <v>1.7793812700068596E-3</v>
      </c>
      <c r="P49" s="14">
        <f t="shared" ca="1" si="16"/>
        <v>2.496640418253326E-2</v>
      </c>
      <c r="R49" s="44">
        <f t="shared" ca="1" si="3"/>
        <v>0.99999999999999944</v>
      </c>
      <c r="S49" s="16">
        <f t="shared" ca="1" si="17"/>
        <v>1.3976251792788228</v>
      </c>
      <c r="T49" s="16">
        <f t="shared" ca="1" si="29"/>
        <v>0.39948940297830071</v>
      </c>
      <c r="U49" s="16">
        <f t="shared" ca="1" si="30"/>
        <v>0.13726489219238314</v>
      </c>
      <c r="V49" s="16">
        <f t="shared" ca="1" si="31"/>
        <v>0.7437916547048965</v>
      </c>
      <c r="W49" s="16">
        <f t="shared" ca="1" si="32"/>
        <v>6.2824933217883041</v>
      </c>
      <c r="X49" s="16">
        <f t="shared" ca="1" si="33"/>
        <v>8.4594974700461147</v>
      </c>
      <c r="Y49" s="16">
        <f t="shared" ca="1" si="34"/>
        <v>72.284092372658989</v>
      </c>
      <c r="Z49" s="16">
        <f t="shared" ca="1" si="18"/>
        <v>0</v>
      </c>
      <c r="AA49" s="16">
        <f t="shared" ca="1" si="35"/>
        <v>60.116275774676119</v>
      </c>
      <c r="AB49" s="16">
        <f t="shared" ca="1" si="36"/>
        <v>4.0926942204875711</v>
      </c>
      <c r="AC49" s="16">
        <f t="shared" ca="1" si="37"/>
        <v>0.49924217160574552</v>
      </c>
      <c r="AD49" s="16">
        <f t="shared" ca="1" si="38"/>
        <v>0</v>
      </c>
      <c r="AF49" s="16">
        <f t="shared" ca="1" si="19"/>
        <v>0.82389407792135883</v>
      </c>
      <c r="AG49" s="16">
        <f t="shared" ca="1" si="20"/>
        <v>1.0931011212291669E-3</v>
      </c>
      <c r="AH49" s="16">
        <f t="shared" ca="1" si="21"/>
        <v>1.0931011212291669E-3</v>
      </c>
      <c r="AI49" s="16">
        <f t="shared" ca="1" si="22"/>
        <v>2.0495646023046877E-3</v>
      </c>
      <c r="AJ49" s="16">
        <f t="shared" ca="1" si="23"/>
        <v>1.6738260564365119E-3</v>
      </c>
      <c r="AK49" s="16">
        <f t="shared" ca="1" si="24"/>
        <v>3.0647445020025381E-4</v>
      </c>
      <c r="AL49" s="16">
        <f t="shared" ca="1" si="25"/>
        <v>1.660428775981871E-3</v>
      </c>
      <c r="AM49" s="16">
        <f t="shared" ca="1" si="26"/>
        <v>3.6200667608767362E-2</v>
      </c>
    </row>
    <row r="50" spans="2:39" ht="16.5" x14ac:dyDescent="0.3">
      <c r="B50" s="44">
        <f t="shared" si="40"/>
        <v>24</v>
      </c>
      <c r="C50" s="44">
        <f t="shared" si="40"/>
        <v>24</v>
      </c>
      <c r="D50" s="44">
        <f t="shared" si="5"/>
        <v>0.1</v>
      </c>
      <c r="E50" s="14">
        <f t="shared" ca="1" si="6"/>
        <v>1.3638526703974499E-4</v>
      </c>
      <c r="F50" s="14">
        <f t="shared" ca="1" si="7"/>
        <v>1.2130950887372285E-4</v>
      </c>
      <c r="G50" s="14">
        <f t="shared" ca="1" si="8"/>
        <v>4.0084081592137497E-5</v>
      </c>
      <c r="H50" s="14">
        <f t="shared" ca="1" si="9"/>
        <v>2.8347439496835303E-4</v>
      </c>
      <c r="I50" s="14">
        <f t="shared" ca="1" si="10"/>
        <v>2.6059362930073151E-3</v>
      </c>
      <c r="J50" s="14">
        <f t="shared" ca="1" si="11"/>
        <v>3.6410791765009651E-3</v>
      </c>
      <c r="K50" s="14">
        <f t="shared" ca="1" si="12"/>
        <v>2.370653709769906E-2</v>
      </c>
      <c r="L50" s="14">
        <f t="shared" ca="1" si="28"/>
        <v>0.80362839069285485</v>
      </c>
      <c r="M50" s="14">
        <f t="shared" ca="1" si="13"/>
        <v>0.13689545652555299</v>
      </c>
      <c r="N50" s="14">
        <f t="shared" ca="1" si="14"/>
        <v>1.9716843337974316E-3</v>
      </c>
      <c r="O50" s="14">
        <f t="shared" ca="1" si="15"/>
        <v>1.855043868744881E-3</v>
      </c>
      <c r="P50" s="14">
        <f t="shared" ca="1" si="16"/>
        <v>2.5114618759367921E-2</v>
      </c>
      <c r="R50" s="44">
        <f t="shared" ca="1" si="3"/>
        <v>0.99999999999999944</v>
      </c>
      <c r="S50" s="16">
        <f t="shared" ca="1" si="17"/>
        <v>1.3971374948184996</v>
      </c>
      <c r="T50" s="16">
        <f t="shared" ca="1" si="29"/>
        <v>0.39933639883182409</v>
      </c>
      <c r="U50" s="16">
        <f t="shared" ca="1" si="30"/>
        <v>0.13340083202631409</v>
      </c>
      <c r="V50" s="16">
        <f t="shared" ca="1" si="31"/>
        <v>0.72691513867293578</v>
      </c>
      <c r="W50" s="16">
        <f t="shared" ca="1" si="32"/>
        <v>5.97071821801865</v>
      </c>
      <c r="X50" s="16">
        <f t="shared" ca="1" si="33"/>
        <v>8.2385691390468914</v>
      </c>
      <c r="Y50" s="16">
        <f t="shared" ca="1" si="34"/>
        <v>61.007174833239823</v>
      </c>
      <c r="Z50" s="16">
        <f t="shared" ca="1" si="18"/>
        <v>0</v>
      </c>
      <c r="AA50" s="16">
        <f t="shared" ca="1" si="35"/>
        <v>58.413449165012224</v>
      </c>
      <c r="AB50" s="16">
        <f t="shared" ca="1" si="36"/>
        <v>4.1152426003688127</v>
      </c>
      <c r="AC50" s="16">
        <f t="shared" ca="1" si="37"/>
        <v>0.50199270744635383</v>
      </c>
      <c r="AD50" s="16">
        <f t="shared" ca="1" si="38"/>
        <v>0</v>
      </c>
      <c r="AF50" s="16">
        <f t="shared" ca="1" si="19"/>
        <v>0.83256973765476516</v>
      </c>
      <c r="AG50" s="16">
        <f t="shared" ca="1" si="20"/>
        <v>1.0926113889740592E-3</v>
      </c>
      <c r="AH50" s="16">
        <f t="shared" ca="1" si="21"/>
        <v>1.0926113889740592E-3</v>
      </c>
      <c r="AI50" s="16">
        <f t="shared" ca="1" si="22"/>
        <v>2.0486463543263611E-3</v>
      </c>
      <c r="AJ50" s="16">
        <f t="shared" ca="1" si="23"/>
        <v>1.6730761472164434E-3</v>
      </c>
      <c r="AK50" s="16">
        <f t="shared" ca="1" si="24"/>
        <v>3.0633714321125292E-4</v>
      </c>
      <c r="AL50" s="16">
        <f t="shared" ca="1" si="25"/>
        <v>1.6090457000747954E-3</v>
      </c>
      <c r="AM50" s="16">
        <f t="shared" ca="1" si="26"/>
        <v>3.1221651071451126E-2</v>
      </c>
    </row>
    <row r="51" spans="2:39" ht="16.5" x14ac:dyDescent="0.3">
      <c r="B51" s="44">
        <f t="shared" si="40"/>
        <v>25</v>
      </c>
      <c r="C51" s="44">
        <f t="shared" si="40"/>
        <v>25</v>
      </c>
      <c r="D51" s="44">
        <f t="shared" si="5"/>
        <v>0.1</v>
      </c>
      <c r="E51" s="14">
        <f t="shared" ca="1" si="6"/>
        <v>1.3634032841631556E-4</v>
      </c>
      <c r="F51" s="14">
        <f t="shared" ca="1" si="7"/>
        <v>1.2126716346373496E-4</v>
      </c>
      <c r="G51" s="14">
        <f t="shared" ca="1" si="8"/>
        <v>3.9530567130583011E-5</v>
      </c>
      <c r="H51" s="14">
        <f t="shared" ca="1" si="9"/>
        <v>2.7736763964258785E-4</v>
      </c>
      <c r="I51" s="14">
        <f t="shared" ca="1" si="10"/>
        <v>2.4724974304820542E-3</v>
      </c>
      <c r="J51" s="14">
        <f t="shared" ca="1" si="11"/>
        <v>3.5414254305040286E-3</v>
      </c>
      <c r="K51" s="14">
        <f t="shared" ca="1" si="12"/>
        <v>2.0085154017539276E-2</v>
      </c>
      <c r="L51" s="14">
        <f t="shared" ca="1" si="28"/>
        <v>0.81129850561345263</v>
      </c>
      <c r="M51" s="14">
        <f t="shared" ca="1" si="13"/>
        <v>0.1327835675362434</v>
      </c>
      <c r="N51" s="14">
        <f t="shared" ca="1" si="14"/>
        <v>2.0646576002367302E-3</v>
      </c>
      <c r="O51" s="14">
        <f t="shared" ca="1" si="15"/>
        <v>1.9265454467930023E-3</v>
      </c>
      <c r="P51" s="14">
        <f t="shared" ca="1" si="16"/>
        <v>2.5253141226095031E-2</v>
      </c>
      <c r="R51" s="44">
        <f t="shared" ca="1" si="3"/>
        <v>0.99999999999999944</v>
      </c>
      <c r="S51" s="16">
        <f t="shared" ca="1" si="17"/>
        <v>1.3966771413131573</v>
      </c>
      <c r="T51" s="16">
        <f t="shared" ca="1" si="29"/>
        <v>0.39919266218205235</v>
      </c>
      <c r="U51" s="16">
        <f t="shared" ca="1" si="30"/>
        <v>0.13101665245081417</v>
      </c>
      <c r="V51" s="16">
        <f t="shared" ca="1" si="31"/>
        <v>0.7110130977983663</v>
      </c>
      <c r="W51" s="16">
        <f t="shared" ca="1" si="32"/>
        <v>5.6680157800527313</v>
      </c>
      <c r="X51" s="16">
        <f t="shared" ca="1" si="33"/>
        <v>8.0163593086794709</v>
      </c>
      <c r="Y51" s="16">
        <f t="shared" ca="1" si="34"/>
        <v>51.615076732975673</v>
      </c>
      <c r="Z51" s="16">
        <f t="shared" ca="1" si="18"/>
        <v>0</v>
      </c>
      <c r="AA51" s="16">
        <f t="shared" ca="1" si="35"/>
        <v>56.690576043150529</v>
      </c>
      <c r="AB51" s="16">
        <f t="shared" ca="1" si="36"/>
        <v>4.1340186667683314</v>
      </c>
      <c r="AC51" s="16">
        <f t="shared" ca="1" si="37"/>
        <v>0.50428308235796715</v>
      </c>
      <c r="AD51" s="16">
        <f t="shared" ca="1" si="38"/>
        <v>0</v>
      </c>
      <c r="AF51" s="16">
        <f t="shared" ca="1" si="19"/>
        <v>0.84054284988657746</v>
      </c>
      <c r="AG51" s="16">
        <f t="shared" ca="1" si="20"/>
        <v>1.092155432936945E-3</v>
      </c>
      <c r="AH51" s="16">
        <f t="shared" ca="1" si="21"/>
        <v>1.092155432936945E-3</v>
      </c>
      <c r="AI51" s="16">
        <f t="shared" ca="1" si="22"/>
        <v>2.047791436756772E-3</v>
      </c>
      <c r="AJ51" s="16">
        <f t="shared" ca="1" si="23"/>
        <v>1.6723779582925743E-3</v>
      </c>
      <c r="AK51" s="16">
        <f t="shared" ca="1" si="24"/>
        <v>3.0620930611267513E-4</v>
      </c>
      <c r="AL51" s="16">
        <f t="shared" ca="1" si="25"/>
        <v>1.5591357213658773E-3</v>
      </c>
      <c r="AM51" s="16">
        <f t="shared" ca="1" si="26"/>
        <v>2.7045058477064062E-2</v>
      </c>
    </row>
    <row r="52" spans="2:39" ht="16.5" x14ac:dyDescent="0.3">
      <c r="B52" s="44">
        <f t="shared" si="40"/>
        <v>26</v>
      </c>
      <c r="C52" s="44">
        <f t="shared" si="40"/>
        <v>26</v>
      </c>
      <c r="D52" s="44">
        <f t="shared" si="5"/>
        <v>0.1</v>
      </c>
      <c r="E52" s="14">
        <f t="shared" ca="1" si="6"/>
        <v>1.362977867759138E-4</v>
      </c>
      <c r="F52" s="14">
        <f t="shared" ca="1" si="7"/>
        <v>1.2122719197665095E-4</v>
      </c>
      <c r="G52" s="14">
        <f t="shared" ca="1" si="8"/>
        <v>3.9186647124227218E-5</v>
      </c>
      <c r="H52" s="14">
        <f t="shared" ca="1" si="9"/>
        <v>2.7152954776589754E-4</v>
      </c>
      <c r="I52" s="14">
        <f t="shared" ca="1" si="10"/>
        <v>2.3437801513122203E-3</v>
      </c>
      <c r="J52" s="14">
        <f t="shared" ca="1" si="11"/>
        <v>3.4421435728155957E-3</v>
      </c>
      <c r="K52" s="14">
        <f t="shared" ca="1" si="12"/>
        <v>1.706686488329489E-2</v>
      </c>
      <c r="L52" s="14">
        <f t="shared" ca="1" si="28"/>
        <v>0.81837173648889294</v>
      </c>
      <c r="M52" s="14">
        <f t="shared" ca="1" si="13"/>
        <v>0.1286752926334474</v>
      </c>
      <c r="N52" s="14">
        <f t="shared" ca="1" si="14"/>
        <v>2.1544130726340667E-3</v>
      </c>
      <c r="O52" s="14">
        <f t="shared" ca="1" si="15"/>
        <v>1.9940154821726864E-3</v>
      </c>
      <c r="P52" s="14">
        <f t="shared" ca="1" si="16"/>
        <v>2.5383512541786845E-2</v>
      </c>
      <c r="R52" s="44">
        <f t="shared" ca="1" si="3"/>
        <v>0.99999999999999944</v>
      </c>
      <c r="S52" s="16">
        <f t="shared" ca="1" si="17"/>
        <v>1.3962413426217997</v>
      </c>
      <c r="T52" s="16">
        <f t="shared" ca="1" si="29"/>
        <v>0.39905719861513944</v>
      </c>
      <c r="U52" s="16">
        <f t="shared" ca="1" si="30"/>
        <v>0.12953980288021461</v>
      </c>
      <c r="V52" s="16">
        <f t="shared" ca="1" si="31"/>
        <v>0.69586989830898149</v>
      </c>
      <c r="W52" s="16">
        <f t="shared" ca="1" si="32"/>
        <v>5.3754245543185544</v>
      </c>
      <c r="X52" s="16">
        <f t="shared" ca="1" si="33"/>
        <v>7.7943282254170025</v>
      </c>
      <c r="Y52" s="16">
        <f t="shared" ca="1" si="34"/>
        <v>43.78922707746819</v>
      </c>
      <c r="Z52" s="16">
        <f t="shared" ca="1" si="18"/>
        <v>0</v>
      </c>
      <c r="AA52" s="16">
        <f t="shared" ca="1" si="35"/>
        <v>54.962574290571546</v>
      </c>
      <c r="AB52" s="16">
        <f t="shared" ca="1" si="36"/>
        <v>4.1496586449188326</v>
      </c>
      <c r="AC52" s="16">
        <f t="shared" ca="1" si="37"/>
        <v>0.50619090547767065</v>
      </c>
      <c r="AD52" s="16">
        <f t="shared" ca="1" si="38"/>
        <v>0</v>
      </c>
      <c r="AF52" s="16">
        <f t="shared" ca="1" si="19"/>
        <v>0.84790367758548646</v>
      </c>
      <c r="AG52" s="16">
        <f t="shared" ca="1" si="20"/>
        <v>1.091729304960947E-3</v>
      </c>
      <c r="AH52" s="16">
        <f t="shared" ca="1" si="21"/>
        <v>1.091729304960947E-3</v>
      </c>
      <c r="AI52" s="16">
        <f t="shared" ca="1" si="22"/>
        <v>2.0469924468017753E-3</v>
      </c>
      <c r="AJ52" s="16">
        <f t="shared" ca="1" si="23"/>
        <v>1.6717254439956352E-3</v>
      </c>
      <c r="AK52" s="16">
        <f t="shared" ca="1" si="24"/>
        <v>3.060898319536768E-4</v>
      </c>
      <c r="AL52" s="16">
        <f t="shared" ca="1" si="25"/>
        <v>1.5106436115112851E-3</v>
      </c>
      <c r="AM52" s="16">
        <f t="shared" ca="1" si="26"/>
        <v>2.3536662567610701E-2</v>
      </c>
    </row>
    <row r="53" spans="2:39" ht="16.5" x14ac:dyDescent="0.3">
      <c r="B53" s="44">
        <f t="shared" si="40"/>
        <v>27</v>
      </c>
      <c r="C53" s="44">
        <f t="shared" si="40"/>
        <v>27</v>
      </c>
      <c r="D53" s="44">
        <f t="shared" si="5"/>
        <v>0.1</v>
      </c>
      <c r="E53" s="14">
        <f t="shared" ca="1" si="6"/>
        <v>1.3625740738971228E-4</v>
      </c>
      <c r="F53" s="14">
        <f t="shared" ca="1" si="7"/>
        <v>1.2118935322176067E-4</v>
      </c>
      <c r="G53" s="14">
        <f t="shared" ca="1" si="8"/>
        <v>3.8971350290530804E-5</v>
      </c>
      <c r="H53" s="14">
        <f t="shared" ca="1" si="9"/>
        <v>2.6592626903573086E-4</v>
      </c>
      <c r="I53" s="14">
        <f t="shared" ca="1" si="10"/>
        <v>2.2200369183462978E-3</v>
      </c>
      <c r="J53" s="14">
        <f t="shared" ca="1" si="11"/>
        <v>3.3437006445919317E-3</v>
      </c>
      <c r="K53" s="14">
        <f t="shared" ca="1" si="12"/>
        <v>1.4549774363268028E-2</v>
      </c>
      <c r="L53" s="14">
        <f t="shared" ca="1" si="28"/>
        <v>0.82492266505680689</v>
      </c>
      <c r="M53" s="14">
        <f t="shared" ca="1" si="13"/>
        <v>0.12459588778261721</v>
      </c>
      <c r="N53" s="14">
        <f t="shared" ca="1" si="14"/>
        <v>2.2409745070897042E-3</v>
      </c>
      <c r="O53" s="14">
        <f t="shared" ca="1" si="15"/>
        <v>2.0575997727848051E-3</v>
      </c>
      <c r="P53" s="14">
        <f t="shared" ca="1" si="16"/>
        <v>2.5507016574556746E-2</v>
      </c>
      <c r="R53" s="44">
        <f t="shared" ca="1" si="3"/>
        <v>0.99999999999999944</v>
      </c>
      <c r="S53" s="16">
        <f t="shared" ca="1" si="17"/>
        <v>1.3958276941705821</v>
      </c>
      <c r="T53" s="16">
        <f t="shared" ca="1" si="29"/>
        <v>0.39892915135758811</v>
      </c>
      <c r="U53" s="16">
        <f t="shared" ca="1" si="30"/>
        <v>0.12861953607563531</v>
      </c>
      <c r="V53" s="16">
        <f t="shared" ca="1" si="31"/>
        <v>0.68136498630843234</v>
      </c>
      <c r="W53" s="16">
        <f t="shared" ca="1" si="32"/>
        <v>5.0936545747268021</v>
      </c>
      <c r="X53" s="16">
        <f t="shared" ca="1" si="33"/>
        <v>7.5736485301255803</v>
      </c>
      <c r="Y53" s="16">
        <f t="shared" ca="1" si="34"/>
        <v>37.264951847961385</v>
      </c>
      <c r="Z53" s="16">
        <f t="shared" ca="1" si="18"/>
        <v>0</v>
      </c>
      <c r="AA53" s="16">
        <f t="shared" ca="1" si="35"/>
        <v>53.241401191163021</v>
      </c>
      <c r="AB53" s="16">
        <f t="shared" ca="1" si="36"/>
        <v>4.1626909389678497</v>
      </c>
      <c r="AC53" s="16">
        <f t="shared" ca="1" si="37"/>
        <v>0.50778063352269864</v>
      </c>
      <c r="AD53" s="16">
        <f t="shared" ca="1" si="38"/>
        <v>0</v>
      </c>
      <c r="AF53" s="16">
        <f t="shared" ca="1" si="19"/>
        <v>0.85472825591123824</v>
      </c>
      <c r="AG53" s="16">
        <f t="shared" ca="1" si="20"/>
        <v>1.091329628792311E-3</v>
      </c>
      <c r="AH53" s="16">
        <f t="shared" ca="1" si="21"/>
        <v>1.091329628792311E-3</v>
      </c>
      <c r="AI53" s="16">
        <f t="shared" ca="1" si="22"/>
        <v>2.046243053985583E-3</v>
      </c>
      <c r="AJ53" s="16">
        <f t="shared" ca="1" si="23"/>
        <v>1.6711134343908446E-3</v>
      </c>
      <c r="AK53" s="16">
        <f t="shared" ca="1" si="24"/>
        <v>3.0597777412877668E-4</v>
      </c>
      <c r="AL53" s="16">
        <f t="shared" ca="1" si="25"/>
        <v>1.4635687554721325E-3</v>
      </c>
      <c r="AM53" s="16">
        <f t="shared" ca="1" si="26"/>
        <v>2.0584874288132562E-2</v>
      </c>
    </row>
    <row r="54" spans="2:39" ht="16.5" x14ac:dyDescent="0.3">
      <c r="B54" s="44">
        <f t="shared" si="40"/>
        <v>28</v>
      </c>
      <c r="C54" s="44">
        <f t="shared" si="40"/>
        <v>28</v>
      </c>
      <c r="D54" s="44">
        <f t="shared" si="5"/>
        <v>0.1</v>
      </c>
      <c r="E54" s="14">
        <f t="shared" ca="1" si="6"/>
        <v>1.3621898619601414E-4</v>
      </c>
      <c r="F54" s="14">
        <f t="shared" ca="1" si="7"/>
        <v>1.2115343829515724E-4</v>
      </c>
      <c r="G54" s="14">
        <f t="shared" ca="1" si="8"/>
        <v>3.8835062402696058E-5</v>
      </c>
      <c r="H54" s="14">
        <f t="shared" ca="1" si="9"/>
        <v>2.6053931121759771E-4</v>
      </c>
      <c r="I54" s="14">
        <f t="shared" ca="1" si="10"/>
        <v>2.1014151410203301E-3</v>
      </c>
      <c r="J54" s="14">
        <f t="shared" ca="1" si="11"/>
        <v>3.2464674589354932E-3</v>
      </c>
      <c r="K54" s="14">
        <f t="shared" ca="1" si="12"/>
        <v>1.2449251769553207E-2</v>
      </c>
      <c r="L54" s="14">
        <f t="shared" ca="1" si="28"/>
        <v>0.8310142000606493</v>
      </c>
      <c r="M54" s="14">
        <f t="shared" ca="1" si="13"/>
        <v>0.12056535683574858</v>
      </c>
      <c r="N54" s="14">
        <f t="shared" ca="1" si="14"/>
        <v>2.3243832737823017E-3</v>
      </c>
      <c r="O54" s="14">
        <f t="shared" ca="1" si="15"/>
        <v>2.1174551168143211E-3</v>
      </c>
      <c r="P54" s="14">
        <f t="shared" ca="1" si="16"/>
        <v>2.5624723545384379E-2</v>
      </c>
      <c r="R54" s="44">
        <f t="shared" ca="1" si="3"/>
        <v>0.99999999999999922</v>
      </c>
      <c r="S54" s="16">
        <f t="shared" ca="1" si="17"/>
        <v>1.3954341055412784</v>
      </c>
      <c r="T54" s="16">
        <f t="shared" ca="1" si="29"/>
        <v>0.39880777971794323</v>
      </c>
      <c r="U54" s="16">
        <f t="shared" ca="1" si="30"/>
        <v>0.12804095595241838</v>
      </c>
      <c r="V54" s="16">
        <f t="shared" ca="1" si="31"/>
        <v>0.66743200402195979</v>
      </c>
      <c r="W54" s="16">
        <f t="shared" ca="1" si="32"/>
        <v>4.8231521368367209</v>
      </c>
      <c r="X54" s="16">
        <f t="shared" ca="1" si="33"/>
        <v>7.3552553479674874</v>
      </c>
      <c r="Y54" s="16">
        <f t="shared" ca="1" si="34"/>
        <v>31.822402151449751</v>
      </c>
      <c r="Z54" s="16">
        <f t="shared" ca="1" si="18"/>
        <v>0</v>
      </c>
      <c r="AA54" s="16">
        <f t="shared" ca="1" si="35"/>
        <v>51.536571037449768</v>
      </c>
      <c r="AB54" s="16">
        <f t="shared" ca="1" si="36"/>
        <v>4.1735543798173254</v>
      </c>
      <c r="AC54" s="16">
        <f t="shared" ca="1" si="37"/>
        <v>0.50910579673026446</v>
      </c>
      <c r="AD54" s="16">
        <f t="shared" ca="1" si="38"/>
        <v>0</v>
      </c>
      <c r="AF54" s="16">
        <f t="shared" ca="1" si="19"/>
        <v>0.8610807619966302</v>
      </c>
      <c r="AG54" s="16">
        <f t="shared" ca="1" si="20"/>
        <v>1.0909535093658544E-3</v>
      </c>
      <c r="AH54" s="16">
        <f t="shared" ca="1" si="21"/>
        <v>1.0909535093658544E-3</v>
      </c>
      <c r="AI54" s="16">
        <f t="shared" ca="1" si="22"/>
        <v>2.045537830060977E-3</v>
      </c>
      <c r="AJ54" s="16">
        <f t="shared" ca="1" si="23"/>
        <v>1.6705374963700082E-3</v>
      </c>
      <c r="AK54" s="16">
        <f t="shared" ca="1" si="24"/>
        <v>3.0587232094407655E-4</v>
      </c>
      <c r="AL54" s="16">
        <f t="shared" ca="1" si="25"/>
        <v>1.417932286436557E-3</v>
      </c>
      <c r="AM54" s="16">
        <f t="shared" ca="1" si="26"/>
        <v>1.8096936450445689E-2</v>
      </c>
    </row>
    <row r="55" spans="2:39" ht="16.5" x14ac:dyDescent="0.3">
      <c r="B55" s="44">
        <f t="shared" si="40"/>
        <v>29</v>
      </c>
      <c r="C55" s="44">
        <f t="shared" si="40"/>
        <v>29</v>
      </c>
      <c r="D55" s="44">
        <f t="shared" si="5"/>
        <v>0.1</v>
      </c>
      <c r="E55" s="14">
        <f t="shared" ca="1" si="6"/>
        <v>1.3618234511177045E-4</v>
      </c>
      <c r="F55" s="14">
        <f t="shared" ca="1" si="7"/>
        <v>1.2111926559071143E-4</v>
      </c>
      <c r="G55" s="14">
        <f t="shared" ca="1" si="8"/>
        <v>3.8747376294111959E-5</v>
      </c>
      <c r="H55" s="14">
        <f t="shared" ca="1" si="9"/>
        <v>2.5535845589182518E-4</v>
      </c>
      <c r="I55" s="14">
        <f t="shared" ca="1" si="10"/>
        <v>1.9879786976697081E-3</v>
      </c>
      <c r="J55" s="14">
        <f t="shared" ca="1" si="11"/>
        <v>3.1507354848345167E-3</v>
      </c>
      <c r="K55" s="14">
        <f t="shared" ca="1" si="12"/>
        <v>1.0695012950283019E-2</v>
      </c>
      <c r="L55" s="14">
        <f t="shared" ca="1" si="28"/>
        <v>0.83669952111618673</v>
      </c>
      <c r="M55" s="14">
        <f t="shared" ca="1" si="13"/>
        <v>0.11659937865834626</v>
      </c>
      <c r="N55" s="14">
        <f t="shared" ca="1" si="14"/>
        <v>2.4046944675641716E-3</v>
      </c>
      <c r="O55" s="14">
        <f t="shared" ca="1" si="15"/>
        <v>2.173745065025782E-3</v>
      </c>
      <c r="P55" s="14">
        <f t="shared" ca="1" si="16"/>
        <v>2.5737526117200669E-2</v>
      </c>
      <c r="R55" s="44">
        <f t="shared" ca="1" si="3"/>
        <v>0.99999999999999933</v>
      </c>
      <c r="S55" s="16">
        <f t="shared" ca="1" si="17"/>
        <v>1.395058752442232</v>
      </c>
      <c r="T55" s="16">
        <f t="shared" ca="1" si="29"/>
        <v>0.39869244105922147</v>
      </c>
      <c r="U55" s="16">
        <f t="shared" ca="1" si="30"/>
        <v>0.12767237650482166</v>
      </c>
      <c r="V55" s="16">
        <f t="shared" ca="1" si="31"/>
        <v>0.65403455323064186</v>
      </c>
      <c r="W55" s="16">
        <f t="shared" ca="1" si="32"/>
        <v>4.5641530579273821</v>
      </c>
      <c r="X55" s="16">
        <f t="shared" ca="1" si="33"/>
        <v>7.139887848841413</v>
      </c>
      <c r="Y55" s="16">
        <f t="shared" ca="1" si="34"/>
        <v>27.278987612034971</v>
      </c>
      <c r="Z55" s="16">
        <f t="shared" ca="1" si="18"/>
        <v>0</v>
      </c>
      <c r="AA55" s="16">
        <f t="shared" ca="1" si="35"/>
        <v>49.855584871891146</v>
      </c>
      <c r="AB55" s="16">
        <f t="shared" ca="1" si="36"/>
        <v>4.1826134050286665</v>
      </c>
      <c r="AC55" s="16">
        <f t="shared" ca="1" si="37"/>
        <v>0.51021085055923066</v>
      </c>
      <c r="AD55" s="16">
        <f t="shared" ca="1" si="38"/>
        <v>0</v>
      </c>
      <c r="AF55" s="16">
        <f t="shared" ca="1" si="19"/>
        <v>0.86701548676597739</v>
      </c>
      <c r="AG55" s="16">
        <f t="shared" ca="1" si="20"/>
        <v>1.0905984567861242E-3</v>
      </c>
      <c r="AH55" s="16">
        <f t="shared" ca="1" si="21"/>
        <v>1.0905984567861242E-3</v>
      </c>
      <c r="AI55" s="16">
        <f t="shared" ca="1" si="22"/>
        <v>2.0448721064739829E-3</v>
      </c>
      <c r="AJ55" s="16">
        <f t="shared" ca="1" si="23"/>
        <v>1.6699938172466263E-3</v>
      </c>
      <c r="AK55" s="16">
        <f t="shared" ca="1" si="24"/>
        <v>3.0577277430374135E-4</v>
      </c>
      <c r="AL55" s="16">
        <f t="shared" ca="1" si="25"/>
        <v>1.3737592714777977E-3</v>
      </c>
      <c r="AM55" s="16">
        <f t="shared" ca="1" si="26"/>
        <v>1.5995748600170282E-2</v>
      </c>
    </row>
    <row r="56" spans="2:39" ht="16.5" x14ac:dyDescent="0.3">
      <c r="B56" s="44">
        <f t="shared" si="40"/>
        <v>30</v>
      </c>
      <c r="C56" s="44">
        <f t="shared" si="40"/>
        <v>30</v>
      </c>
      <c r="D56" s="44">
        <f t="shared" si="5"/>
        <v>0.1</v>
      </c>
      <c r="E56" s="14">
        <f t="shared" ca="1" si="6"/>
        <v>1.3614732810812334E-4</v>
      </c>
      <c r="F56" s="14">
        <f t="shared" ca="1" si="7"/>
        <v>1.2108667662638812E-4</v>
      </c>
      <c r="G56" s="14">
        <f t="shared" ca="1" si="8"/>
        <v>3.8689650441776579E-5</v>
      </c>
      <c r="H56" s="14">
        <f t="shared" ca="1" si="9"/>
        <v>2.5037765407408556E-4</v>
      </c>
      <c r="I56" s="14">
        <f t="shared" ca="1" si="10"/>
        <v>1.879725586431145E-3</v>
      </c>
      <c r="J56" s="14">
        <f t="shared" ca="1" si="11"/>
        <v>3.0567308481313227E-3</v>
      </c>
      <c r="K56" s="14">
        <f t="shared" ca="1" si="12"/>
        <v>9.2286912489254764E-3</v>
      </c>
      <c r="L56" s="14">
        <f t="shared" ca="1" si="28"/>
        <v>0.84202369533647337</v>
      </c>
      <c r="M56" s="14">
        <f t="shared" ca="1" si="13"/>
        <v>0.11271007603288592</v>
      </c>
      <c r="N56" s="14">
        <f t="shared" ca="1" si="14"/>
        <v>2.4819737159456571E-3</v>
      </c>
      <c r="O56" s="14">
        <f t="shared" ca="1" si="15"/>
        <v>2.22663655249242E-3</v>
      </c>
      <c r="P56" s="14">
        <f t="shared" ca="1" si="16"/>
        <v>2.5846169369463625E-2</v>
      </c>
      <c r="R56" s="44">
        <f t="shared" ca="1" si="3"/>
        <v>0.99999999999999933</v>
      </c>
      <c r="S56" s="16">
        <f t="shared" ca="1" si="17"/>
        <v>1.3947000365060207</v>
      </c>
      <c r="T56" s="16">
        <f t="shared" ca="1" si="29"/>
        <v>0.39858257572043659</v>
      </c>
      <c r="U56" s="16">
        <f t="shared" ca="1" si="30"/>
        <v>0.12743308149251392</v>
      </c>
      <c r="V56" s="16">
        <f t="shared" ca="1" si="31"/>
        <v>0.64115201077038297</v>
      </c>
      <c r="W56" s="16">
        <f t="shared" ca="1" si="32"/>
        <v>4.3167263980356791</v>
      </c>
      <c r="X56" s="16">
        <f t="shared" ca="1" si="33"/>
        <v>6.9281237178815944</v>
      </c>
      <c r="Y56" s="16">
        <f t="shared" ca="1" si="34"/>
        <v>23.483073954397096</v>
      </c>
      <c r="Z56" s="16">
        <f t="shared" ca="1" si="18"/>
        <v>0</v>
      </c>
      <c r="AA56" s="16">
        <f t="shared" ca="1" si="35"/>
        <v>48.204287017917373</v>
      </c>
      <c r="AB56" s="16">
        <f t="shared" ca="1" si="36"/>
        <v>4.1901706781098378</v>
      </c>
      <c r="AC56" s="16">
        <f t="shared" ca="1" si="37"/>
        <v>0.51113271503803281</v>
      </c>
      <c r="AD56" s="16">
        <f t="shared" ca="1" si="38"/>
        <v>0</v>
      </c>
      <c r="AF56" s="16">
        <f t="shared" ca="1" si="19"/>
        <v>0.87257847497437502</v>
      </c>
      <c r="AG56" s="16">
        <f t="shared" ca="1" si="20"/>
        <v>1.0902623226841331E-3</v>
      </c>
      <c r="AH56" s="16">
        <f t="shared" ca="1" si="21"/>
        <v>1.0902623226841331E-3</v>
      </c>
      <c r="AI56" s="16">
        <f t="shared" ca="1" si="22"/>
        <v>2.0442418550327495E-3</v>
      </c>
      <c r="AJ56" s="16">
        <f t="shared" ca="1" si="23"/>
        <v>1.6694791073012768E-3</v>
      </c>
      <c r="AK56" s="16">
        <f t="shared" ca="1" si="24"/>
        <v>3.0567853186623891E-4</v>
      </c>
      <c r="AL56" s="16">
        <f t="shared" ca="1" si="25"/>
        <v>1.3310697029454218E-3</v>
      </c>
      <c r="AM56" s="16">
        <f t="shared" ca="1" si="26"/>
        <v>1.4217222081261569E-2</v>
      </c>
    </row>
    <row r="57" spans="2:39" ht="16.5" x14ac:dyDescent="0.3">
      <c r="B57" s="44">
        <f t="shared" si="40"/>
        <v>31</v>
      </c>
      <c r="C57" s="44">
        <f t="shared" si="40"/>
        <v>31</v>
      </c>
      <c r="D57" s="44">
        <f t="shared" si="5"/>
        <v>0.1</v>
      </c>
      <c r="E57" s="14">
        <f t="shared" ca="1" si="6"/>
        <v>1.3611379792304018E-4</v>
      </c>
      <c r="F57" s="14">
        <f t="shared" ca="1" si="7"/>
        <v>1.2105553255071224E-4</v>
      </c>
      <c r="G57" s="14">
        <f t="shared" ca="1" si="8"/>
        <v>3.8650451262074533E-5</v>
      </c>
      <c r="H57" s="14">
        <f t="shared" ca="1" si="9"/>
        <v>2.4559270454313124E-4</v>
      </c>
      <c r="I57" s="14">
        <f t="shared" ca="1" si="10"/>
        <v>1.7766023732124288E-3</v>
      </c>
      <c r="J57" s="14">
        <f t="shared" ca="1" si="11"/>
        <v>2.9646259379806487E-3</v>
      </c>
      <c r="K57" s="14">
        <f t="shared" ca="1" si="12"/>
        <v>8.0018172631882104E-3</v>
      </c>
      <c r="L57" s="14">
        <f t="shared" ca="1" si="28"/>
        <v>0.84702502146663272</v>
      </c>
      <c r="M57" s="14">
        <f t="shared" ca="1" si="13"/>
        <v>0.1089066529657708</v>
      </c>
      <c r="N57" s="14">
        <f t="shared" ca="1" si="14"/>
        <v>2.5562945648870813E-3</v>
      </c>
      <c r="O57" s="14">
        <f t="shared" ca="1" si="15"/>
        <v>2.2762972502997905E-3</v>
      </c>
      <c r="P57" s="14">
        <f t="shared" ca="1" si="16"/>
        <v>2.5951275691748602E-2</v>
      </c>
      <c r="R57" s="44">
        <f t="shared" ca="1" si="3"/>
        <v>0.99999999999999922</v>
      </c>
      <c r="S57" s="16">
        <f t="shared" ca="1" si="17"/>
        <v>1.3943565516135197</v>
      </c>
      <c r="T57" s="16">
        <f t="shared" ca="1" si="29"/>
        <v>0.39847769439915759</v>
      </c>
      <c r="U57" s="16">
        <f t="shared" ca="1" si="30"/>
        <v>0.12727357826741703</v>
      </c>
      <c r="V57" s="16">
        <f t="shared" ca="1" si="31"/>
        <v>0.62877138184056269</v>
      </c>
      <c r="W57" s="16">
        <f t="shared" ca="1" si="32"/>
        <v>4.0808102853547386</v>
      </c>
      <c r="X57" s="16">
        <f t="shared" ca="1" si="33"/>
        <v>6.7204077357851713</v>
      </c>
      <c r="Y57" s="16">
        <f t="shared" ca="1" si="34"/>
        <v>20.308738857802798</v>
      </c>
      <c r="Z57" s="16">
        <f t="shared" ca="1" si="18"/>
        <v>0</v>
      </c>
      <c r="AA57" s="16">
        <f t="shared" ca="1" si="35"/>
        <v>46.587160686452627</v>
      </c>
      <c r="AB57" s="16">
        <f t="shared" ca="1" si="36"/>
        <v>4.1964775739689602</v>
      </c>
      <c r="AC57" s="16">
        <f t="shared" ca="1" si="37"/>
        <v>0.51190205381957088</v>
      </c>
      <c r="AD57" s="16">
        <f t="shared" ca="1" si="38"/>
        <v>0</v>
      </c>
      <c r="AF57" s="16">
        <f t="shared" ca="1" si="19"/>
        <v>0.87780888897356812</v>
      </c>
      <c r="AG57" s="16">
        <f t="shared" ca="1" si="20"/>
        <v>1.0899432469606348E-3</v>
      </c>
      <c r="AH57" s="16">
        <f t="shared" ca="1" si="21"/>
        <v>1.0899432469606348E-3</v>
      </c>
      <c r="AI57" s="16">
        <f t="shared" ca="1" si="22"/>
        <v>2.0436435880511901E-3</v>
      </c>
      <c r="AJ57" s="16">
        <f t="shared" ca="1" si="23"/>
        <v>1.6689905182315234E-3</v>
      </c>
      <c r="AK57" s="16">
        <f t="shared" ca="1" si="24"/>
        <v>3.0558907211266967E-4</v>
      </c>
      <c r="AL57" s="16">
        <f t="shared" ca="1" si="25"/>
        <v>1.2898745421369893E-3</v>
      </c>
      <c r="AM57" s="16">
        <f t="shared" ca="1" si="26"/>
        <v>1.2708078984562294E-2</v>
      </c>
    </row>
    <row r="58" spans="2:39" ht="16.5" x14ac:dyDescent="0.3">
      <c r="B58" s="44">
        <f t="shared" si="40"/>
        <v>32</v>
      </c>
      <c r="C58" s="44">
        <f t="shared" si="40"/>
        <v>32</v>
      </c>
      <c r="D58" s="44">
        <f t="shared" si="5"/>
        <v>0.1</v>
      </c>
      <c r="E58" s="14">
        <f t="shared" ca="1" si="6"/>
        <v>1.3608163330510893E-4</v>
      </c>
      <c r="F58" s="14">
        <f t="shared" ca="1" si="7"/>
        <v>1.2102571121638569E-4</v>
      </c>
      <c r="G58" s="14">
        <f t="shared" ca="1" si="8"/>
        <v>3.8622761519959542E-5</v>
      </c>
      <c r="H58" s="14">
        <f t="shared" ca="1" si="9"/>
        <v>2.4099998903389546E-4</v>
      </c>
      <c r="I58" s="14">
        <f t="shared" ca="1" si="10"/>
        <v>1.6785159919755846E-3</v>
      </c>
      <c r="J58" s="14">
        <f t="shared" ca="1" si="11"/>
        <v>2.8745490251946512E-3</v>
      </c>
      <c r="K58" s="14">
        <f t="shared" ca="1" si="12"/>
        <v>6.9741396366538129E-3</v>
      </c>
      <c r="L58" s="14">
        <f t="shared" ca="1" si="28"/>
        <v>0.85173614731654179</v>
      </c>
      <c r="M58" s="14">
        <f t="shared" ca="1" si="13"/>
        <v>0.10519592262964596</v>
      </c>
      <c r="N58" s="14">
        <f t="shared" ca="1" si="14"/>
        <v>2.6277363429739239E-3</v>
      </c>
      <c r="O58" s="14">
        <f t="shared" ca="1" si="15"/>
        <v>2.3228935052982008E-3</v>
      </c>
      <c r="P58" s="14">
        <f t="shared" ca="1" si="16"/>
        <v>2.605336545663996E-2</v>
      </c>
      <c r="R58" s="44">
        <f t="shared" ref="R58:R89" ca="1" si="41">SUM(E58:P58)</f>
        <v>0.99999999999999933</v>
      </c>
      <c r="S58" s="16">
        <f t="shared" ca="1" si="17"/>
        <v>1.3940270556592009</v>
      </c>
      <c r="T58" s="16">
        <f t="shared" ca="1" si="29"/>
        <v>0.3983773675866682</v>
      </c>
      <c r="U58" s="16">
        <f t="shared" ca="1" si="30"/>
        <v>0.12716350351656264</v>
      </c>
      <c r="V58" s="16">
        <f t="shared" ca="1" si="31"/>
        <v>0.61688275320921138</v>
      </c>
      <c r="W58" s="16">
        <f t="shared" ca="1" si="32"/>
        <v>3.8562412117844489</v>
      </c>
      <c r="X58" s="16">
        <f t="shared" ca="1" si="33"/>
        <v>6.5170754677144709</v>
      </c>
      <c r="Y58" s="16">
        <f t="shared" ca="1" si="34"/>
        <v>17.651411599998802</v>
      </c>
      <c r="Z58" s="16">
        <f t="shared" ca="1" si="18"/>
        <v>0</v>
      </c>
      <c r="AA58" s="16">
        <f t="shared" ca="1" si="35"/>
        <v>45.007572928790538</v>
      </c>
      <c r="AB58" s="16">
        <f t="shared" ca="1" si="36"/>
        <v>4.2017428882278747</v>
      </c>
      <c r="AC58" s="16">
        <f t="shared" ca="1" si="37"/>
        <v>0.51254433657591369</v>
      </c>
      <c r="AD58" s="16">
        <f t="shared" ca="1" si="38"/>
        <v>0</v>
      </c>
      <c r="AF58" s="16">
        <f t="shared" ca="1" si="19"/>
        <v>0.88274014262145395</v>
      </c>
      <c r="AG58" s="16">
        <f t="shared" ca="1" si="20"/>
        <v>1.0896396132259987E-3</v>
      </c>
      <c r="AH58" s="16">
        <f t="shared" ca="1" si="21"/>
        <v>1.0896396132259987E-3</v>
      </c>
      <c r="AI58" s="16">
        <f t="shared" ca="1" si="22"/>
        <v>2.0430742747987478E-3</v>
      </c>
      <c r="AJ58" s="16">
        <f t="shared" ref="AJ58:AJ89" ca="1" si="42">(AH58*(i_Adv_Fals/i_Adv_Alar)*i_Int_Kend_false)*AJ$25</f>
        <v>1.6685255749186159E-3</v>
      </c>
      <c r="AK58" s="16">
        <f t="shared" ref="AK58:AK89" ca="1" si="43">(AH58*(i_Adv_Lead/i_Adv_Alar)*i_Int_Kend_leadsoff)*AK$25</f>
        <v>3.0550394185337567E-4</v>
      </c>
      <c r="AL58" s="16">
        <f t="shared" ca="1" si="25"/>
        <v>1.250174575503703E-3</v>
      </c>
      <c r="AM58" s="16">
        <f t="shared" ca="1" si="26"/>
        <v>1.1424021829276119E-2</v>
      </c>
    </row>
    <row r="59" spans="2:39" ht="16.5" x14ac:dyDescent="0.3">
      <c r="B59" s="44">
        <f t="shared" si="40"/>
        <v>33</v>
      </c>
      <c r="C59" s="44">
        <f t="shared" si="40"/>
        <v>33</v>
      </c>
      <c r="D59" s="44">
        <f t="shared" si="5"/>
        <v>0.1</v>
      </c>
      <c r="E59" s="14">
        <f t="shared" ref="E59:E90" ca="1" si="44">SUMPRODUCT($E58:$P58,$H$9:$S$9)</f>
        <v>1.3605072670019191E-4</v>
      </c>
      <c r="F59" s="14">
        <f t="shared" ref="F59:F90" ca="1" si="45">SUMPRODUCT($E58:$P58,$H$10:$S$10)</f>
        <v>1.2099710472675528E-4</v>
      </c>
      <c r="G59" s="14">
        <f t="shared" ref="G59:G90" ca="1" si="46">SUMPRODUCT($E58:$P58,$H$11:$S$11)</f>
        <v>3.8602270399840831E-5</v>
      </c>
      <c r="H59" s="14">
        <f t="shared" ref="H59:H90" ca="1" si="47">SUMPRODUCT($E58:$P58,$H$12:$S$12)</f>
        <v>2.3659582584710786E-4</v>
      </c>
      <c r="I59" s="14">
        <f t="shared" ref="I59:I90" ca="1" si="48">SUMPRODUCT($E58:$P58,$H$13:$S$13)</f>
        <v>1.585343358148452E-3</v>
      </c>
      <c r="J59" s="14">
        <f t="shared" ref="J59:J90" ca="1" si="49">SUMPRODUCT($E58:$P58,$H$14:$S$14)</f>
        <v>2.7865922303446397E-3</v>
      </c>
      <c r="K59" s="14">
        <f t="shared" ref="K59:K90" ca="1" si="50">SUMPRODUCT($E58:$P58,$H$15:$S$15)</f>
        <v>6.1122299410138704E-3</v>
      </c>
      <c r="L59" s="14">
        <f t="shared" ref="L59:L90" ca="1" si="51">SUMPRODUCT($E58:$P58,$H$16:$S$16)</f>
        <v>0.85618499870344955</v>
      </c>
      <c r="M59" s="14">
        <f t="shared" ref="M59:M90" ca="1" si="52">SUMPRODUCT($E58:$P58,$H$17:$S$17)</f>
        <v>0.1015827444716752</v>
      </c>
      <c r="N59" s="14">
        <f t="shared" ref="N59:N90" ca="1" si="53">SUMPRODUCT($E58:$P58,$H$18:$S$18)</f>
        <v>2.6963824213772376E-3</v>
      </c>
      <c r="O59" s="14">
        <f t="shared" ref="O59:O90" ca="1" si="54">SUMPRODUCT($E58:$P58,$H$19:$S$19)</f>
        <v>2.3665887589012658E-3</v>
      </c>
      <c r="P59" s="14">
        <f t="shared" ref="P59:P90" ca="1" si="55">SUMPRODUCT($E58:$P58,$H$20:$S$20)</f>
        <v>2.6152874187415069E-2</v>
      </c>
      <c r="R59" s="44">
        <f t="shared" ca="1" si="41"/>
        <v>0.99999999999999933</v>
      </c>
      <c r="S59" s="16">
        <f t="shared" ca="1" si="17"/>
        <v>1.3937104468531007</v>
      </c>
      <c r="T59" s="16">
        <f t="shared" ca="1" si="29"/>
        <v>0.39828121671459077</v>
      </c>
      <c r="U59" s="16">
        <f t="shared" ca="1" si="30"/>
        <v>0.12708421540334069</v>
      </c>
      <c r="V59" s="16">
        <f t="shared" ca="1" si="31"/>
        <v>0.6054768702735408</v>
      </c>
      <c r="W59" s="16">
        <f t="shared" ca="1" si="32"/>
        <v>3.6427779326545378</v>
      </c>
      <c r="X59" s="16">
        <f t="shared" ca="1" si="33"/>
        <v>6.3183728914467538</v>
      </c>
      <c r="Y59" s="16">
        <f t="shared" ca="1" si="34"/>
        <v>15.424249502718016</v>
      </c>
      <c r="Z59" s="16">
        <f t="shared" ref="Z59:Z90" ca="1" si="56">(L59-OFFSET(L59,-IF(C59-C58&gt;i_Cos_Days,1,MIN(B59,i_Cos_Days)),0))*MIN(i_Cos_Days,($C59-$C58))</f>
        <v>0</v>
      </c>
      <c r="AA59" s="16">
        <f t="shared" ca="1" si="35"/>
        <v>43.467977504704223</v>
      </c>
      <c r="AB59" s="16">
        <f t="shared" ca="1" si="36"/>
        <v>4.2061400693736433</v>
      </c>
      <c r="AC59" s="16">
        <f t="shared" ca="1" si="37"/>
        <v>0.51308072120322645</v>
      </c>
      <c r="AD59" s="16">
        <f t="shared" ca="1" si="38"/>
        <v>0</v>
      </c>
      <c r="AF59" s="16">
        <f t="shared" ca="1" si="19"/>
        <v>0.88740084407114317</v>
      </c>
      <c r="AG59" s="16">
        <f t="shared" ref="AG59:AG90" ca="1" si="57">MIN(1,SUM(OFFSET(E59,0,0,-i_Eve_ECG,1)))</f>
        <v>1.0893500115098749E-3</v>
      </c>
      <c r="AH59" s="16">
        <f t="shared" ca="1" si="21"/>
        <v>1.0893500115098749E-3</v>
      </c>
      <c r="AI59" s="16">
        <f t="shared" ca="1" si="22"/>
        <v>2.0425312715810153E-3</v>
      </c>
      <c r="AJ59" s="16">
        <f t="shared" ca="1" si="42"/>
        <v>1.668082118326154E-3</v>
      </c>
      <c r="AK59" s="16">
        <f t="shared" ca="1" si="43"/>
        <v>3.0542274577279136E-4</v>
      </c>
      <c r="AL59" s="16">
        <f t="shared" ref="AL59:AL90" ca="1" si="58">((SUM(F58:J58)-((I58+J58)*(1-i_Bac_ICU)))+(SUM(F59:J59)-((I59+J59)*(1-i_Bac_ICU))))/2*(C59-C58)</f>
        <v>1.2119607605745274E-3</v>
      </c>
      <c r="AM59" s="16">
        <f t="shared" ref="AM59:AM90" ca="1" si="59">(((I58+J58)*(1-i_Bac_ICU))+((I59+J59)*(1-i_Bac_ICU))+K58+E58+E59+K59)/2*(C59-C58)</f>
        <v>1.0328212342465601E-2</v>
      </c>
    </row>
    <row r="60" spans="2:39" ht="16.5" x14ac:dyDescent="0.3">
      <c r="B60" s="44">
        <f t="shared" ref="B60:C75" si="60">B59+1</f>
        <v>34</v>
      </c>
      <c r="C60" s="44">
        <f t="shared" si="60"/>
        <v>34</v>
      </c>
      <c r="D60" s="44">
        <f t="shared" si="5"/>
        <v>0.1</v>
      </c>
      <c r="E60" s="14">
        <f t="shared" ca="1" si="44"/>
        <v>1.3602098230738457E-4</v>
      </c>
      <c r="F60" s="14">
        <f t="shared" ca="1" si="45"/>
        <v>1.2096961737652252E-4</v>
      </c>
      <c r="G60" s="14">
        <f t="shared" ca="1" si="46"/>
        <v>3.858632605649137E-5</v>
      </c>
      <c r="H60" s="14">
        <f t="shared" ca="1" si="47"/>
        <v>2.3237617839040901E-4</v>
      </c>
      <c r="I60" s="14">
        <f t="shared" ca="1" si="48"/>
        <v>1.4969391773498977E-3</v>
      </c>
      <c r="J60" s="14">
        <f t="shared" ca="1" si="49"/>
        <v>2.7008181223652358E-3</v>
      </c>
      <c r="K60" s="14">
        <f t="shared" ca="1" si="50"/>
        <v>5.3883239654919039E-3</v>
      </c>
      <c r="L60" s="14">
        <f t="shared" ca="1" si="51"/>
        <v>0.86039555174540683</v>
      </c>
      <c r="M60" s="14">
        <f t="shared" ca="1" si="52"/>
        <v>9.8070385914026614E-2</v>
      </c>
      <c r="N60" s="14">
        <f t="shared" ca="1" si="53"/>
        <v>2.7623188010236733E-3</v>
      </c>
      <c r="O60" s="14">
        <f t="shared" ca="1" si="54"/>
        <v>2.4075423549804148E-3</v>
      </c>
      <c r="P60" s="14">
        <f t="shared" ca="1" si="55"/>
        <v>2.6250166815223821E-2</v>
      </c>
      <c r="R60" s="44">
        <f t="shared" ca="1" si="41"/>
        <v>0.99999999999999922</v>
      </c>
      <c r="S60" s="16">
        <f t="shared" ca="1" si="17"/>
        <v>1.3934057438059628</v>
      </c>
      <c r="T60" s="16">
        <f t="shared" ca="1" si="29"/>
        <v>0.39818890672842761</v>
      </c>
      <c r="U60" s="16">
        <f t="shared" ca="1" si="30"/>
        <v>0.12702425592941624</v>
      </c>
      <c r="V60" s="16">
        <f t="shared" ca="1" si="31"/>
        <v>0.59454394809215438</v>
      </c>
      <c r="W60" s="16">
        <f t="shared" ca="1" si="32"/>
        <v>3.4401209114887763</v>
      </c>
      <c r="X60" s="16">
        <f t="shared" ca="1" si="33"/>
        <v>6.1244726552055404</v>
      </c>
      <c r="Y60" s="16">
        <f t="shared" ca="1" si="34"/>
        <v>13.555127861903031</v>
      </c>
      <c r="Z60" s="16">
        <f t="shared" ca="1" si="56"/>
        <v>0</v>
      </c>
      <c r="AA60" s="16">
        <f t="shared" ca="1" si="35"/>
        <v>41.970082804030305</v>
      </c>
      <c r="AB60" s="16">
        <f t="shared" ca="1" si="36"/>
        <v>4.2098132231569938</v>
      </c>
      <c r="AC60" s="16">
        <f t="shared" ca="1" si="37"/>
        <v>0.51352878626077736</v>
      </c>
      <c r="AD60" s="16">
        <f t="shared" ca="1" si="38"/>
        <v>0</v>
      </c>
      <c r="AF60" s="16">
        <f t="shared" ca="1" si="19"/>
        <v>0.89181557971663472</v>
      </c>
      <c r="AG60" s="16">
        <f t="shared" ca="1" si="57"/>
        <v>1.0890732070413457E-3</v>
      </c>
      <c r="AH60" s="16">
        <f t="shared" ca="1" si="21"/>
        <v>1.0890732070413457E-3</v>
      </c>
      <c r="AI60" s="16">
        <f t="shared" ca="1" si="22"/>
        <v>2.0420122632025233E-3</v>
      </c>
      <c r="AJ60" s="16">
        <f t="shared" ca="1" si="42"/>
        <v>1.6676582576942655E-3</v>
      </c>
      <c r="AK60" s="16">
        <f t="shared" ca="1" si="43"/>
        <v>3.0534513767628698E-4</v>
      </c>
      <c r="AL60" s="16">
        <f t="shared" ca="1" si="58"/>
        <v>1.1752152919590989E-3</v>
      </c>
      <c r="AM60" s="16">
        <f t="shared" ca="1" si="59"/>
        <v>9.3900076213002531E-3</v>
      </c>
    </row>
    <row r="61" spans="2:39" ht="16.5" x14ac:dyDescent="0.3">
      <c r="B61" s="44">
        <f t="shared" si="60"/>
        <v>35</v>
      </c>
      <c r="C61" s="44">
        <f t="shared" si="60"/>
        <v>35</v>
      </c>
      <c r="D61" s="44">
        <f t="shared" si="5"/>
        <v>0.1</v>
      </c>
      <c r="E61" s="14">
        <f t="shared" ca="1" si="44"/>
        <v>1.3599231444303905E-4</v>
      </c>
      <c r="F61" s="14">
        <f t="shared" ca="1" si="45"/>
        <v>1.209431639212158E-4</v>
      </c>
      <c r="G61" s="14">
        <f t="shared" ca="1" si="46"/>
        <v>3.8573293922608723E-5</v>
      </c>
      <c r="H61" s="14">
        <f t="shared" ca="1" si="47"/>
        <v>2.2833656145370679E-4</v>
      </c>
      <c r="I61" s="14">
        <f t="shared" ca="1" si="48"/>
        <v>1.4131422662164977E-3</v>
      </c>
      <c r="J61" s="14">
        <f t="shared" ca="1" si="49"/>
        <v>2.6172651808465419E-3</v>
      </c>
      <c r="K61" s="14">
        <f t="shared" ca="1" si="50"/>
        <v>4.7793595819091228E-3</v>
      </c>
      <c r="L61" s="14">
        <f t="shared" ca="1" si="51"/>
        <v>0.86438847500796989</v>
      </c>
      <c r="M61" s="14">
        <f t="shared" ca="1" si="52"/>
        <v>9.4660821476676385E-2</v>
      </c>
      <c r="N61" s="14">
        <f t="shared" ca="1" si="53"/>
        <v>2.8256329700706438E-3</v>
      </c>
      <c r="O61" s="14">
        <f t="shared" ca="1" si="54"/>
        <v>2.4459086627193621E-3</v>
      </c>
      <c r="P61" s="14">
        <f t="shared" ca="1" si="55"/>
        <v>2.6345549519850128E-2</v>
      </c>
      <c r="R61" s="44">
        <f t="shared" ca="1" si="41"/>
        <v>0.99999999999999911</v>
      </c>
      <c r="S61" s="16">
        <f t="shared" ca="1" si="17"/>
        <v>1.3931120687702141</v>
      </c>
      <c r="T61" s="16">
        <f t="shared" ca="1" si="29"/>
        <v>0.39810013985090359</v>
      </c>
      <c r="U61" s="16">
        <f t="shared" ca="1" si="30"/>
        <v>0.12697657122430639</v>
      </c>
      <c r="V61" s="16">
        <f t="shared" ca="1" si="31"/>
        <v>0.58407318306477629</v>
      </c>
      <c r="W61" s="16">
        <f t="shared" ca="1" si="32"/>
        <v>3.2479280899307947</v>
      </c>
      <c r="X61" s="16">
        <f t="shared" ca="1" si="33"/>
        <v>5.9354875387697694</v>
      </c>
      <c r="Y61" s="16">
        <f t="shared" ca="1" si="34"/>
        <v>11.984140213144222</v>
      </c>
      <c r="Z61" s="16">
        <f t="shared" ca="1" si="56"/>
        <v>0</v>
      </c>
      <c r="AA61" s="16">
        <f t="shared" ca="1" si="35"/>
        <v>40.514990761636632</v>
      </c>
      <c r="AB61" s="16">
        <f t="shared" ca="1" si="36"/>
        <v>4.2128820969975695</v>
      </c>
      <c r="AC61" s="16">
        <f t="shared" ca="1" si="37"/>
        <v>0.51390313898737094</v>
      </c>
      <c r="AD61" s="16">
        <f t="shared" ca="1" si="38"/>
        <v>0</v>
      </c>
      <c r="AF61" s="16">
        <f t="shared" ca="1" si="19"/>
        <v>0.89600556616061</v>
      </c>
      <c r="AG61" s="16">
        <f t="shared" ca="1" si="57"/>
        <v>1.0888081140946726E-3</v>
      </c>
      <c r="AH61" s="16">
        <f t="shared" ca="1" si="21"/>
        <v>1.0888081140946726E-3</v>
      </c>
      <c r="AI61" s="16">
        <f t="shared" ca="1" si="22"/>
        <v>2.0415152139275114E-3</v>
      </c>
      <c r="AJ61" s="16">
        <f t="shared" ca="1" si="42"/>
        <v>1.6672523304905498E-3</v>
      </c>
      <c r="AK61" s="16">
        <f t="shared" ca="1" si="43"/>
        <v>3.0527081315725964E-4</v>
      </c>
      <c r="AL61" s="16">
        <f t="shared" ca="1" si="58"/>
        <v>1.1399129496233672E-3</v>
      </c>
      <c r="AM61" s="16">
        <f t="shared" ca="1" si="59"/>
        <v>8.5839104164019218E-3</v>
      </c>
    </row>
    <row r="62" spans="2:39" ht="16.5" x14ac:dyDescent="0.3">
      <c r="B62" s="44">
        <f t="shared" si="60"/>
        <v>36</v>
      </c>
      <c r="C62" s="44">
        <f t="shared" si="60"/>
        <v>36</v>
      </c>
      <c r="D62" s="44">
        <f t="shared" si="5"/>
        <v>0.1</v>
      </c>
      <c r="E62" s="14">
        <f t="shared" ca="1" si="44"/>
        <v>1.3596464616188187E-4</v>
      </c>
      <c r="F62" s="14">
        <f t="shared" ca="1" si="45"/>
        <v>1.2091766812090755E-4</v>
      </c>
      <c r="G62" s="14">
        <f t="shared" ca="1" si="46"/>
        <v>3.8562163543748843E-5</v>
      </c>
      <c r="H62" s="14">
        <f t="shared" ca="1" si="47"/>
        <v>2.244720523981564E-4</v>
      </c>
      <c r="I62" s="14">
        <f t="shared" ca="1" si="48"/>
        <v>1.3337806477743018E-3</v>
      </c>
      <c r="J62" s="14">
        <f t="shared" ca="1" si="49"/>
        <v>2.535952315638921E-3</v>
      </c>
      <c r="K62" s="14">
        <f t="shared" ca="1" si="50"/>
        <v>4.266177972586784E-3</v>
      </c>
      <c r="L62" s="14">
        <f t="shared" ca="1" si="51"/>
        <v>0.86818166354534487</v>
      </c>
      <c r="M62" s="14">
        <f t="shared" ca="1" si="52"/>
        <v>9.1354979986122728E-2</v>
      </c>
      <c r="N62" s="14">
        <f t="shared" ca="1" si="53"/>
        <v>2.8864129844874816E-3</v>
      </c>
      <c r="O62" s="14">
        <f t="shared" ca="1" si="54"/>
        <v>2.4818364534043777E-3</v>
      </c>
      <c r="P62" s="14">
        <f t="shared" ca="1" si="55"/>
        <v>2.6439279564415091E-2</v>
      </c>
      <c r="R62" s="44">
        <f t="shared" ca="1" si="41"/>
        <v>0.99999999999999922</v>
      </c>
      <c r="S62" s="16">
        <f t="shared" ca="1" si="17"/>
        <v>1.3928286335146258</v>
      </c>
      <c r="T62" s="16">
        <f t="shared" ca="1" si="29"/>
        <v>0.39801465033763966</v>
      </c>
      <c r="U62" s="16">
        <f t="shared" ca="1" si="30"/>
        <v>0.12693680854764933</v>
      </c>
      <c r="V62" s="16">
        <f t="shared" ca="1" si="31"/>
        <v>0.57405264829683811</v>
      </c>
      <c r="W62" s="16">
        <f t="shared" ca="1" si="32"/>
        <v>3.0658276293089983</v>
      </c>
      <c r="X62" s="16">
        <f t="shared" ca="1" si="33"/>
        <v>5.7514815942216115</v>
      </c>
      <c r="Y62" s="16">
        <f t="shared" ca="1" si="34"/>
        <v>10.661522838606601</v>
      </c>
      <c r="Z62" s="16">
        <f t="shared" ca="1" si="56"/>
        <v>0</v>
      </c>
      <c r="AA62" s="16">
        <f t="shared" ca="1" si="35"/>
        <v>39.103311704502318</v>
      </c>
      <c r="AB62" s="16">
        <f t="shared" ca="1" si="36"/>
        <v>4.2154462172800944</v>
      </c>
      <c r="AC62" s="16">
        <f t="shared" ca="1" si="37"/>
        <v>0.51421591998422633</v>
      </c>
      <c r="AD62" s="16">
        <f t="shared" ca="1" si="38"/>
        <v>0</v>
      </c>
      <c r="AF62" s="16">
        <f t="shared" ca="1" si="19"/>
        <v>0.89998919254765175</v>
      </c>
      <c r="AG62" s="16">
        <f t="shared" ca="1" si="57"/>
        <v>1.0885537740605402E-3</v>
      </c>
      <c r="AH62" s="16">
        <f t="shared" ca="1" si="21"/>
        <v>1.0885537740605402E-3</v>
      </c>
      <c r="AI62" s="16">
        <f t="shared" ca="1" si="22"/>
        <v>2.0410383263635128E-3</v>
      </c>
      <c r="AJ62" s="16">
        <f t="shared" ca="1" si="42"/>
        <v>1.6668628688313693E-3</v>
      </c>
      <c r="AK62" s="16">
        <f t="shared" ca="1" si="43"/>
        <v>3.0519950344893454E-4</v>
      </c>
      <c r="AL62" s="16">
        <f t="shared" ca="1" si="58"/>
        <v>1.1060224890962391E-3</v>
      </c>
      <c r="AM62" s="16">
        <f t="shared" ca="1" si="59"/>
        <v>7.8886974253724769E-3</v>
      </c>
    </row>
    <row r="63" spans="2:39" ht="16.5" x14ac:dyDescent="0.3">
      <c r="B63" s="44">
        <f t="shared" si="60"/>
        <v>37</v>
      </c>
      <c r="C63" s="44">
        <f t="shared" si="60"/>
        <v>37</v>
      </c>
      <c r="D63" s="44">
        <f t="shared" si="5"/>
        <v>0.1</v>
      </c>
      <c r="E63" s="14">
        <f t="shared" ca="1" si="44"/>
        <v>1.3593790809280501E-4</v>
      </c>
      <c r="F63" s="14">
        <f t="shared" ca="1" si="45"/>
        <v>1.2089306151280018E-4</v>
      </c>
      <c r="G63" s="14">
        <f t="shared" ca="1" si="46"/>
        <v>3.8552307644661766E-5</v>
      </c>
      <c r="H63" s="14">
        <f t="shared" ca="1" si="47"/>
        <v>2.2077735326992283E-4</v>
      </c>
      <c r="I63" s="14">
        <f t="shared" ca="1" si="48"/>
        <v>1.2586756386704736E-3</v>
      </c>
      <c r="J63" s="14">
        <f t="shared" ca="1" si="49"/>
        <v>2.456882604509793E-3</v>
      </c>
      <c r="K63" s="14">
        <f t="shared" ca="1" si="50"/>
        <v>3.8328605635673712E-3</v>
      </c>
      <c r="L63" s="14">
        <f t="shared" ca="1" si="51"/>
        <v>0.87179068315597075</v>
      </c>
      <c r="M63" s="14">
        <f t="shared" ca="1" si="52"/>
        <v>8.8152948728401917E-2</v>
      </c>
      <c r="N63" s="14">
        <f t="shared" ca="1" si="53"/>
        <v>2.944746732608478E-3</v>
      </c>
      <c r="O63" s="14">
        <f t="shared" ca="1" si="54"/>
        <v>2.515468480987292E-3</v>
      </c>
      <c r="P63" s="14">
        <f t="shared" ca="1" si="55"/>
        <v>2.6531573464762905E-2</v>
      </c>
      <c r="R63" s="44">
        <f t="shared" ca="1" si="41"/>
        <v>0.99999999999999911</v>
      </c>
      <c r="S63" s="16">
        <f t="shared" ca="1" si="17"/>
        <v>1.3925547273980992</v>
      </c>
      <c r="T63" s="16">
        <f t="shared" ca="1" si="29"/>
        <v>0.39793220006076663</v>
      </c>
      <c r="U63" s="16">
        <f t="shared" ca="1" si="30"/>
        <v>0.1269022727941401</v>
      </c>
      <c r="V63" s="16">
        <f t="shared" ca="1" si="31"/>
        <v>0.56446938652976408</v>
      </c>
      <c r="W63" s="16">
        <f t="shared" ca="1" si="32"/>
        <v>2.8934281592966524</v>
      </c>
      <c r="X63" s="16">
        <f t="shared" ca="1" si="33"/>
        <v>5.5724793618369386</v>
      </c>
      <c r="Y63" s="16">
        <f t="shared" ca="1" si="34"/>
        <v>9.5459317706380951</v>
      </c>
      <c r="Z63" s="16">
        <f t="shared" ca="1" si="56"/>
        <v>0</v>
      </c>
      <c r="AA63" s="16">
        <f t="shared" ca="1" si="35"/>
        <v>37.735259234723799</v>
      </c>
      <c r="AB63" s="16">
        <f t="shared" ca="1" si="36"/>
        <v>4.217588323293378</v>
      </c>
      <c r="AC63" s="16">
        <f t="shared" ca="1" si="37"/>
        <v>0.5144772220997188</v>
      </c>
      <c r="AD63" s="16">
        <f t="shared" ca="1" si="38"/>
        <v>0</v>
      </c>
      <c r="AF63" s="16">
        <f t="shared" ca="1" si="19"/>
        <v>0.90378247183432936</v>
      </c>
      <c r="AG63" s="16">
        <f t="shared" ca="1" si="57"/>
        <v>1.0883093370415747E-3</v>
      </c>
      <c r="AH63" s="16">
        <f t="shared" ca="1" si="21"/>
        <v>1.0883093370415747E-3</v>
      </c>
      <c r="AI63" s="16">
        <f t="shared" ca="1" si="22"/>
        <v>2.0405800069529527E-3</v>
      </c>
      <c r="AJ63" s="16">
        <f t="shared" ca="1" si="42"/>
        <v>1.6664885712997359E-3</v>
      </c>
      <c r="AK63" s="16">
        <f t="shared" ca="1" si="43"/>
        <v>3.05130970264272E-4</v>
      </c>
      <c r="AL63" s="16">
        <f t="shared" ca="1" si="58"/>
        <v>1.0735079494225215E-3</v>
      </c>
      <c r="AM63" s="16">
        <f t="shared" ca="1" si="59"/>
        <v>7.2866955023237426E-3</v>
      </c>
    </row>
    <row r="64" spans="2:39" ht="16.5" x14ac:dyDescent="0.3">
      <c r="B64" s="44">
        <f t="shared" si="60"/>
        <v>38</v>
      </c>
      <c r="C64" s="44">
        <f t="shared" si="60"/>
        <v>38</v>
      </c>
      <c r="D64" s="44">
        <f t="shared" si="5"/>
        <v>0.1</v>
      </c>
      <c r="E64" s="14">
        <f t="shared" ca="1" si="44"/>
        <v>1.359120374540284E-4</v>
      </c>
      <c r="F64" s="14">
        <f t="shared" ca="1" si="45"/>
        <v>1.2086928237491682E-4</v>
      </c>
      <c r="G64" s="14">
        <f t="shared" ca="1" si="46"/>
        <v>3.8543334448780668E-5</v>
      </c>
      <c r="H64" s="14">
        <f t="shared" ca="1" si="47"/>
        <v>2.1724687313895408E-4</v>
      </c>
      <c r="I64" s="14">
        <f t="shared" ca="1" si="48"/>
        <v>1.1876451081235125E-3</v>
      </c>
      <c r="J64" s="14">
        <f t="shared" ca="1" si="49"/>
        <v>2.3800463822694277E-3</v>
      </c>
      <c r="K64" s="14">
        <f t="shared" ca="1" si="50"/>
        <v>3.4661786538826289E-3</v>
      </c>
      <c r="L64" s="14">
        <f t="shared" ca="1" si="51"/>
        <v>0.87522914007305874</v>
      </c>
      <c r="M64" s="14">
        <f t="shared" ca="1" si="52"/>
        <v>8.5054141902363573E-2</v>
      </c>
      <c r="N64" s="14">
        <f t="shared" ca="1" si="53"/>
        <v>3.0007213512221855E-3</v>
      </c>
      <c r="O64" s="14">
        <f t="shared" ca="1" si="54"/>
        <v>2.5469412252473052E-3</v>
      </c>
      <c r="P64" s="14">
        <f t="shared" ca="1" si="55"/>
        <v>2.6622613776415074E-2</v>
      </c>
      <c r="R64" s="44">
        <f t="shared" ca="1" si="41"/>
        <v>0.99999999999999922</v>
      </c>
      <c r="S64" s="16">
        <f t="shared" ca="1" si="17"/>
        <v>1.3922897072809395</v>
      </c>
      <c r="T64" s="16">
        <f t="shared" ca="1" si="29"/>
        <v>0.39785257478366315</v>
      </c>
      <c r="U64" s="16">
        <f t="shared" ca="1" si="30"/>
        <v>0.12687128697644215</v>
      </c>
      <c r="V64" s="16">
        <f t="shared" ca="1" si="31"/>
        <v>0.55530959327211782</v>
      </c>
      <c r="W64" s="16">
        <f t="shared" ca="1" si="32"/>
        <v>2.7303269769505971</v>
      </c>
      <c r="X64" s="16">
        <f t="shared" ca="1" si="33"/>
        <v>5.3984734894249682</v>
      </c>
      <c r="Y64" s="16">
        <f t="shared" ca="1" si="34"/>
        <v>8.6030125736474439</v>
      </c>
      <c r="Z64" s="16">
        <f t="shared" ca="1" si="56"/>
        <v>0</v>
      </c>
      <c r="AA64" s="16">
        <f t="shared" ca="1" si="35"/>
        <v>36.410728556946374</v>
      </c>
      <c r="AB64" s="16">
        <f t="shared" ca="1" si="36"/>
        <v>4.219377217273089</v>
      </c>
      <c r="AC64" s="16">
        <f t="shared" ca="1" si="37"/>
        <v>0.51469543808827989</v>
      </c>
      <c r="AD64" s="16">
        <f t="shared" ca="1" si="38"/>
        <v>0</v>
      </c>
      <c r="AF64" s="16">
        <f t="shared" ca="1" si="19"/>
        <v>0.90739941642594335</v>
      </c>
      <c r="AG64" s="16">
        <f t="shared" ca="1" si="57"/>
        <v>1.0880740463874799E-3</v>
      </c>
      <c r="AH64" s="16">
        <f t="shared" ca="1" si="21"/>
        <v>1.0880740463874799E-3</v>
      </c>
      <c r="AI64" s="16">
        <f t="shared" ca="1" si="22"/>
        <v>2.0401388369765249E-3</v>
      </c>
      <c r="AJ64" s="16">
        <f t="shared" ca="1" si="42"/>
        <v>1.6661282792645241E-3</v>
      </c>
      <c r="AK64" s="16">
        <f t="shared" ca="1" si="43"/>
        <v>3.0506500146005938E-4</v>
      </c>
      <c r="AL64" s="16">
        <f t="shared" ca="1" si="58"/>
        <v>1.0423298218558469E-3</v>
      </c>
      <c r="AM64" s="16">
        <f t="shared" ca="1" si="59"/>
        <v>6.7631807326241911E-3</v>
      </c>
    </row>
    <row r="65" spans="2:39" ht="16.5" x14ac:dyDescent="0.3">
      <c r="B65" s="44">
        <f t="shared" si="60"/>
        <v>39</v>
      </c>
      <c r="C65" s="44">
        <f t="shared" si="60"/>
        <v>39</v>
      </c>
      <c r="D65" s="44">
        <f t="shared" si="5"/>
        <v>0.1</v>
      </c>
      <c r="E65" s="14">
        <f t="shared" ca="1" si="44"/>
        <v>1.3588697721825114E-4</v>
      </c>
      <c r="F65" s="14">
        <f t="shared" ca="1" si="45"/>
        <v>1.208462748494698E-4</v>
      </c>
      <c r="G65" s="14">
        <f t="shared" ca="1" si="46"/>
        <v>3.8534997127521123E-5</v>
      </c>
      <c r="H65" s="14">
        <f t="shared" ca="1" si="47"/>
        <v>2.1387481381758645E-4</v>
      </c>
      <c r="I65" s="14">
        <f t="shared" ca="1" si="48"/>
        <v>1.1205060573763154E-3</v>
      </c>
      <c r="J65" s="14">
        <f t="shared" ca="1" si="49"/>
        <v>2.3054237920903391E-3</v>
      </c>
      <c r="K65" s="14">
        <f t="shared" ca="1" si="50"/>
        <v>3.1551366121447921E-3</v>
      </c>
      <c r="L65" s="14">
        <f t="shared" ca="1" si="51"/>
        <v>0.8785089887315668</v>
      </c>
      <c r="M65" s="14">
        <f t="shared" ca="1" si="52"/>
        <v>8.2057439479755162E-2</v>
      </c>
      <c r="N65" s="14">
        <f t="shared" ca="1" si="53"/>
        <v>3.0544227663226414E-3</v>
      </c>
      <c r="O65" s="14">
        <f t="shared" ca="1" si="54"/>
        <v>2.5763847638117189E-3</v>
      </c>
      <c r="P65" s="14">
        <f t="shared" ca="1" si="55"/>
        <v>2.6712554733918436E-2</v>
      </c>
      <c r="R65" s="44">
        <f t="shared" ca="1" si="41"/>
        <v>0.999999999999999</v>
      </c>
      <c r="S65" s="16">
        <f t="shared" ca="1" si="17"/>
        <v>1.3920329889726255</v>
      </c>
      <c r="T65" s="16">
        <f t="shared" ca="1" si="29"/>
        <v>0.39777558101295346</v>
      </c>
      <c r="U65" s="16">
        <f t="shared" ca="1" si="30"/>
        <v>0.12684280018356742</v>
      </c>
      <c r="V65" s="16">
        <f t="shared" ca="1" si="31"/>
        <v>0.54655882985602378</v>
      </c>
      <c r="W65" s="16">
        <f t="shared" ca="1" si="32"/>
        <v>2.5761165629254497</v>
      </c>
      <c r="X65" s="16">
        <f t="shared" ca="1" si="33"/>
        <v>5.2294310276023772</v>
      </c>
      <c r="Y65" s="16">
        <f t="shared" ca="1" si="34"/>
        <v>7.8042132383032206</v>
      </c>
      <c r="Z65" s="16">
        <f t="shared" ca="1" si="56"/>
        <v>0</v>
      </c>
      <c r="AA65" s="16">
        <f t="shared" ca="1" si="35"/>
        <v>35.129361080242091</v>
      </c>
      <c r="AB65" s="16">
        <f t="shared" ca="1" si="36"/>
        <v>4.2208701297821376</v>
      </c>
      <c r="AC65" s="16">
        <f t="shared" ca="1" si="37"/>
        <v>0.51487754914834993</v>
      </c>
      <c r="AD65" s="16">
        <f t="shared" ca="1" si="38"/>
        <v>0</v>
      </c>
      <c r="AF65" s="16">
        <f t="shared" ca="1" si="19"/>
        <v>0.91085235099561956</v>
      </c>
      <c r="AG65" s="16">
        <f t="shared" ca="1" si="57"/>
        <v>1.0878472256826909E-3</v>
      </c>
      <c r="AH65" s="16">
        <f t="shared" ca="1" si="21"/>
        <v>1.0878472256826909E-3</v>
      </c>
      <c r="AI65" s="16">
        <f t="shared" ca="1" si="22"/>
        <v>2.0397135481550455E-3</v>
      </c>
      <c r="AJ65" s="16">
        <f t="shared" ca="1" si="42"/>
        <v>1.6657809569551405E-3</v>
      </c>
      <c r="AK65" s="16">
        <f t="shared" ca="1" si="43"/>
        <v>3.0500140738861969E-4</v>
      </c>
      <c r="AL65" s="16">
        <f t="shared" ca="1" si="58"/>
        <v>1.0124460601446366E-3</v>
      </c>
      <c r="AM65" s="16">
        <f t="shared" ca="1" si="59"/>
        <v>6.3058795380136253E-3</v>
      </c>
    </row>
    <row r="66" spans="2:39" ht="16.5" x14ac:dyDescent="0.3">
      <c r="B66" s="44">
        <f t="shared" si="60"/>
        <v>40</v>
      </c>
      <c r="C66" s="44">
        <f t="shared" si="60"/>
        <v>40</v>
      </c>
      <c r="D66" s="44">
        <f t="shared" si="5"/>
        <v>0.1</v>
      </c>
      <c r="E66" s="14">
        <f t="shared" ca="1" si="44"/>
        <v>1.3586267540333208E-4</v>
      </c>
      <c r="F66" s="14">
        <f t="shared" ca="1" si="45"/>
        <v>1.2082398819974924E-4</v>
      </c>
      <c r="G66" s="14">
        <f t="shared" ca="1" si="46"/>
        <v>3.8527138253501331E-5</v>
      </c>
      <c r="H66" s="14">
        <f t="shared" ca="1" si="47"/>
        <v>2.1065525026034678E-4</v>
      </c>
      <c r="I66" s="14">
        <f t="shared" ca="1" si="48"/>
        <v>1.0570766426657248E-3</v>
      </c>
      <c r="J66" s="14">
        <f t="shared" ca="1" si="49"/>
        <v>2.2329868909029896E-3</v>
      </c>
      <c r="K66" s="14">
        <f t="shared" ca="1" si="50"/>
        <v>2.8905927460652391E-3</v>
      </c>
      <c r="L66" s="14">
        <f t="shared" ca="1" si="51"/>
        <v>0.88164078810873381</v>
      </c>
      <c r="M66" s="14">
        <f t="shared" ca="1" si="52"/>
        <v>7.9161301540310064E-2</v>
      </c>
      <c r="N66" s="14">
        <f t="shared" ca="1" si="53"/>
        <v>3.1059353362638347E-3</v>
      </c>
      <c r="O66" s="14">
        <f t="shared" ca="1" si="54"/>
        <v>2.6039227454389287E-3</v>
      </c>
      <c r="P66" s="14">
        <f t="shared" ca="1" si="55"/>
        <v>2.6801526937501458E-2</v>
      </c>
      <c r="R66" s="44">
        <f t="shared" ca="1" si="41"/>
        <v>0.999999999999999</v>
      </c>
      <c r="S66" s="16">
        <f t="shared" ca="1" si="17"/>
        <v>1.3917840399655039</v>
      </c>
      <c r="T66" s="16">
        <f t="shared" ca="1" si="29"/>
        <v>0.3977010433330016</v>
      </c>
      <c r="U66" s="16">
        <f t="shared" ca="1" si="30"/>
        <v>0.12681614715774889</v>
      </c>
      <c r="V66" s="16">
        <f t="shared" ca="1" si="31"/>
        <v>0.53820223403544065</v>
      </c>
      <c r="W66" s="16">
        <f t="shared" ca="1" si="32"/>
        <v>2.4303897182156367</v>
      </c>
      <c r="X66" s="16">
        <f t="shared" ca="1" si="33"/>
        <v>5.0652986271309217</v>
      </c>
      <c r="Y66" s="16">
        <f t="shared" ca="1" si="34"/>
        <v>7.1257989080542536</v>
      </c>
      <c r="Z66" s="16">
        <f t="shared" ca="1" si="56"/>
        <v>0</v>
      </c>
      <c r="AA66" s="16">
        <f t="shared" ca="1" si="35"/>
        <v>33.890597643533013</v>
      </c>
      <c r="AB66" s="16">
        <f t="shared" ca="1" si="36"/>
        <v>4.2221146828342375</v>
      </c>
      <c r="AC66" s="16">
        <f t="shared" ca="1" si="37"/>
        <v>0.51502936439154634</v>
      </c>
      <c r="AD66" s="16">
        <f t="shared" ca="1" si="38"/>
        <v>0</v>
      </c>
      <c r="AF66" s="16">
        <f t="shared" ca="1" si="19"/>
        <v>0.91415217312793806</v>
      </c>
      <c r="AG66" s="16">
        <f t="shared" ca="1" si="57"/>
        <v>1.087628267780914E-3</v>
      </c>
      <c r="AH66" s="16">
        <f t="shared" ca="1" si="21"/>
        <v>1.087628267780914E-3</v>
      </c>
      <c r="AI66" s="16">
        <f t="shared" ca="1" si="22"/>
        <v>2.0393030020892135E-3</v>
      </c>
      <c r="AJ66" s="16">
        <f t="shared" ca="1" si="42"/>
        <v>1.6654456746705109E-3</v>
      </c>
      <c r="AK66" s="16">
        <f t="shared" ca="1" si="43"/>
        <v>3.0494001782340857E-4</v>
      </c>
      <c r="AL66" s="16">
        <f t="shared" ca="1" si="58"/>
        <v>9.8381293372916097E-4</v>
      </c>
      <c r="AM66" s="16">
        <f t="shared" ca="1" si="59"/>
        <v>5.904554494458418E-3</v>
      </c>
    </row>
    <row r="67" spans="2:39" ht="16.5" x14ac:dyDescent="0.3">
      <c r="B67" s="44">
        <f t="shared" si="60"/>
        <v>41</v>
      </c>
      <c r="C67" s="44">
        <f t="shared" si="60"/>
        <v>41</v>
      </c>
      <c r="D67" s="44">
        <f t="shared" si="5"/>
        <v>0.1</v>
      </c>
      <c r="E67" s="14">
        <f t="shared" ca="1" si="44"/>
        <v>1.3583908446813402E-4</v>
      </c>
      <c r="F67" s="14">
        <f t="shared" ca="1" si="45"/>
        <v>1.2080237617875758E-4</v>
      </c>
      <c r="G67" s="14">
        <f t="shared" ca="1" si="46"/>
        <v>3.8519655704656914E-5</v>
      </c>
      <c r="H67" s="14">
        <f t="shared" ca="1" si="47"/>
        <v>2.0758220165505999E-4</v>
      </c>
      <c r="I67" s="14">
        <f t="shared" ca="1" si="48"/>
        <v>9.9717774335703166E-4</v>
      </c>
      <c r="J67" s="14">
        <f t="shared" ca="1" si="49"/>
        <v>2.1627013851088371E-3</v>
      </c>
      <c r="K67" s="14">
        <f t="shared" ca="1" si="50"/>
        <v>2.6649446429919798E-3</v>
      </c>
      <c r="L67" s="14">
        <f t="shared" ca="1" si="51"/>
        <v>0.8846339153533177</v>
      </c>
      <c r="M67" s="14">
        <f t="shared" ca="1" si="52"/>
        <v>7.6363862287471593E-2</v>
      </c>
      <c r="N67" s="14">
        <f t="shared" ca="1" si="53"/>
        <v>3.1553415788886123E-3</v>
      </c>
      <c r="O67" s="14">
        <f t="shared" ca="1" si="54"/>
        <v>2.6296724420396826E-3</v>
      </c>
      <c r="P67" s="14">
        <f t="shared" ca="1" si="55"/>
        <v>2.6889641248816681E-2</v>
      </c>
      <c r="R67" s="44">
        <f t="shared" ca="1" si="41"/>
        <v>0.99999999999999878</v>
      </c>
      <c r="S67" s="16">
        <f t="shared" ca="1" si="17"/>
        <v>1.3915423732457883</v>
      </c>
      <c r="T67" s="16">
        <f t="shared" ca="1" si="29"/>
        <v>0.39762880214402402</v>
      </c>
      <c r="U67" s="16">
        <f t="shared" ca="1" si="30"/>
        <v>0.12679090077533375</v>
      </c>
      <c r="V67" s="16">
        <f t="shared" ca="1" si="31"/>
        <v>0.5302247120402761</v>
      </c>
      <c r="W67" s="16">
        <f t="shared" ca="1" si="32"/>
        <v>2.2927435721695879</v>
      </c>
      <c r="X67" s="16">
        <f t="shared" ca="1" si="33"/>
        <v>4.9060068259606915</v>
      </c>
      <c r="Y67" s="16">
        <f t="shared" ca="1" si="34"/>
        <v>6.5480341436122913</v>
      </c>
      <c r="Z67" s="16">
        <f t="shared" ca="1" si="56"/>
        <v>0</v>
      </c>
      <c r="AA67" s="16">
        <f t="shared" ca="1" si="35"/>
        <v>32.693722314057119</v>
      </c>
      <c r="AB67" s="16">
        <f t="shared" ca="1" si="36"/>
        <v>4.2231505191774259</v>
      </c>
      <c r="AC67" s="16">
        <f t="shared" ca="1" si="37"/>
        <v>0.51515571958876838</v>
      </c>
      <c r="AD67" s="16">
        <f t="shared" ca="1" si="38"/>
        <v>0</v>
      </c>
      <c r="AF67" s="16">
        <f t="shared" ca="1" si="19"/>
        <v>0.9173085706230627</v>
      </c>
      <c r="AG67" s="16">
        <f t="shared" ca="1" si="57"/>
        <v>1.0874166255488561E-3</v>
      </c>
      <c r="AH67" s="16">
        <f t="shared" ca="1" si="21"/>
        <v>1.0874166255488561E-3</v>
      </c>
      <c r="AI67" s="16">
        <f t="shared" ca="1" si="22"/>
        <v>2.0389061729041051E-3</v>
      </c>
      <c r="AJ67" s="16">
        <f t="shared" ca="1" si="42"/>
        <v>1.66512159460529E-3</v>
      </c>
      <c r="AK67" s="16">
        <f t="shared" ca="1" si="43"/>
        <v>3.0488067936381921E-4</v>
      </c>
      <c r="AL67" s="16">
        <f t="shared" ca="1" si="58"/>
        <v>9.5638573544554184E-4</v>
      </c>
      <c r="AM67" s="16">
        <f t="shared" ca="1" si="59"/>
        <v>5.5506604751621282E-3</v>
      </c>
    </row>
    <row r="68" spans="2:39" ht="16.5" x14ac:dyDescent="0.3">
      <c r="B68" s="44">
        <f t="shared" si="60"/>
        <v>42</v>
      </c>
      <c r="C68" s="44">
        <f t="shared" si="60"/>
        <v>42</v>
      </c>
      <c r="D68" s="44">
        <f t="shared" si="5"/>
        <v>0.1</v>
      </c>
      <c r="E68" s="14">
        <f t="shared" ca="1" si="44"/>
        <v>1.3581616079656698E-4</v>
      </c>
      <c r="F68" s="14">
        <f t="shared" ca="1" si="45"/>
        <v>1.2078139649145971E-4</v>
      </c>
      <c r="G68" s="14">
        <f t="shared" ca="1" si="46"/>
        <v>3.8512481716867364E-5</v>
      </c>
      <c r="H68" s="14">
        <f t="shared" ca="1" si="47"/>
        <v>2.046496918667593E-4</v>
      </c>
      <c r="I68" s="14">
        <f t="shared" ca="1" si="48"/>
        <v>9.4063415918436857E-4</v>
      </c>
      <c r="J68" s="14">
        <f t="shared" ca="1" si="49"/>
        <v>2.0945280598686886E-3</v>
      </c>
      <c r="K68" s="14">
        <f t="shared" ca="1" si="50"/>
        <v>2.4718680190061928E-3</v>
      </c>
      <c r="L68" s="14">
        <f t="shared" ca="1" si="51"/>
        <v>0.88749674393845401</v>
      </c>
      <c r="M68" s="14">
        <f t="shared" ca="1" si="52"/>
        <v>7.3663007234096023E-2</v>
      </c>
      <c r="N68" s="14">
        <f t="shared" ca="1" si="53"/>
        <v>3.2027219673803806E-3</v>
      </c>
      <c r="O68" s="14">
        <f t="shared" ca="1" si="54"/>
        <v>2.6537448610977591E-3</v>
      </c>
      <c r="P68" s="14">
        <f t="shared" ca="1" si="55"/>
        <v>2.6976992030039632E-2</v>
      </c>
      <c r="R68" s="44">
        <f t="shared" ca="1" si="41"/>
        <v>0.99999999999999867</v>
      </c>
      <c r="S68" s="16">
        <f t="shared" ca="1" si="17"/>
        <v>1.3913075420080718</v>
      </c>
      <c r="T68" s="16">
        <f t="shared" ca="1" si="29"/>
        <v>0.39755871173815299</v>
      </c>
      <c r="U68" s="16">
        <f t="shared" ca="1" si="30"/>
        <v>0.12676678146567011</v>
      </c>
      <c r="V68" s="16">
        <f t="shared" ca="1" si="31"/>
        <v>0.52261110533122168</v>
      </c>
      <c r="W68" s="16">
        <f t="shared" ca="1" si="32"/>
        <v>2.162782668911531</v>
      </c>
      <c r="X68" s="16">
        <f t="shared" ca="1" si="33"/>
        <v>4.7514735816731504</v>
      </c>
      <c r="Y68" s="16">
        <f t="shared" ca="1" si="34"/>
        <v>6.0545042440641463</v>
      </c>
      <c r="Z68" s="16">
        <f t="shared" ca="1" si="56"/>
        <v>0</v>
      </c>
      <c r="AA68" s="16">
        <f t="shared" ca="1" si="35"/>
        <v>31.537898376476338</v>
      </c>
      <c r="AB68" s="16">
        <f t="shared" ca="1" si="36"/>
        <v>4.2240106545297893</v>
      </c>
      <c r="AC68" s="16">
        <f t="shared" ca="1" si="37"/>
        <v>0.51526064212098266</v>
      </c>
      <c r="AD68" s="16">
        <f t="shared" ca="1" si="38"/>
        <v>0</v>
      </c>
      <c r="AF68" s="16">
        <f t="shared" ca="1" si="19"/>
        <v>0.92033020279697175</v>
      </c>
      <c r="AG68" s="16">
        <f t="shared" ca="1" si="57"/>
        <v>1.0872118040380384E-3</v>
      </c>
      <c r="AH68" s="16">
        <f t="shared" ca="1" si="21"/>
        <v>1.0872118040380384E-3</v>
      </c>
      <c r="AI68" s="16">
        <f t="shared" ca="1" si="22"/>
        <v>2.0385221325713221E-3</v>
      </c>
      <c r="AJ68" s="16">
        <f t="shared" ca="1" si="42"/>
        <v>1.6648079588628439E-3</v>
      </c>
      <c r="AK68" s="16">
        <f t="shared" ca="1" si="43"/>
        <v>3.0482325324038208E-4</v>
      </c>
      <c r="AL68" s="16">
        <f t="shared" ca="1" si="58"/>
        <v>9.3011935975756714E-4</v>
      </c>
      <c r="AM68" s="16">
        <f t="shared" ca="1" si="59"/>
        <v>5.2370591694401135E-3</v>
      </c>
    </row>
    <row r="69" spans="2:39" ht="16.5" x14ac:dyDescent="0.3">
      <c r="B69" s="44">
        <f t="shared" si="60"/>
        <v>43</v>
      </c>
      <c r="C69" s="44">
        <f t="shared" si="60"/>
        <v>43</v>
      </c>
      <c r="D69" s="44">
        <f t="shared" si="5"/>
        <v>0.1</v>
      </c>
      <c r="E69" s="14">
        <f t="shared" ca="1" si="44"/>
        <v>1.3579386425569584E-4</v>
      </c>
      <c r="F69" s="14">
        <f t="shared" ca="1" si="45"/>
        <v>1.2076101033554635E-4</v>
      </c>
      <c r="G69" s="14">
        <f t="shared" ca="1" si="46"/>
        <v>3.8505569998684162E-5</v>
      </c>
      <c r="H69" s="14">
        <f t="shared" ca="1" si="47"/>
        <v>2.018517993271628E-4</v>
      </c>
      <c r="I69" s="14">
        <f t="shared" ca="1" si="48"/>
        <v>8.8727550586608598E-4</v>
      </c>
      <c r="J69" s="14">
        <f t="shared" ca="1" si="49"/>
        <v>2.028423954449101E-3</v>
      </c>
      <c r="K69" s="14">
        <f t="shared" ca="1" si="50"/>
        <v>2.306099975554152E-3</v>
      </c>
      <c r="L69" s="14">
        <f t="shared" ca="1" si="51"/>
        <v>0.89023679234382158</v>
      </c>
      <c r="M69" s="14">
        <f t="shared" ca="1" si="52"/>
        <v>7.1056436452805877E-2</v>
      </c>
      <c r="N69" s="14">
        <f t="shared" ca="1" si="53"/>
        <v>3.2481547822211789E-3</v>
      </c>
      <c r="O69" s="14">
        <f t="shared" ca="1" si="54"/>
        <v>2.6762449036011795E-3</v>
      </c>
      <c r="P69" s="14">
        <f t="shared" ca="1" si="55"/>
        <v>2.706365983776244E-2</v>
      </c>
      <c r="R69" s="44">
        <f t="shared" ca="1" si="41"/>
        <v>0.99999999999999878</v>
      </c>
      <c r="S69" s="16">
        <f t="shared" ca="1" si="17"/>
        <v>1.3910791351285607</v>
      </c>
      <c r="T69" s="16">
        <f t="shared" ca="1" si="29"/>
        <v>0.39749063865876011</v>
      </c>
      <c r="U69" s="16">
        <f t="shared" ca="1" si="30"/>
        <v>0.12674360153492165</v>
      </c>
      <c r="V69" s="16">
        <f t="shared" ca="1" si="31"/>
        <v>0.51534633047600664</v>
      </c>
      <c r="W69" s="16">
        <f t="shared" ca="1" si="32"/>
        <v>2.0401213031678873</v>
      </c>
      <c r="X69" s="16">
        <f t="shared" ca="1" si="33"/>
        <v>4.6016071785016264</v>
      </c>
      <c r="Y69" s="16">
        <f t="shared" ca="1" si="34"/>
        <v>5.6315519767885505</v>
      </c>
      <c r="Z69" s="16">
        <f t="shared" ca="1" si="56"/>
        <v>0</v>
      </c>
      <c r="AA69" s="16">
        <f t="shared" ca="1" si="35"/>
        <v>30.422197854642082</v>
      </c>
      <c r="AB69" s="16">
        <f t="shared" ca="1" si="36"/>
        <v>4.2247225999055544</v>
      </c>
      <c r="AC69" s="16">
        <f t="shared" ca="1" si="37"/>
        <v>0.51534748788475304</v>
      </c>
      <c r="AD69" s="16">
        <f t="shared" ca="1" si="38"/>
        <v>0</v>
      </c>
      <c r="AF69" s="16">
        <f t="shared" ca="1" si="19"/>
        <v>0.92322485186740644</v>
      </c>
      <c r="AG69" s="16">
        <f t="shared" ca="1" si="57"/>
        <v>1.0870133538506954E-3</v>
      </c>
      <c r="AH69" s="16">
        <f t="shared" ca="1" si="21"/>
        <v>1.0870133538506954E-3</v>
      </c>
      <c r="AI69" s="16">
        <f t="shared" ca="1" si="22"/>
        <v>2.0381500384700538E-3</v>
      </c>
      <c r="AJ69" s="16">
        <f t="shared" ca="1" si="42"/>
        <v>1.6645040792966921E-3</v>
      </c>
      <c r="AK69" s="16">
        <f t="shared" ca="1" si="43"/>
        <v>3.0476761345475119E-4</v>
      </c>
      <c r="AL69" s="16">
        <f t="shared" ca="1" si="58"/>
        <v>9.0496876869805283E-4</v>
      </c>
      <c r="AM69" s="16">
        <f t="shared" ca="1" si="59"/>
        <v>4.9577820556606124E-3</v>
      </c>
    </row>
    <row r="70" spans="2:39" ht="16.5" x14ac:dyDescent="0.3">
      <c r="B70" s="44">
        <f t="shared" si="60"/>
        <v>44</v>
      </c>
      <c r="C70" s="44">
        <f t="shared" si="60"/>
        <v>44</v>
      </c>
      <c r="D70" s="44">
        <f t="shared" si="5"/>
        <v>0.1</v>
      </c>
      <c r="E70" s="14">
        <f t="shared" ca="1" si="44"/>
        <v>1.357721578161275E-4</v>
      </c>
      <c r="F70" s="14">
        <f t="shared" ca="1" si="45"/>
        <v>1.2074118200812778E-4</v>
      </c>
      <c r="G70" s="14">
        <f t="shared" ca="1" si="46"/>
        <v>3.849888779158824E-5</v>
      </c>
      <c r="H70" s="14">
        <f t="shared" ca="1" si="47"/>
        <v>1.9918269717955015E-4</v>
      </c>
      <c r="I70" s="14">
        <f t="shared" ca="1" si="48"/>
        <v>8.3693686621117227E-4</v>
      </c>
      <c r="J70" s="14">
        <f t="shared" ca="1" si="49"/>
        <v>1.96434332716752E-3</v>
      </c>
      <c r="K70" s="14">
        <f t="shared" ca="1" si="50"/>
        <v>2.1632591090875947E-3</v>
      </c>
      <c r="L70" s="14">
        <f t="shared" ca="1" si="51"/>
        <v>0.89286084825225032</v>
      </c>
      <c r="M70" s="14">
        <f t="shared" ca="1" si="52"/>
        <v>6.854171629205498E-2</v>
      </c>
      <c r="N70" s="14">
        <f t="shared" ca="1" si="53"/>
        <v>3.2917160088249825E-3</v>
      </c>
      <c r="O70" s="14">
        <f t="shared" ca="1" si="54"/>
        <v>2.6972715554361886E-3</v>
      </c>
      <c r="P70" s="14">
        <f t="shared" ca="1" si="55"/>
        <v>2.714971366417053E-2</v>
      </c>
      <c r="R70" s="44">
        <f t="shared" ca="1" si="41"/>
        <v>0.99999999999999867</v>
      </c>
      <c r="S70" s="16">
        <f t="shared" ca="1" si="17"/>
        <v>1.3908567732763009</v>
      </c>
      <c r="T70" s="16">
        <f t="shared" ca="1" si="29"/>
        <v>0.39742446029748218</v>
      </c>
      <c r="U70" s="16">
        <f t="shared" ca="1" si="30"/>
        <v>0.12672123089569493</v>
      </c>
      <c r="V70" s="16">
        <f t="shared" ca="1" si="31"/>
        <v>0.50841549329135038</v>
      </c>
      <c r="W70" s="16">
        <f t="shared" ca="1" si="32"/>
        <v>1.9243852465561291</v>
      </c>
      <c r="X70" s="16">
        <f t="shared" ca="1" si="33"/>
        <v>4.4563086161005465</v>
      </c>
      <c r="Y70" s="16">
        <f t="shared" ca="1" si="34"/>
        <v>5.2678100851129956</v>
      </c>
      <c r="Z70" s="16">
        <f t="shared" ca="1" si="56"/>
        <v>0</v>
      </c>
      <c r="AA70" s="16">
        <f t="shared" ca="1" si="35"/>
        <v>29.345625679260927</v>
      </c>
      <c r="AB70" s="16">
        <f t="shared" ca="1" si="36"/>
        <v>4.2253092931522644</v>
      </c>
      <c r="AC70" s="16">
        <f t="shared" ca="1" si="37"/>
        <v>0.51541905492464846</v>
      </c>
      <c r="AD70" s="16">
        <f t="shared" ca="1" si="38"/>
        <v>0</v>
      </c>
      <c r="AF70" s="16">
        <f t="shared" ca="1" si="19"/>
        <v>0.92599954948068197</v>
      </c>
      <c r="AG70" s="16">
        <f t="shared" ca="1" si="57"/>
        <v>1.086820865504941E-3</v>
      </c>
      <c r="AH70" s="16">
        <f t="shared" ca="1" si="21"/>
        <v>1.086820865504941E-3</v>
      </c>
      <c r="AI70" s="16">
        <f t="shared" ca="1" si="22"/>
        <v>2.0377891228217644E-3</v>
      </c>
      <c r="AJ70" s="16">
        <f t="shared" ca="1" si="42"/>
        <v>1.6642093288820898E-3</v>
      </c>
      <c r="AK70" s="16">
        <f t="shared" ca="1" si="43"/>
        <v>3.0471364519985748E-4</v>
      </c>
      <c r="AL70" s="16">
        <f t="shared" ca="1" si="58"/>
        <v>8.8088936212888714E-4</v>
      </c>
      <c r="AM70" s="16">
        <f t="shared" ca="1" si="59"/>
        <v>4.707833591395167E-3</v>
      </c>
    </row>
    <row r="71" spans="2:39" ht="16.5" x14ac:dyDescent="0.3">
      <c r="B71" s="44">
        <f t="shared" si="60"/>
        <v>45</v>
      </c>
      <c r="C71" s="44">
        <f t="shared" si="60"/>
        <v>45</v>
      </c>
      <c r="D71" s="44">
        <f t="shared" si="5"/>
        <v>0.1</v>
      </c>
      <c r="E71" s="14">
        <f t="shared" ca="1" si="44"/>
        <v>1.357510072248489E-4</v>
      </c>
      <c r="F71" s="14">
        <f t="shared" ca="1" si="45"/>
        <v>1.2072187856786657E-4</v>
      </c>
      <c r="G71" s="14">
        <f t="shared" ca="1" si="46"/>
        <v>3.8492410965830604E-5</v>
      </c>
      <c r="H71" s="14">
        <f t="shared" ca="1" si="47"/>
        <v>1.9663668479595365E-4</v>
      </c>
      <c r="I71" s="14">
        <f t="shared" ca="1" si="48"/>
        <v>7.8945924376919554E-4</v>
      </c>
      <c r="J71" s="14">
        <f t="shared" ca="1" si="49"/>
        <v>1.9022384460564972E-3</v>
      </c>
      <c r="K71" s="14">
        <f t="shared" ca="1" si="50"/>
        <v>2.0396962035796155E-3</v>
      </c>
      <c r="L71" s="14">
        <f t="shared" ca="1" si="51"/>
        <v>0.89537507239871128</v>
      </c>
      <c r="M71" s="14">
        <f t="shared" ca="1" si="52"/>
        <v>6.6116321549302998E-2</v>
      </c>
      <c r="N71" s="14">
        <f t="shared" ca="1" si="53"/>
        <v>3.3334792722270199E-3</v>
      </c>
      <c r="O71" s="14">
        <f t="shared" ca="1" si="54"/>
        <v>2.7169181025334418E-3</v>
      </c>
      <c r="P71" s="14">
        <f t="shared" ca="1" si="55"/>
        <v>2.7235212802264128E-2</v>
      </c>
      <c r="R71" s="44">
        <f t="shared" ca="1" si="41"/>
        <v>0.99999999999999878</v>
      </c>
      <c r="S71" s="16">
        <f t="shared" ca="1" si="17"/>
        <v>1.3906401055617132</v>
      </c>
      <c r="T71" s="16">
        <f t="shared" ca="1" si="29"/>
        <v>0.39736006369097643</v>
      </c>
      <c r="U71" s="16">
        <f t="shared" ca="1" si="30"/>
        <v>0.12669957593066494</v>
      </c>
      <c r="V71" s="16">
        <f t="shared" ca="1" si="31"/>
        <v>0.50180397969326473</v>
      </c>
      <c r="W71" s="16">
        <f t="shared" ca="1" si="32"/>
        <v>1.815212980598111</v>
      </c>
      <c r="X71" s="16">
        <f t="shared" ca="1" si="33"/>
        <v>4.3154735689727026</v>
      </c>
      <c r="Y71" s="16">
        <f t="shared" ca="1" si="34"/>
        <v>4.9538132792752076</v>
      </c>
      <c r="Z71" s="16">
        <f t="shared" ca="1" si="56"/>
        <v>0</v>
      </c>
      <c r="AA71" s="16">
        <f t="shared" ca="1" si="35"/>
        <v>28.30713942482107</v>
      </c>
      <c r="AB71" s="16">
        <f t="shared" ca="1" si="36"/>
        <v>4.225789872164893</v>
      </c>
      <c r="AC71" s="16">
        <f t="shared" ca="1" si="37"/>
        <v>0.51547767775278108</v>
      </c>
      <c r="AD71" s="16">
        <f t="shared" ca="1" si="38"/>
        <v>0</v>
      </c>
      <c r="AF71" s="16">
        <f t="shared" ca="1" si="19"/>
        <v>0.92866068257573597</v>
      </c>
      <c r="AG71" s="16">
        <f t="shared" ca="1" si="57"/>
        <v>1.0866339646369849E-3</v>
      </c>
      <c r="AH71" s="16">
        <f t="shared" ca="1" si="21"/>
        <v>1.0866339646369849E-3</v>
      </c>
      <c r="AI71" s="16">
        <f t="shared" ca="1" si="22"/>
        <v>2.0374386836943467E-3</v>
      </c>
      <c r="AJ71" s="16">
        <f t="shared" ca="1" si="42"/>
        <v>1.6639231343693595E-3</v>
      </c>
      <c r="AK71" s="16">
        <f t="shared" ca="1" si="43"/>
        <v>3.0466124351474679E-4</v>
      </c>
      <c r="AL71" s="16">
        <f t="shared" ca="1" si="58"/>
        <v>8.5783726751491166E-4</v>
      </c>
      <c r="AM71" s="16">
        <f t="shared" ca="1" si="59"/>
        <v>4.4830277835958329E-3</v>
      </c>
    </row>
    <row r="72" spans="2:39" ht="16.5" x14ac:dyDescent="0.3">
      <c r="B72" s="44">
        <f t="shared" si="60"/>
        <v>46</v>
      </c>
      <c r="C72" s="44">
        <f t="shared" si="60"/>
        <v>46</v>
      </c>
      <c r="D72" s="44">
        <f t="shared" si="5"/>
        <v>0.1</v>
      </c>
      <c r="E72" s="14">
        <f t="shared" ca="1" si="44"/>
        <v>1.357303807223114E-4</v>
      </c>
      <c r="F72" s="14">
        <f t="shared" ca="1" si="45"/>
        <v>1.2070306954379989E-4</v>
      </c>
      <c r="G72" s="14">
        <f t="shared" ca="1" si="46"/>
        <v>3.8486120981086955E-5</v>
      </c>
      <c r="H72" s="14">
        <f t="shared" ca="1" si="47"/>
        <v>1.9420821186228284E-4</v>
      </c>
      <c r="I72" s="14">
        <f t="shared" ca="1" si="48"/>
        <v>7.4468985774557919E-4</v>
      </c>
      <c r="J72" s="14">
        <f t="shared" ca="1" si="49"/>
        <v>1.8420602352100348E-3</v>
      </c>
      <c r="K72" s="14">
        <f t="shared" ca="1" si="50"/>
        <v>1.9323703022223096E-3</v>
      </c>
      <c r="L72" s="14">
        <f t="shared" ca="1" si="51"/>
        <v>0.89778508550644798</v>
      </c>
      <c r="M72" s="14">
        <f t="shared" ca="1" si="52"/>
        <v>6.3777669752740379E-2</v>
      </c>
      <c r="N72" s="14">
        <f t="shared" ca="1" si="53"/>
        <v>3.3735158017119205E-3</v>
      </c>
      <c r="O72" s="14">
        <f t="shared" ca="1" si="54"/>
        <v>2.7352723619762133E-3</v>
      </c>
      <c r="P72" s="14">
        <f t="shared" ca="1" si="55"/>
        <v>2.7320208398834853E-2</v>
      </c>
      <c r="R72" s="44">
        <f t="shared" ca="1" si="41"/>
        <v>0.99999999999999878</v>
      </c>
      <c r="S72" s="16">
        <f t="shared" ca="1" si="17"/>
        <v>1.3904288066383941</v>
      </c>
      <c r="T72" s="16">
        <f t="shared" ca="1" si="29"/>
        <v>0.39729734448574222</v>
      </c>
      <c r="U72" s="16">
        <f t="shared" ca="1" si="30"/>
        <v>0.12667856642046568</v>
      </c>
      <c r="V72" s="16">
        <f t="shared" ca="1" si="31"/>
        <v>0.49549752618744586</v>
      </c>
      <c r="W72" s="16">
        <f t="shared" ca="1" si="32"/>
        <v>1.7122565321901586</v>
      </c>
      <c r="X72" s="16">
        <f t="shared" ca="1" si="33"/>
        <v>4.1789939903099258</v>
      </c>
      <c r="Y72" s="16">
        <f t="shared" ca="1" si="34"/>
        <v>4.6816761870634398</v>
      </c>
      <c r="Z72" s="16">
        <f t="shared" ca="1" si="56"/>
        <v>0</v>
      </c>
      <c r="AA72" s="16">
        <f t="shared" ca="1" si="35"/>
        <v>27.305665381559049</v>
      </c>
      <c r="AB72" s="16">
        <f t="shared" ca="1" si="36"/>
        <v>4.2261803167178611</v>
      </c>
      <c r="AC72" s="16">
        <f t="shared" ca="1" si="37"/>
        <v>0.51552530564189702</v>
      </c>
      <c r="AD72" s="16">
        <f t="shared" ca="1" si="38"/>
        <v>0</v>
      </c>
      <c r="AF72" s="16">
        <f t="shared" ca="1" si="19"/>
        <v>0.93121408206897105</v>
      </c>
      <c r="AG72" s="16">
        <f t="shared" ca="1" si="57"/>
        <v>1.0864523079052678E-3</v>
      </c>
      <c r="AH72" s="16">
        <f t="shared" ca="1" si="21"/>
        <v>1.0864523079052678E-3</v>
      </c>
      <c r="AI72" s="16">
        <f t="shared" ca="1" si="22"/>
        <v>2.037098077322377E-3</v>
      </c>
      <c r="AJ72" s="16">
        <f t="shared" ca="1" si="42"/>
        <v>1.663644970012037E-3</v>
      </c>
      <c r="AK72" s="16">
        <f t="shared" ca="1" si="43"/>
        <v>3.0461031213621561E-4</v>
      </c>
      <c r="AL72" s="16">
        <f t="shared" ca="1" si="58"/>
        <v>8.3576956266019132E-4</v>
      </c>
      <c r="AM72" s="16">
        <f t="shared" ca="1" si="59"/>
        <v>4.2798524639634152E-3</v>
      </c>
    </row>
    <row r="73" spans="2:39" ht="16.5" x14ac:dyDescent="0.3">
      <c r="B73" s="44">
        <f t="shared" si="60"/>
        <v>47</v>
      </c>
      <c r="C73" s="44">
        <f t="shared" si="60"/>
        <v>47</v>
      </c>
      <c r="D73" s="44">
        <f t="shared" si="5"/>
        <v>0.1</v>
      </c>
      <c r="E73" s="14">
        <f t="shared" ca="1" si="44"/>
        <v>1.357102487969102E-4</v>
      </c>
      <c r="F73" s="14">
        <f t="shared" ca="1" si="45"/>
        <v>1.2068472668354747E-4</v>
      </c>
      <c r="G73" s="14">
        <f t="shared" ca="1" si="46"/>
        <v>3.8480002994022474E-5</v>
      </c>
      <c r="H73" s="14">
        <f t="shared" ca="1" si="47"/>
        <v>1.9189189618468595E-4</v>
      </c>
      <c r="I73" s="14">
        <f t="shared" ca="1" si="48"/>
        <v>7.0248231101033938E-4</v>
      </c>
      <c r="J73" s="14">
        <f t="shared" ca="1" si="49"/>
        <v>1.7837588016660563E-3</v>
      </c>
      <c r="K73" s="14">
        <f t="shared" ca="1" si="50"/>
        <v>1.8387458399153416E-3</v>
      </c>
      <c r="L73" s="14">
        <f t="shared" ca="1" si="51"/>
        <v>0.90009604116138686</v>
      </c>
      <c r="M73" s="14">
        <f t="shared" ca="1" si="52"/>
        <v>6.1523148920919514E-2</v>
      </c>
      <c r="N73" s="14">
        <f t="shared" ca="1" si="53"/>
        <v>3.4118944195084652E-3</v>
      </c>
      <c r="O73" s="14">
        <f t="shared" ca="1" si="54"/>
        <v>2.7524169228560877E-3</v>
      </c>
      <c r="P73" s="14">
        <f t="shared" ca="1" si="55"/>
        <v>2.7404744748076929E-2</v>
      </c>
      <c r="R73" s="44">
        <f t="shared" ca="1" si="41"/>
        <v>0.99999999999999878</v>
      </c>
      <c r="S73" s="16">
        <f t="shared" ca="1" si="17"/>
        <v>1.3902225741879879</v>
      </c>
      <c r="T73" s="16">
        <f t="shared" ca="1" si="29"/>
        <v>0.39723620604459081</v>
      </c>
      <c r="U73" s="16">
        <f t="shared" ca="1" si="30"/>
        <v>0.1266581474277792</v>
      </c>
      <c r="V73" s="16">
        <f t="shared" ca="1" si="31"/>
        <v>0.48948227297762514</v>
      </c>
      <c r="W73" s="16">
        <f t="shared" ca="1" si="32"/>
        <v>1.6151819902703612</v>
      </c>
      <c r="X73" s="16">
        <f t="shared" ca="1" si="33"/>
        <v>4.0467594214281961</v>
      </c>
      <c r="Y73" s="16">
        <f t="shared" ca="1" si="34"/>
        <v>4.4448260409305433</v>
      </c>
      <c r="Z73" s="16">
        <f t="shared" ca="1" si="56"/>
        <v>0</v>
      </c>
      <c r="AA73" s="16">
        <f t="shared" ca="1" si="35"/>
        <v>26.340111597483414</v>
      </c>
      <c r="AB73" s="16">
        <f t="shared" ca="1" si="36"/>
        <v>4.226493981271239</v>
      </c>
      <c r="AC73" s="16">
        <f t="shared" ca="1" si="37"/>
        <v>0.51556356761905653</v>
      </c>
      <c r="AD73" s="16">
        <f t="shared" ca="1" si="38"/>
        <v>0</v>
      </c>
      <c r="AF73" s="16">
        <f t="shared" ca="1" si="19"/>
        <v>0.93366509725182845</v>
      </c>
      <c r="AG73" s="16">
        <f t="shared" ca="1" si="57"/>
        <v>1.0862755794839268E-3</v>
      </c>
      <c r="AH73" s="16">
        <f t="shared" ca="1" si="21"/>
        <v>1.0862755794839268E-3</v>
      </c>
      <c r="AI73" s="16">
        <f t="shared" ca="1" si="22"/>
        <v>2.0367667115323627E-3</v>
      </c>
      <c r="AJ73" s="16">
        <f t="shared" ca="1" si="42"/>
        <v>1.6633743521974466E-3</v>
      </c>
      <c r="AK73" s="16">
        <f t="shared" ca="1" si="43"/>
        <v>3.0456076251567885E-4</v>
      </c>
      <c r="AL73" s="16">
        <f t="shared" ca="1" si="58"/>
        <v>8.146444430563169E-4</v>
      </c>
      <c r="AM73" s="16">
        <f t="shared" ca="1" si="59"/>
        <v>4.0953565597128374E-3</v>
      </c>
    </row>
    <row r="74" spans="2:39" ht="16.5" x14ac:dyDescent="0.3">
      <c r="B74" s="44">
        <f t="shared" si="60"/>
        <v>48</v>
      </c>
      <c r="C74" s="44">
        <f t="shared" si="60"/>
        <v>48</v>
      </c>
      <c r="D74" s="44">
        <f t="shared" si="5"/>
        <v>0.1</v>
      </c>
      <c r="E74" s="14">
        <f t="shared" ca="1" si="44"/>
        <v>1.3569058397113094E-4</v>
      </c>
      <c r="F74" s="14">
        <f t="shared" ca="1" si="45"/>
        <v>1.2066682373480617E-4</v>
      </c>
      <c r="G74" s="14">
        <f t="shared" ca="1" si="46"/>
        <v>3.8474044672355399E-5</v>
      </c>
      <c r="H74" s="14">
        <f t="shared" ca="1" si="47"/>
        <v>1.8968253626962559E-4</v>
      </c>
      <c r="I74" s="14">
        <f t="shared" ca="1" si="48"/>
        <v>6.6269665732607752E-4</v>
      </c>
      <c r="J74" s="14">
        <f t="shared" ca="1" si="49"/>
        <v>1.7272838634398583E-3</v>
      </c>
      <c r="K74" s="14">
        <f t="shared" ca="1" si="50"/>
        <v>1.7567072529857486E-3</v>
      </c>
      <c r="L74" s="14">
        <f t="shared" ca="1" si="51"/>
        <v>0.90231268699161293</v>
      </c>
      <c r="M74" s="14">
        <f t="shared" ca="1" si="52"/>
        <v>5.9350139935598782E-2</v>
      </c>
      <c r="N74" s="14">
        <f t="shared" ca="1" si="53"/>
        <v>3.4486815487103561E-3</v>
      </c>
      <c r="O74" s="14">
        <f t="shared" ca="1" si="54"/>
        <v>2.7684293919524377E-3</v>
      </c>
      <c r="P74" s="14">
        <f t="shared" ca="1" si="55"/>
        <v>2.7488860369724571E-2</v>
      </c>
      <c r="R74" s="44">
        <f t="shared" ca="1" si="41"/>
        <v>0.99999999999999867</v>
      </c>
      <c r="S74" s="16">
        <f t="shared" ca="1" si="17"/>
        <v>1.3900211267294638</v>
      </c>
      <c r="T74" s="16">
        <f t="shared" ca="1" si="29"/>
        <v>0.3971765586727074</v>
      </c>
      <c r="U74" s="16">
        <f t="shared" ca="1" si="30"/>
        <v>0.12663827423145976</v>
      </c>
      <c r="V74" s="16">
        <f t="shared" ca="1" si="31"/>
        <v>0.483744802488278</v>
      </c>
      <c r="W74" s="16">
        <f t="shared" ca="1" si="32"/>
        <v>1.5236697683651708</v>
      </c>
      <c r="X74" s="16">
        <f t="shared" ca="1" si="33"/>
        <v>3.9186580575447731</v>
      </c>
      <c r="Y74" s="16">
        <f t="shared" ca="1" si="34"/>
        <v>4.2377807879478704</v>
      </c>
      <c r="Z74" s="16">
        <f t="shared" ca="1" si="56"/>
        <v>0</v>
      </c>
      <c r="AA74" s="16">
        <f t="shared" ca="1" si="35"/>
        <v>25.409378416972995</v>
      </c>
      <c r="AB74" s="16">
        <f t="shared" ca="1" si="36"/>
        <v>4.2267420373018441</v>
      </c>
      <c r="AC74" s="16">
        <f t="shared" ca="1" si="37"/>
        <v>0.51559382642284834</v>
      </c>
      <c r="AD74" s="16">
        <f t="shared" ca="1" si="38"/>
        <v>0</v>
      </c>
      <c r="AF74" s="16">
        <f t="shared" ca="1" si="19"/>
        <v>0.93601865830200026</v>
      </c>
      <c r="AG74" s="16">
        <f t="shared" ca="1" si="57"/>
        <v>1.0861034880517257E-3</v>
      </c>
      <c r="AH74" s="16">
        <f t="shared" ca="1" si="21"/>
        <v>1.0861034880517257E-3</v>
      </c>
      <c r="AI74" s="16">
        <f t="shared" ca="1" si="22"/>
        <v>2.0364440400969857E-3</v>
      </c>
      <c r="AJ74" s="16">
        <f t="shared" ca="1" si="42"/>
        <v>1.6631108348359569E-3</v>
      </c>
      <c r="AK74" s="16">
        <f t="shared" ca="1" si="43"/>
        <v>3.0451251297495136E-4</v>
      </c>
      <c r="AL74" s="16">
        <f t="shared" ca="1" si="58"/>
        <v>7.9442134378705309E-4</v>
      </c>
      <c r="AM74" s="16">
        <f t="shared" ca="1" si="59"/>
        <v>3.9270564510381998E-3</v>
      </c>
    </row>
    <row r="75" spans="2:39" ht="16.5" x14ac:dyDescent="0.3">
      <c r="B75" s="44">
        <f t="shared" si="60"/>
        <v>49</v>
      </c>
      <c r="C75" s="44">
        <f t="shared" si="60"/>
        <v>49</v>
      </c>
      <c r="D75" s="44">
        <f t="shared" si="5"/>
        <v>0.1</v>
      </c>
      <c r="E75" s="14">
        <f t="shared" ca="1" si="44"/>
        <v>1.356713606145726E-4</v>
      </c>
      <c r="F75" s="14">
        <f t="shared" ca="1" si="45"/>
        <v>1.2064933625503227E-4</v>
      </c>
      <c r="G75" s="14">
        <f t="shared" ca="1" si="46"/>
        <v>3.8468235445073355E-5</v>
      </c>
      <c r="H75" s="14">
        <f t="shared" ca="1" si="47"/>
        <v>1.8757511960643925E-4</v>
      </c>
      <c r="I75" s="14">
        <f t="shared" ca="1" si="48"/>
        <v>6.251993892062498E-4</v>
      </c>
      <c r="J75" s="14">
        <f t="shared" ca="1" si="49"/>
        <v>1.672585095806112E-3</v>
      </c>
      <c r="K75" s="14">
        <f t="shared" ca="1" si="50"/>
        <v>1.6844880924517663E-3</v>
      </c>
      <c r="L75" s="14">
        <f t="shared" ca="1" si="51"/>
        <v>0.90443941611673451</v>
      </c>
      <c r="M75" s="14">
        <f t="shared" ca="1" si="52"/>
        <v>5.7256034468925819E-2</v>
      </c>
      <c r="N75" s="14">
        <f t="shared" ca="1" si="53"/>
        <v>3.4839412364371272E-3</v>
      </c>
      <c r="O75" s="14">
        <f t="shared" ca="1" si="54"/>
        <v>2.7833826403675307E-3</v>
      </c>
      <c r="P75" s="14">
        <f t="shared" ca="1" si="55"/>
        <v>2.7572588908148406E-2</v>
      </c>
      <c r="R75" s="44">
        <f t="shared" ca="1" si="41"/>
        <v>0.99999999999999856</v>
      </c>
      <c r="S75" s="16">
        <f t="shared" ca="1" si="17"/>
        <v>1.3898242017037123</v>
      </c>
      <c r="T75" s="16">
        <f t="shared" ca="1" si="29"/>
        <v>0.39711831894487776</v>
      </c>
      <c r="U75" s="16">
        <f t="shared" ca="1" si="30"/>
        <v>0.12661890914104484</v>
      </c>
      <c r="V75" s="16">
        <f t="shared" ca="1" si="31"/>
        <v>0.4782721658134399</v>
      </c>
      <c r="W75" s="16">
        <f t="shared" ca="1" si="32"/>
        <v>1.4374146660709173</v>
      </c>
      <c r="X75" s="16">
        <f t="shared" ca="1" si="33"/>
        <v>3.7945776119879997</v>
      </c>
      <c r="Y75" s="16">
        <f t="shared" ca="1" si="34"/>
        <v>4.0559648938999269</v>
      </c>
      <c r="Z75" s="16">
        <f t="shared" ca="1" si="56"/>
        <v>0</v>
      </c>
      <c r="AA75" s="16">
        <f t="shared" ca="1" si="35"/>
        <v>24.512366952447138</v>
      </c>
      <c r="AB75" s="16">
        <f t="shared" ca="1" si="36"/>
        <v>4.2269338405526948</v>
      </c>
      <c r="AC75" s="16">
        <f t="shared" ca="1" si="37"/>
        <v>0.51561722330185178</v>
      </c>
      <c r="AD75" s="16">
        <f t="shared" ca="1" si="38"/>
        <v>0</v>
      </c>
      <c r="AF75" s="16">
        <f t="shared" ca="1" si="19"/>
        <v>0.93827932890168753</v>
      </c>
      <c r="AG75" s="16">
        <f t="shared" ca="1" si="57"/>
        <v>1.0859357641981645E-3</v>
      </c>
      <c r="AH75" s="16">
        <f t="shared" ca="1" si="21"/>
        <v>1.0859357641981645E-3</v>
      </c>
      <c r="AI75" s="16">
        <f t="shared" ca="1" si="22"/>
        <v>2.0361295578715582E-3</v>
      </c>
      <c r="AJ75" s="16">
        <f t="shared" ca="1" si="42"/>
        <v>1.6628540053890517E-3</v>
      </c>
      <c r="AK75" s="16">
        <f t="shared" ca="1" si="43"/>
        <v>3.0446548797899501E-4</v>
      </c>
      <c r="AL75" s="16">
        <f t="shared" ca="1" si="58"/>
        <v>7.7506102438968793E-4</v>
      </c>
      <c r="AM75" s="16">
        <f t="shared" ca="1" si="59"/>
        <v>3.7728581715027361E-3</v>
      </c>
    </row>
    <row r="76" spans="2:39" ht="16.5" x14ac:dyDescent="0.3">
      <c r="B76" s="44">
        <f t="shared" ref="B76:C91" si="61">B75+1</f>
        <v>50</v>
      </c>
      <c r="C76" s="44">
        <f t="shared" si="61"/>
        <v>50</v>
      </c>
      <c r="D76" s="44">
        <f t="shared" si="5"/>
        <v>0.1</v>
      </c>
      <c r="E76" s="14">
        <f t="shared" ca="1" si="44"/>
        <v>1.3565255477983359E-4</v>
      </c>
      <c r="F76" s="14">
        <f t="shared" ca="1" si="45"/>
        <v>1.2063224144504632E-4</v>
      </c>
      <c r="G76" s="14">
        <f t="shared" ca="1" si="46"/>
        <v>3.8462566022710878E-5</v>
      </c>
      <c r="H76" s="14">
        <f t="shared" ca="1" si="47"/>
        <v>1.8556482745415572E-4</v>
      </c>
      <c r="I76" s="14">
        <f t="shared" ca="1" si="48"/>
        <v>5.8986336391842116E-4</v>
      </c>
      <c r="J76" s="14">
        <f t="shared" ca="1" si="49"/>
        <v>1.6196124100087189E-3</v>
      </c>
      <c r="K76" s="14">
        <f t="shared" ca="1" si="50"/>
        <v>1.6206121732690476E-3</v>
      </c>
      <c r="L76" s="14">
        <f t="shared" ca="1" si="51"/>
        <v>0.90648031049838718</v>
      </c>
      <c r="M76" s="14">
        <f t="shared" ca="1" si="52"/>
        <v>5.5238249244991509E-2</v>
      </c>
      <c r="N76" s="14">
        <f t="shared" ca="1" si="53"/>
        <v>3.5177351889572523E-3</v>
      </c>
      <c r="O76" s="14">
        <f t="shared" ca="1" si="54"/>
        <v>2.7973450481104858E-3</v>
      </c>
      <c r="P76" s="14">
        <f t="shared" ca="1" si="55"/>
        <v>2.7655959882654263E-2</v>
      </c>
      <c r="R76" s="44">
        <f t="shared" ca="1" si="41"/>
        <v>0.99999999999999867</v>
      </c>
      <c r="S76" s="16">
        <f t="shared" ca="1" si="17"/>
        <v>1.389631553792354</v>
      </c>
      <c r="T76" s="16">
        <f t="shared" ca="1" si="29"/>
        <v>0.39706140911846882</v>
      </c>
      <c r="U76" s="16">
        <f t="shared" ca="1" si="30"/>
        <v>0.1266000194734371</v>
      </c>
      <c r="V76" s="16">
        <f t="shared" ca="1" si="31"/>
        <v>0.47305189928553987</v>
      </c>
      <c r="W76" s="16">
        <f t="shared" ca="1" si="32"/>
        <v>1.3561257729150646</v>
      </c>
      <c r="X76" s="16">
        <f t="shared" ca="1" si="33"/>
        <v>3.6744060137477481</v>
      </c>
      <c r="Y76" s="16">
        <f t="shared" ca="1" si="34"/>
        <v>3.8955564281918376</v>
      </c>
      <c r="Z76" s="16">
        <f t="shared" ca="1" si="56"/>
        <v>0</v>
      </c>
      <c r="AA76" s="16">
        <f t="shared" ca="1" si="35"/>
        <v>23.647985850921131</v>
      </c>
      <c r="AB76" s="16">
        <f t="shared" ca="1" si="36"/>
        <v>4.2270772359736579</v>
      </c>
      <c r="AC76" s="16">
        <f t="shared" ca="1" si="37"/>
        <v>0.51563471521243809</v>
      </c>
      <c r="AD76" s="16">
        <f t="shared" ca="1" si="38"/>
        <v>0</v>
      </c>
      <c r="AF76" s="16">
        <f t="shared" ca="1" si="19"/>
        <v>0.94045135061810914</v>
      </c>
      <c r="AG76" s="16">
        <f t="shared" ca="1" si="57"/>
        <v>1.0857721581814309E-3</v>
      </c>
      <c r="AH76" s="16">
        <f t="shared" ca="1" si="21"/>
        <v>1.0857721581814309E-3</v>
      </c>
      <c r="AI76" s="16">
        <f t="shared" ca="1" si="22"/>
        <v>2.0358227965901828E-3</v>
      </c>
      <c r="AJ76" s="16">
        <f t="shared" ca="1" si="42"/>
        <v>1.6626034814361621E-3</v>
      </c>
      <c r="AK76" s="16">
        <f t="shared" ca="1" si="43"/>
        <v>3.0441961750731216E-4</v>
      </c>
      <c r="AL76" s="16">
        <f t="shared" ca="1" si="58"/>
        <v>7.5652562371461259E-4</v>
      </c>
      <c r="AM76" s="16">
        <f t="shared" ca="1" si="59"/>
        <v>3.6309927594269775E-3</v>
      </c>
    </row>
    <row r="77" spans="2:39" ht="16.5" x14ac:dyDescent="0.3">
      <c r="B77" s="44">
        <f t="shared" si="61"/>
        <v>51</v>
      </c>
      <c r="C77" s="44">
        <f t="shared" si="61"/>
        <v>51</v>
      </c>
      <c r="D77" s="44">
        <f t="shared" si="5"/>
        <v>0.1</v>
      </c>
      <c r="E77" s="14">
        <f t="shared" ca="1" si="44"/>
        <v>1.3563414405789792E-4</v>
      </c>
      <c r="F77" s="14">
        <f t="shared" ca="1" si="45"/>
        <v>1.2061551800298866E-4</v>
      </c>
      <c r="G77" s="14">
        <f t="shared" ca="1" si="46"/>
        <v>3.8457028085529367E-5</v>
      </c>
      <c r="H77" s="14">
        <f t="shared" ca="1" si="47"/>
        <v>1.8364703681421964E-4</v>
      </c>
      <c r="I77" s="14">
        <f t="shared" ca="1" si="48"/>
        <v>5.5656768192912146E-4</v>
      </c>
      <c r="J77" s="14">
        <f t="shared" ca="1" si="49"/>
        <v>1.5683161761565756E-3</v>
      </c>
      <c r="K77" s="14">
        <f t="shared" ca="1" si="50"/>
        <v>1.5638447120022261E-3</v>
      </c>
      <c r="L77" s="14">
        <f t="shared" ca="1" si="51"/>
        <v>0.90843917754630576</v>
      </c>
      <c r="M77" s="14">
        <f t="shared" ca="1" si="52"/>
        <v>5.3294237282146883E-2</v>
      </c>
      <c r="N77" s="14">
        <f t="shared" ca="1" si="53"/>
        <v>3.5501228160816972E-3</v>
      </c>
      <c r="O77" s="14">
        <f t="shared" ca="1" si="54"/>
        <v>2.8103807443245039E-3</v>
      </c>
      <c r="P77" s="14">
        <f t="shared" ca="1" si="55"/>
        <v>2.7738999314091239E-2</v>
      </c>
      <c r="R77" s="44">
        <f t="shared" ca="1" si="41"/>
        <v>0.99999999999999867</v>
      </c>
      <c r="S77" s="16">
        <f t="shared" ca="1" si="17"/>
        <v>1.3894429534363091</v>
      </c>
      <c r="T77" s="16">
        <f t="shared" ca="1" si="29"/>
        <v>0.39700575661926707</v>
      </c>
      <c r="U77" s="16">
        <f t="shared" ca="1" si="30"/>
        <v>0.12658157625031394</v>
      </c>
      <c r="V77" s="16">
        <f t="shared" ca="1" si="31"/>
        <v>0.46807203304487549</v>
      </c>
      <c r="W77" s="16">
        <f t="shared" ca="1" si="32"/>
        <v>1.2795262501016726</v>
      </c>
      <c r="X77" s="16">
        <f t="shared" ca="1" si="33"/>
        <v>3.5580319673150713</v>
      </c>
      <c r="Y77" s="16">
        <f t="shared" ca="1" si="34"/>
        <v>3.7533601078249865</v>
      </c>
      <c r="Z77" s="16">
        <f t="shared" ca="1" si="56"/>
        <v>0</v>
      </c>
      <c r="AA77" s="16">
        <f t="shared" ca="1" si="35"/>
        <v>22.815156655302399</v>
      </c>
      <c r="AB77" s="16">
        <f t="shared" ca="1" si="36"/>
        <v>4.2271788109519681</v>
      </c>
      <c r="AC77" s="16">
        <f t="shared" ca="1" si="37"/>
        <v>0.51564710570877681</v>
      </c>
      <c r="AD77" s="16">
        <f t="shared" ca="1" si="38"/>
        <v>0</v>
      </c>
      <c r="AF77" s="16">
        <f t="shared" ca="1" si="19"/>
        <v>0.94253868042080324</v>
      </c>
      <c r="AG77" s="16">
        <f t="shared" ca="1" si="57"/>
        <v>1.085612437983633E-3</v>
      </c>
      <c r="AH77" s="16">
        <f t="shared" ca="1" si="21"/>
        <v>1.085612437983633E-3</v>
      </c>
      <c r="AI77" s="16">
        <f t="shared" ca="1" si="22"/>
        <v>2.035523321219312E-3</v>
      </c>
      <c r="AJ77" s="16">
        <f t="shared" ca="1" si="42"/>
        <v>1.6623589076967143E-3</v>
      </c>
      <c r="AK77" s="16">
        <f t="shared" ca="1" si="43"/>
        <v>3.0437483650868784E-4</v>
      </c>
      <c r="AL77" s="16">
        <f t="shared" ca="1" si="58"/>
        <v>7.387786906507608E-4</v>
      </c>
      <c r="AM77" s="16">
        <f t="shared" ca="1" si="59"/>
        <v>3.4999625263224853E-3</v>
      </c>
    </row>
    <row r="78" spans="2:39" ht="16.5" x14ac:dyDescent="0.3">
      <c r="B78" s="44">
        <f t="shared" si="61"/>
        <v>52</v>
      </c>
      <c r="C78" s="44">
        <f t="shared" si="61"/>
        <v>52</v>
      </c>
      <c r="D78" s="44">
        <f t="shared" si="5"/>
        <v>0.1</v>
      </c>
      <c r="E78" s="14">
        <f t="shared" ca="1" si="44"/>
        <v>1.3561610745019742E-4</v>
      </c>
      <c r="F78" s="14">
        <f t="shared" ca="1" si="45"/>
        <v>1.2059914599563124E-4</v>
      </c>
      <c r="G78" s="14">
        <f t="shared" ca="1" si="46"/>
        <v>3.8451614076666038E-5</v>
      </c>
      <c r="H78" s="14">
        <f t="shared" ca="1" si="47"/>
        <v>1.8181732016223532E-4</v>
      </c>
      <c r="I78" s="14">
        <f t="shared" ca="1" si="48"/>
        <v>5.2519752943068693E-4</v>
      </c>
      <c r="J78" s="14">
        <f t="shared" ca="1" si="49"/>
        <v>1.5186474000544808E-3</v>
      </c>
      <c r="K78" s="14">
        <f t="shared" ca="1" si="50"/>
        <v>1.5131517538889358E-3</v>
      </c>
      <c r="L78" s="14">
        <f t="shared" ca="1" si="51"/>
        <v>0.91031958110466615</v>
      </c>
      <c r="M78" s="14">
        <f t="shared" ca="1" si="52"/>
        <v>5.1421496651617868E-2</v>
      </c>
      <c r="N78" s="14">
        <f t="shared" ca="1" si="53"/>
        <v>3.5811612826213901E-3</v>
      </c>
      <c r="O78" s="14">
        <f t="shared" ca="1" si="54"/>
        <v>2.8225498414209968E-3</v>
      </c>
      <c r="P78" s="14">
        <f t="shared" ca="1" si="55"/>
        <v>2.7821730248613317E-2</v>
      </c>
      <c r="R78" s="44">
        <f t="shared" ca="1" si="41"/>
        <v>0.99999999999999867</v>
      </c>
      <c r="S78" s="16">
        <f t="shared" ca="1" si="17"/>
        <v>1.3892581855251949</v>
      </c>
      <c r="T78" s="16">
        <f t="shared" ca="1" si="29"/>
        <v>0.39695129358936881</v>
      </c>
      <c r="U78" s="16">
        <f t="shared" ca="1" si="30"/>
        <v>0.12656355334458441</v>
      </c>
      <c r="V78" s="16">
        <f t="shared" ca="1" si="31"/>
        <v>0.46332109320047049</v>
      </c>
      <c r="W78" s="16">
        <f t="shared" ca="1" si="32"/>
        <v>1.2073530190892343</v>
      </c>
      <c r="X78" s="16">
        <f t="shared" ca="1" si="33"/>
        <v>3.4453453988152463</v>
      </c>
      <c r="Y78" s="16">
        <f t="shared" ca="1" si="34"/>
        <v>3.626701884522618</v>
      </c>
      <c r="Z78" s="16">
        <f t="shared" ca="1" si="56"/>
        <v>0</v>
      </c>
      <c r="AA78" s="16">
        <f t="shared" ca="1" si="35"/>
        <v>22.012818008886356</v>
      </c>
      <c r="AB78" s="16">
        <f t="shared" ca="1" si="36"/>
        <v>4.2272441056270296</v>
      </c>
      <c r="AC78" s="16">
        <f t="shared" ca="1" si="37"/>
        <v>0.51565507059782412</v>
      </c>
      <c r="AD78" s="16">
        <f t="shared" ca="1" si="38"/>
        <v>0</v>
      </c>
      <c r="AF78" s="16">
        <f t="shared" ca="1" si="19"/>
        <v>0.94454502247732197</v>
      </c>
      <c r="AG78" s="16">
        <f t="shared" ca="1" si="57"/>
        <v>1.085456387617703E-3</v>
      </c>
      <c r="AH78" s="16">
        <f t="shared" ca="1" si="21"/>
        <v>1.085456387617703E-3</v>
      </c>
      <c r="AI78" s="16">
        <f t="shared" ca="1" si="22"/>
        <v>2.0352307267831929E-3</v>
      </c>
      <c r="AJ78" s="16">
        <f t="shared" ca="1" si="42"/>
        <v>1.6621199534375545E-3</v>
      </c>
      <c r="AK78" s="16">
        <f t="shared" ca="1" si="43"/>
        <v>3.0433108442649419E-4</v>
      </c>
      <c r="AL78" s="16">
        <f t="shared" ca="1" si="58"/>
        <v>7.2178519558313754E-4</v>
      </c>
      <c r="AM78" s="16">
        <f t="shared" ca="1" si="59"/>
        <v>3.3784963884705586E-3</v>
      </c>
    </row>
    <row r="79" spans="2:39" ht="16.5" x14ac:dyDescent="0.3">
      <c r="B79" s="44">
        <f t="shared" si="61"/>
        <v>53</v>
      </c>
      <c r="C79" s="44">
        <f t="shared" si="61"/>
        <v>53</v>
      </c>
      <c r="D79" s="44">
        <f t="shared" si="5"/>
        <v>0.1</v>
      </c>
      <c r="E79" s="14">
        <f t="shared" ca="1" si="44"/>
        <v>1.3559842525497746E-4</v>
      </c>
      <c r="F79" s="14">
        <f t="shared" ca="1" si="45"/>
        <v>1.2058310674453222E-4</v>
      </c>
      <c r="G79" s="14">
        <f t="shared" ca="1" si="46"/>
        <v>3.8446317061399885E-5</v>
      </c>
      <c r="H79" s="14">
        <f t="shared" ca="1" si="47"/>
        <v>1.800714434164918E-4</v>
      </c>
      <c r="I79" s="14">
        <f t="shared" ca="1" si="48"/>
        <v>4.9564399439962529E-4</v>
      </c>
      <c r="J79" s="14">
        <f t="shared" ca="1" si="49"/>
        <v>1.4705578620517906E-3</v>
      </c>
      <c r="K79" s="14">
        <f t="shared" ca="1" si="50"/>
        <v>1.4676664794642978E-3</v>
      </c>
      <c r="L79" s="14">
        <f t="shared" ca="1" si="51"/>
        <v>0.91212486775275747</v>
      </c>
      <c r="M79" s="14">
        <f t="shared" ca="1" si="52"/>
        <v>4.9617577195998241E-2</v>
      </c>
      <c r="N79" s="14">
        <f t="shared" ca="1" si="53"/>
        <v>3.6109055651036039E-3</v>
      </c>
      <c r="O79" s="14">
        <f t="shared" ca="1" si="54"/>
        <v>2.8339086618447769E-3</v>
      </c>
      <c r="P79" s="14">
        <f t="shared" ca="1" si="55"/>
        <v>2.790417319590139E-2</v>
      </c>
      <c r="R79" s="44">
        <f t="shared" ca="1" si="41"/>
        <v>0.99999999999999856</v>
      </c>
      <c r="S79" s="16">
        <f t="shared" ca="1" si="17"/>
        <v>1.3890770482332517</v>
      </c>
      <c r="T79" s="16">
        <f t="shared" ca="1" si="29"/>
        <v>0.39689795648805887</v>
      </c>
      <c r="U79" s="16">
        <f t="shared" ca="1" si="30"/>
        <v>0.12654592690839112</v>
      </c>
      <c r="V79" s="16">
        <f t="shared" ca="1" si="31"/>
        <v>0.45878809891456712</v>
      </c>
      <c r="W79" s="16">
        <f t="shared" ca="1" si="32"/>
        <v>1.1393563805392444</v>
      </c>
      <c r="X79" s="16">
        <f t="shared" ca="1" si="33"/>
        <v>3.3362378083362367</v>
      </c>
      <c r="Y79" s="16">
        <f t="shared" ca="1" si="34"/>
        <v>3.5133414107417891</v>
      </c>
      <c r="Z79" s="16">
        <f t="shared" ca="1" si="56"/>
        <v>0</v>
      </c>
      <c r="AA79" s="16">
        <f t="shared" ca="1" si="35"/>
        <v>21.239928908876621</v>
      </c>
      <c r="AB79" s="16">
        <f t="shared" ca="1" si="36"/>
        <v>4.2272777875871368</v>
      </c>
      <c r="AC79" s="16">
        <f t="shared" ca="1" si="37"/>
        <v>0.51565917924948501</v>
      </c>
      <c r="AD79" s="16">
        <f t="shared" ca="1" si="38"/>
        <v>0</v>
      </c>
      <c r="AF79" s="16">
        <f t="shared" ca="1" si="19"/>
        <v>0.94647385517560723</v>
      </c>
      <c r="AG79" s="16">
        <f t="shared" ca="1" si="57"/>
        <v>1.0853038056478316E-3</v>
      </c>
      <c r="AH79" s="16">
        <f t="shared" ca="1" si="21"/>
        <v>1.0853038056478316E-3</v>
      </c>
      <c r="AI79" s="16">
        <f t="shared" ca="1" si="22"/>
        <v>2.0349446355896841E-3</v>
      </c>
      <c r="AJ79" s="16">
        <f t="shared" ca="1" si="42"/>
        <v>1.6618863102073418E-3</v>
      </c>
      <c r="AK79" s="16">
        <f t="shared" ca="1" si="43"/>
        <v>3.0428830478386221E-4</v>
      </c>
      <c r="AL79" s="16">
        <f t="shared" ca="1" si="58"/>
        <v>7.0551152660205453E-4</v>
      </c>
      <c r="AM79" s="16">
        <f t="shared" ca="1" si="59"/>
        <v>3.2655127231239196E-3</v>
      </c>
    </row>
    <row r="80" spans="2:39" ht="16.5" x14ac:dyDescent="0.3">
      <c r="B80" s="44">
        <f t="shared" si="61"/>
        <v>54</v>
      </c>
      <c r="C80" s="44">
        <f t="shared" si="61"/>
        <v>54</v>
      </c>
      <c r="D80" s="44">
        <f t="shared" si="5"/>
        <v>0.1</v>
      </c>
      <c r="E80" s="14">
        <f t="shared" ca="1" si="44"/>
        <v>1.3558107896596879E-4</v>
      </c>
      <c r="F80" s="14">
        <f t="shared" ca="1" si="45"/>
        <v>1.2056738272492131E-4</v>
      </c>
      <c r="G80" s="14">
        <f t="shared" ca="1" si="46"/>
        <v>3.8441130628480316E-5</v>
      </c>
      <c r="H80" s="14">
        <f t="shared" ca="1" si="47"/>
        <v>1.7840536253882109E-4</v>
      </c>
      <c r="I80" s="14">
        <f t="shared" ca="1" si="48"/>
        <v>4.6780386383056755E-4</v>
      </c>
      <c r="J80" s="14">
        <f t="shared" ca="1" si="49"/>
        <v>1.4240002246087274E-3</v>
      </c>
      <c r="K80" s="14">
        <f t="shared" ca="1" si="50"/>
        <v>1.4266612208844694E-3</v>
      </c>
      <c r="L80" s="14">
        <f t="shared" ca="1" si="51"/>
        <v>0.91385818919582895</v>
      </c>
      <c r="M80" s="14">
        <f t="shared" ca="1" si="52"/>
        <v>4.7880085574931001E-2</v>
      </c>
      <c r="N80" s="14">
        <f t="shared" ca="1" si="53"/>
        <v>3.6394085122743074E-3</v>
      </c>
      <c r="O80" s="14">
        <f t="shared" ca="1" si="54"/>
        <v>2.8445099565655814E-3</v>
      </c>
      <c r="P80" s="14">
        <f t="shared" ca="1" si="55"/>
        <v>2.798634649621683E-2</v>
      </c>
      <c r="R80" s="44">
        <f t="shared" ca="1" si="41"/>
        <v>0.99999999999999856</v>
      </c>
      <c r="S80" s="16">
        <f t="shared" ca="1" si="17"/>
        <v>1.3888993519813324</v>
      </c>
      <c r="T80" s="16">
        <f t="shared" ca="1" si="29"/>
        <v>0.39684568573806417</v>
      </c>
      <c r="U80" s="16">
        <f t="shared" ca="1" si="30"/>
        <v>0.126528674979136</v>
      </c>
      <c r="V80" s="16">
        <f t="shared" ca="1" si="31"/>
        <v>0.45446255551790748</v>
      </c>
      <c r="W80" s="16">
        <f t="shared" ca="1" si="32"/>
        <v>1.0752995827135896</v>
      </c>
      <c r="X80" s="16">
        <f t="shared" ca="1" si="33"/>
        <v>3.2306025449512594</v>
      </c>
      <c r="Y80" s="16">
        <f t="shared" ca="1" si="34"/>
        <v>3.4113993440160746</v>
      </c>
      <c r="Z80" s="16">
        <f t="shared" ca="1" si="56"/>
        <v>0</v>
      </c>
      <c r="AA80" s="16">
        <f t="shared" ca="1" si="35"/>
        <v>20.495471179390893</v>
      </c>
      <c r="AB80" s="16">
        <f t="shared" ca="1" si="36"/>
        <v>4.2272837970032873</v>
      </c>
      <c r="AC80" s="16">
        <f t="shared" ca="1" si="37"/>
        <v>0.51565991230057739</v>
      </c>
      <c r="AD80" s="16">
        <f t="shared" ca="1" si="38"/>
        <v>0</v>
      </c>
      <c r="AF80" s="16">
        <f t="shared" ca="1" si="19"/>
        <v>0.94832845416088563</v>
      </c>
      <c r="AG80" s="16">
        <f t="shared" ca="1" si="57"/>
        <v>1.0851545038914889E-3</v>
      </c>
      <c r="AH80" s="16">
        <f t="shared" ca="1" si="21"/>
        <v>1.0851545038914889E-3</v>
      </c>
      <c r="AI80" s="16">
        <f t="shared" ca="1" si="22"/>
        <v>2.0346646947965417E-3</v>
      </c>
      <c r="AJ80" s="16">
        <f t="shared" ca="1" si="42"/>
        <v>1.661657689849001E-3</v>
      </c>
      <c r="AK80" s="16">
        <f t="shared" ca="1" si="43"/>
        <v>3.0424644481976521E-4</v>
      </c>
      <c r="AL80" s="16">
        <f t="shared" ca="1" si="58"/>
        <v>6.8992547377256261E-4</v>
      </c>
      <c r="AM80" s="16">
        <f t="shared" ca="1" si="59"/>
        <v>3.160088472514973E-3</v>
      </c>
    </row>
    <row r="81" spans="2:39" ht="16.5" x14ac:dyDescent="0.3">
      <c r="B81" s="44">
        <f t="shared" si="61"/>
        <v>55</v>
      </c>
      <c r="C81" s="44">
        <f t="shared" si="61"/>
        <v>55</v>
      </c>
      <c r="D81" s="44">
        <f t="shared" si="5"/>
        <v>0.2</v>
      </c>
      <c r="E81" s="14">
        <f t="shared" ca="1" si="44"/>
        <v>1.3556405118168158E-4</v>
      </c>
      <c r="F81" s="14">
        <f t="shared" ca="1" si="45"/>
        <v>1.205519574755377E-4</v>
      </c>
      <c r="G81" s="14">
        <f t="shared" ca="1" si="46"/>
        <v>3.8436048818567674E-5</v>
      </c>
      <c r="H81" s="14">
        <f t="shared" ca="1" si="47"/>
        <v>1.7681521909335975E-4</v>
      </c>
      <c r="I81" s="14">
        <f t="shared" ca="1" si="48"/>
        <v>4.4157940830341337E-4</v>
      </c>
      <c r="J81" s="14">
        <f t="shared" ca="1" si="49"/>
        <v>1.3789281141331391E-3</v>
      </c>
      <c r="K81" s="14">
        <f t="shared" ca="1" si="50"/>
        <v>1.3895242172059445E-3</v>
      </c>
      <c r="L81" s="14">
        <f t="shared" ca="1" si="51"/>
        <v>0.91552252139065793</v>
      </c>
      <c r="M81" s="14">
        <f t="shared" ca="1" si="52"/>
        <v>4.6206688942030928E-2</v>
      </c>
      <c r="N81" s="14">
        <f t="shared" ca="1" si="53"/>
        <v>3.666720908188079E-3</v>
      </c>
      <c r="O81" s="14">
        <f t="shared" ca="1" si="54"/>
        <v>2.8544031146889122E-3</v>
      </c>
      <c r="P81" s="14">
        <f t="shared" ca="1" si="55"/>
        <v>2.8068266628221202E-2</v>
      </c>
      <c r="R81" s="44">
        <f t="shared" ca="1" si="41"/>
        <v>0.99999999999999867</v>
      </c>
      <c r="S81" s="16">
        <f t="shared" ca="1" si="17"/>
        <v>1.3887249185077051</v>
      </c>
      <c r="T81" s="16">
        <f t="shared" ca="1" si="29"/>
        <v>0.39679442541078236</v>
      </c>
      <c r="U81" s="16">
        <f t="shared" ca="1" si="30"/>
        <v>0.12651177719934281</v>
      </c>
      <c r="V81" s="16">
        <f t="shared" ca="1" si="31"/>
        <v>0.45033444457001359</v>
      </c>
      <c r="W81" s="16">
        <f t="shared" ca="1" si="32"/>
        <v>1.0149583547247372</v>
      </c>
      <c r="X81" s="16">
        <f t="shared" ca="1" si="33"/>
        <v>3.1283350181106568</v>
      </c>
      <c r="Y81" s="16">
        <f t="shared" ca="1" si="34"/>
        <v>3.3192969666052665</v>
      </c>
      <c r="Z81" s="16">
        <f t="shared" ca="1" si="56"/>
        <v>0</v>
      </c>
      <c r="AA81" s="16">
        <f t="shared" ca="1" si="35"/>
        <v>19.778451305083152</v>
      </c>
      <c r="AB81" s="16">
        <f t="shared" ca="1" si="36"/>
        <v>4.2272654672249059</v>
      </c>
      <c r="AC81" s="16">
        <f t="shared" ca="1" si="37"/>
        <v>0.51565767636555049</v>
      </c>
      <c r="AD81" s="16">
        <f t="shared" ca="1" si="38"/>
        <v>0</v>
      </c>
      <c r="AF81" s="16">
        <f t="shared" ca="1" si="19"/>
        <v>0.95011191204175605</v>
      </c>
      <c r="AG81" s="16">
        <f t="shared" ca="1" si="57"/>
        <v>1.0850083062762604E-3</v>
      </c>
      <c r="AH81" s="16">
        <f t="shared" ca="1" si="21"/>
        <v>1.0850083062762604E-3</v>
      </c>
      <c r="AI81" s="16">
        <f t="shared" ca="1" si="22"/>
        <v>2.0343905742679883E-3</v>
      </c>
      <c r="AJ81" s="16">
        <f t="shared" ca="1" si="42"/>
        <v>1.6614338227492367E-3</v>
      </c>
      <c r="AK81" s="16">
        <f t="shared" ca="1" si="43"/>
        <v>3.0420545516850829E-4</v>
      </c>
      <c r="AL81" s="16">
        <f t="shared" ca="1" si="58"/>
        <v>6.7499620417812512E-4</v>
      </c>
      <c r="AM81" s="16">
        <f t="shared" ca="1" si="59"/>
        <v>3.0614334360186748E-3</v>
      </c>
    </row>
    <row r="82" spans="2:39" ht="16.5" x14ac:dyDescent="0.3">
      <c r="B82" s="44">
        <f t="shared" si="61"/>
        <v>56</v>
      </c>
      <c r="C82" s="44">
        <f t="shared" si="61"/>
        <v>56</v>
      </c>
      <c r="D82" s="44">
        <f t="shared" si="5"/>
        <v>0.2</v>
      </c>
      <c r="E82" s="14">
        <f t="shared" ca="1" si="44"/>
        <v>1.355473255238992E-4</v>
      </c>
      <c r="F82" s="14">
        <f t="shared" ca="1" si="45"/>
        <v>1.2053681551792191E-4</v>
      </c>
      <c r="G82" s="14">
        <f t="shared" ca="1" si="46"/>
        <v>3.8431066070444443E-5</v>
      </c>
      <c r="H82" s="14">
        <f t="shared" ca="1" si="47"/>
        <v>1.7529733502975897E-4</v>
      </c>
      <c r="I82" s="14">
        <f t="shared" ca="1" si="48"/>
        <v>4.1687815881883935E-4</v>
      </c>
      <c r="J82" s="14">
        <f t="shared" ca="1" si="49"/>
        <v>1.3352961816888588E-3</v>
      </c>
      <c r="K82" s="14">
        <f t="shared" ca="1" si="50"/>
        <v>1.3557403030962506E-3</v>
      </c>
      <c r="L82" s="14">
        <f t="shared" ca="1" si="51"/>
        <v>0.91712068094140731</v>
      </c>
      <c r="M82" s="14">
        <f t="shared" ca="1" si="52"/>
        <v>4.4595117504640173E-2</v>
      </c>
      <c r="N82" s="14">
        <f t="shared" ca="1" si="53"/>
        <v>3.692891536913977E-3</v>
      </c>
      <c r="O82" s="14">
        <f t="shared" ca="1" si="54"/>
        <v>2.8636343638165961E-3</v>
      </c>
      <c r="P82" s="14">
        <f t="shared" ca="1" si="55"/>
        <v>2.8149948467474616E-2</v>
      </c>
      <c r="R82" s="44">
        <f t="shared" ca="1" si="41"/>
        <v>0.99999999999999878</v>
      </c>
      <c r="S82" s="16">
        <f t="shared" ca="1" si="17"/>
        <v>1.3885535800330995</v>
      </c>
      <c r="T82" s="16">
        <f t="shared" ca="1" si="29"/>
        <v>0.39674412294509193</v>
      </c>
      <c r="U82" s="16">
        <f t="shared" ca="1" si="30"/>
        <v>0.12649521461037946</v>
      </c>
      <c r="V82" s="16">
        <f t="shared" ca="1" si="31"/>
        <v>0.44639421161512499</v>
      </c>
      <c r="W82" s="16">
        <f t="shared" ca="1" si="32"/>
        <v>0.9581204170193186</v>
      </c>
      <c r="X82" s="16">
        <f t="shared" ca="1" si="33"/>
        <v>3.0293328567358233</v>
      </c>
      <c r="Y82" s="16">
        <f t="shared" ca="1" si="34"/>
        <v>3.2357060268541828</v>
      </c>
      <c r="Z82" s="16">
        <f t="shared" ca="1" si="56"/>
        <v>0</v>
      </c>
      <c r="AA82" s="16">
        <f t="shared" ca="1" si="35"/>
        <v>19.087901742186965</v>
      </c>
      <c r="AB82" s="16">
        <f t="shared" ca="1" si="36"/>
        <v>4.2272256250068745</v>
      </c>
      <c r="AC82" s="16">
        <f t="shared" ca="1" si="37"/>
        <v>0.51565281626255222</v>
      </c>
      <c r="AD82" s="16">
        <f t="shared" ca="1" si="38"/>
        <v>0</v>
      </c>
      <c r="AF82" s="16">
        <f t="shared" ca="1" si="19"/>
        <v>0.95182715530961259</v>
      </c>
      <c r="AG82" s="16">
        <f t="shared" ca="1" si="57"/>
        <v>1.0848650478290287E-3</v>
      </c>
      <c r="AH82" s="16">
        <f t="shared" ca="1" si="21"/>
        <v>1.0848650478290287E-3</v>
      </c>
      <c r="AI82" s="16">
        <f t="shared" ca="1" si="22"/>
        <v>2.0341219646794286E-3</v>
      </c>
      <c r="AJ82" s="16">
        <f t="shared" ca="1" si="42"/>
        <v>1.6612144562907051E-3</v>
      </c>
      <c r="AK82" s="16">
        <f t="shared" ca="1" si="43"/>
        <v>3.0416528957632365E-4</v>
      </c>
      <c r="AL82" s="16">
        <f t="shared" ca="1" si="58"/>
        <v>6.606942299574993E-4</v>
      </c>
      <c r="AM82" s="16">
        <f t="shared" ca="1" si="59"/>
        <v>2.9688688710213093E-3</v>
      </c>
    </row>
    <row r="83" spans="2:39" ht="16.5" x14ac:dyDescent="0.3">
      <c r="B83" s="44">
        <f t="shared" si="61"/>
        <v>57</v>
      </c>
      <c r="C83" s="44">
        <f t="shared" si="61"/>
        <v>57</v>
      </c>
      <c r="D83" s="44">
        <f t="shared" si="5"/>
        <v>0.2</v>
      </c>
      <c r="E83" s="14">
        <f t="shared" ca="1" si="44"/>
        <v>1.3553088656416916E-4</v>
      </c>
      <c r="F83" s="14">
        <f t="shared" ca="1" si="45"/>
        <v>1.2052194228389511E-4</v>
      </c>
      <c r="G83" s="14">
        <f t="shared" ca="1" si="46"/>
        <v>3.8426177179120335E-5</v>
      </c>
      <c r="H83" s="14">
        <f t="shared" ca="1" si="47"/>
        <v>1.7384820690794203E-4</v>
      </c>
      <c r="I83" s="14">
        <f t="shared" ca="1" si="48"/>
        <v>3.9361267983331724E-4</v>
      </c>
      <c r="J83" s="14">
        <f t="shared" ca="1" si="49"/>
        <v>1.2930601463873497E-3</v>
      </c>
      <c r="K83" s="14">
        <f t="shared" ca="1" si="50"/>
        <v>1.3248748625421386E-3</v>
      </c>
      <c r="L83" s="14">
        <f t="shared" ca="1" si="51"/>
        <v>0.91865533921090026</v>
      </c>
      <c r="M83" s="14">
        <f t="shared" ca="1" si="52"/>
        <v>4.3043166174505029E-2</v>
      </c>
      <c r="N83" s="14">
        <f t="shared" ca="1" si="53"/>
        <v>3.7179672480730014E-3</v>
      </c>
      <c r="O83" s="14">
        <f t="shared" ca="1" si="54"/>
        <v>2.8722469609755536E-3</v>
      </c>
      <c r="P83" s="14">
        <f t="shared" ca="1" si="55"/>
        <v>2.823140550384683E-2</v>
      </c>
      <c r="R83" s="44">
        <f t="shared" ca="1" si="41"/>
        <v>0.99999999999999856</v>
      </c>
      <c r="S83" s="16">
        <f t="shared" ca="1" si="17"/>
        <v>1.3883851785076771</v>
      </c>
      <c r="T83" s="16">
        <f t="shared" ca="1" si="29"/>
        <v>0.39669472889519314</v>
      </c>
      <c r="U83" s="16">
        <f t="shared" ca="1" si="30"/>
        <v>0.12647896949499754</v>
      </c>
      <c r="V83" s="16">
        <f t="shared" ca="1" si="31"/>
        <v>0.44263275224693982</v>
      </c>
      <c r="W83" s="16">
        <f t="shared" ca="1" si="32"/>
        <v>0.90458497899075951</v>
      </c>
      <c r="X83" s="16">
        <f t="shared" ca="1" si="33"/>
        <v>2.9334960254047293</v>
      </c>
      <c r="Y83" s="16">
        <f t="shared" ca="1" si="34"/>
        <v>3.1595070649796875</v>
      </c>
      <c r="Z83" s="16">
        <f t="shared" ca="1" si="56"/>
        <v>0</v>
      </c>
      <c r="AA83" s="16">
        <f t="shared" ca="1" si="35"/>
        <v>18.422881803611507</v>
      </c>
      <c r="AB83" s="16">
        <f t="shared" ca="1" si="36"/>
        <v>4.2271666738278055</v>
      </c>
      <c r="AC83" s="16">
        <f t="shared" ca="1" si="37"/>
        <v>0.51564562517690793</v>
      </c>
      <c r="AD83" s="16">
        <f t="shared" ca="1" si="38"/>
        <v>0</v>
      </c>
      <c r="AF83" s="16">
        <f t="shared" ca="1" si="19"/>
        <v>0.95347695892379569</v>
      </c>
      <c r="AG83" s="16">
        <f t="shared" ca="1" si="57"/>
        <v>1.0847245737786251E-3</v>
      </c>
      <c r="AH83" s="16">
        <f t="shared" ca="1" si="21"/>
        <v>1.0847245737786251E-3</v>
      </c>
      <c r="AI83" s="16">
        <f t="shared" ca="1" si="22"/>
        <v>2.0338585758349222E-3</v>
      </c>
      <c r="AJ83" s="16">
        <f t="shared" ca="1" si="42"/>
        <v>1.6609993534779349E-3</v>
      </c>
      <c r="AK83" s="16">
        <f t="shared" ca="1" si="43"/>
        <v>3.041259046497796E-4</v>
      </c>
      <c r="AL83" s="16">
        <f t="shared" ca="1" si="58"/>
        <v>6.4699137114270357E-4</v>
      </c>
      <c r="AM83" s="16">
        <f t="shared" ca="1" si="59"/>
        <v>2.8818096725792492E-3</v>
      </c>
    </row>
    <row r="84" spans="2:39" ht="16.5" x14ac:dyDescent="0.3">
      <c r="B84" s="44">
        <f t="shared" si="61"/>
        <v>58</v>
      </c>
      <c r="C84" s="44">
        <f t="shared" si="61"/>
        <v>58</v>
      </c>
      <c r="D84" s="44">
        <f t="shared" si="5"/>
        <v>0.2</v>
      </c>
      <c r="E84" s="14">
        <f t="shared" ca="1" si="44"/>
        <v>1.3551471975726962E-4</v>
      </c>
      <c r="F84" s="14">
        <f t="shared" ca="1" si="45"/>
        <v>1.205073240501556E-4</v>
      </c>
      <c r="G84" s="14">
        <f t="shared" ca="1" si="46"/>
        <v>3.8421377262099751E-5</v>
      </c>
      <c r="H84" s="14">
        <f t="shared" ca="1" si="47"/>
        <v>1.7246449974029856E-4</v>
      </c>
      <c r="I84" s="14">
        <f t="shared" ca="1" si="48"/>
        <v>3.7170034160138225E-4</v>
      </c>
      <c r="J84" s="14">
        <f t="shared" ca="1" si="49"/>
        <v>1.2521768246194292E-3</v>
      </c>
      <c r="K84" s="14">
        <f t="shared" ca="1" si="50"/>
        <v>1.2965604928720014E-3</v>
      </c>
      <c r="L84" s="14">
        <f t="shared" ca="1" si="51"/>
        <v>0.92012903451736616</v>
      </c>
      <c r="M84" s="14">
        <f t="shared" ca="1" si="52"/>
        <v>4.1548695481389487E-2</v>
      </c>
      <c r="N84" s="14">
        <f t="shared" ca="1" si="53"/>
        <v>3.7419930225772776E-3</v>
      </c>
      <c r="O84" s="14">
        <f t="shared" ca="1" si="54"/>
        <v>2.8802813740809903E-3</v>
      </c>
      <c r="P84" s="14">
        <f t="shared" ca="1" si="55"/>
        <v>2.8312650024682095E-2</v>
      </c>
      <c r="R84" s="44">
        <f t="shared" ca="1" si="41"/>
        <v>0.99999999999999867</v>
      </c>
      <c r="S84" s="16">
        <f t="shared" ca="1" si="17"/>
        <v>1.3882195649294577</v>
      </c>
      <c r="T84" s="16">
        <f t="shared" ca="1" si="29"/>
        <v>0.39664619670363555</v>
      </c>
      <c r="U84" s="16">
        <f t="shared" ca="1" si="30"/>
        <v>0.12646302525287723</v>
      </c>
      <c r="V84" s="16">
        <f t="shared" ca="1" si="31"/>
        <v>0.43904139698037348</v>
      </c>
      <c r="W84" s="16">
        <f t="shared" ca="1" si="32"/>
        <v>0.85416223157702709</v>
      </c>
      <c r="X84" s="16">
        <f t="shared" ca="1" si="33"/>
        <v>2.8407269054065143</v>
      </c>
      <c r="Y84" s="16">
        <f t="shared" ca="1" si="34"/>
        <v>3.0897547816588764</v>
      </c>
      <c r="Z84" s="16">
        <f t="shared" ca="1" si="56"/>
        <v>0</v>
      </c>
      <c r="AA84" s="16">
        <f t="shared" ca="1" si="35"/>
        <v>17.782478197993868</v>
      </c>
      <c r="AB84" s="16">
        <f t="shared" ca="1" si="36"/>
        <v>4.2270906631708645</v>
      </c>
      <c r="AC84" s="16">
        <f t="shared" ca="1" si="37"/>
        <v>0.51563635311224953</v>
      </c>
      <c r="AD84" s="16">
        <f t="shared" ca="1" si="38"/>
        <v>0</v>
      </c>
      <c r="AF84" s="16">
        <f t="shared" ca="1" si="19"/>
        <v>0.95506395893870655</v>
      </c>
      <c r="AG84" s="16">
        <f t="shared" ca="1" si="57"/>
        <v>1.0845867387560611E-3</v>
      </c>
      <c r="AH84" s="16">
        <f t="shared" ca="1" si="21"/>
        <v>1.0845867387560611E-3</v>
      </c>
      <c r="AI84" s="16">
        <f t="shared" ca="1" si="22"/>
        <v>2.0336001351676145E-3</v>
      </c>
      <c r="AJ84" s="16">
        <f t="shared" ca="1" si="42"/>
        <v>1.6607882917126725E-3</v>
      </c>
      <c r="AK84" s="16">
        <f t="shared" ca="1" si="43"/>
        <v>3.0408725963154817E-4</v>
      </c>
      <c r="AL84" s="16">
        <f t="shared" ca="1" si="58"/>
        <v>6.3386071476540277E-4</v>
      </c>
      <c r="AM84" s="16">
        <f t="shared" ca="1" si="59"/>
        <v>2.7997495260348817E-3</v>
      </c>
    </row>
    <row r="85" spans="2:39" ht="16.5" x14ac:dyDescent="0.3">
      <c r="B85" s="44">
        <f t="shared" si="61"/>
        <v>59</v>
      </c>
      <c r="C85" s="44">
        <f t="shared" si="61"/>
        <v>59</v>
      </c>
      <c r="D85" s="44">
        <f t="shared" si="5"/>
        <v>0.2</v>
      </c>
      <c r="E85" s="14">
        <f t="shared" ca="1" si="44"/>
        <v>1.3549881138078527E-4</v>
      </c>
      <c r="F85" s="14">
        <f t="shared" ca="1" si="45"/>
        <v>1.2049294787908315E-4</v>
      </c>
      <c r="G85" s="14">
        <f t="shared" ca="1" si="46"/>
        <v>3.8416661731414503E-5</v>
      </c>
      <c r="H85" s="14">
        <f t="shared" ca="1" si="47"/>
        <v>1.7114304059300683E-4</v>
      </c>
      <c r="I85" s="14">
        <f t="shared" ca="1" si="48"/>
        <v>3.5106309425877698E-4</v>
      </c>
      <c r="J85" s="14">
        <f t="shared" ca="1" si="49"/>
        <v>1.212604147740607E-3</v>
      </c>
      <c r="K85" s="14">
        <f t="shared" ca="1" si="50"/>
        <v>1.2704859187938479E-3</v>
      </c>
      <c r="L85" s="14">
        <f t="shared" ca="1" si="51"/>
        <v>0.92154418272440175</v>
      </c>
      <c r="M85" s="14">
        <f t="shared" ca="1" si="52"/>
        <v>4.0109631891733527E-2</v>
      </c>
      <c r="N85" s="14">
        <f t="shared" ca="1" si="53"/>
        <v>3.7650120380683834E-3</v>
      </c>
      <c r="O85" s="14">
        <f t="shared" ca="1" si="54"/>
        <v>2.8877754540150144E-3</v>
      </c>
      <c r="P85" s="14">
        <f t="shared" ca="1" si="55"/>
        <v>2.8393693269402356E-2</v>
      </c>
      <c r="R85" s="44">
        <f t="shared" ca="1" si="41"/>
        <v>0.99999999999999845</v>
      </c>
      <c r="S85" s="16">
        <f t="shared" ca="1" si="17"/>
        <v>1.3880565987253333</v>
      </c>
      <c r="T85" s="16">
        <f t="shared" ca="1" si="29"/>
        <v>0.39659848249627278</v>
      </c>
      <c r="U85" s="16">
        <f t="shared" ca="1" si="30"/>
        <v>0.12644736629909184</v>
      </c>
      <c r="V85" s="16">
        <f t="shared" ca="1" si="31"/>
        <v>0.43561189533295125</v>
      </c>
      <c r="W85" s="16">
        <f t="shared" ca="1" si="32"/>
        <v>0.80667284102818482</v>
      </c>
      <c r="X85" s="16">
        <f t="shared" ca="1" si="33"/>
        <v>2.7509303471054039</v>
      </c>
      <c r="Y85" s="16">
        <f t="shared" ca="1" si="34"/>
        <v>3.0256492531099535</v>
      </c>
      <c r="Z85" s="16">
        <f t="shared" ca="1" si="56"/>
        <v>0</v>
      </c>
      <c r="AA85" s="16">
        <f t="shared" ca="1" si="35"/>
        <v>17.165805288741055</v>
      </c>
      <c r="AB85" s="16">
        <f t="shared" ca="1" si="36"/>
        <v>4.226999346149535</v>
      </c>
      <c r="AC85" s="16">
        <f t="shared" ca="1" si="37"/>
        <v>0.51562521391992833</v>
      </c>
      <c r="AD85" s="16">
        <f t="shared" ca="1" si="38"/>
        <v>0</v>
      </c>
      <c r="AF85" s="16">
        <f t="shared" ca="1" si="19"/>
        <v>0.95659066348588739</v>
      </c>
      <c r="AG85" s="16">
        <f t="shared" ca="1" si="57"/>
        <v>1.0844514060789484E-3</v>
      </c>
      <c r="AH85" s="16">
        <f t="shared" ca="1" si="21"/>
        <v>1.0844514060789484E-3</v>
      </c>
      <c r="AI85" s="16">
        <f t="shared" ca="1" si="22"/>
        <v>2.0333463863980283E-3</v>
      </c>
      <c r="AJ85" s="16">
        <f t="shared" ca="1" si="42"/>
        <v>1.6605810616981392E-3</v>
      </c>
      <c r="AK85" s="16">
        <f t="shared" ca="1" si="43"/>
        <v>3.0404931619977717E-4</v>
      </c>
      <c r="AL85" s="16">
        <f t="shared" ca="1" si="58"/>
        <v>6.2127657141753778E-4</v>
      </c>
      <c r="AM85" s="16">
        <f t="shared" ca="1" si="59"/>
        <v>2.722248529722541E-3</v>
      </c>
    </row>
    <row r="86" spans="2:39" ht="16.5" x14ac:dyDescent="0.3">
      <c r="B86" s="44">
        <f t="shared" si="61"/>
        <v>60</v>
      </c>
      <c r="C86" s="44">
        <f t="shared" si="61"/>
        <v>60</v>
      </c>
      <c r="D86" s="44">
        <f t="shared" si="5"/>
        <v>0.2</v>
      </c>
      <c r="E86" s="14">
        <f t="shared" ca="1" si="44"/>
        <v>1.3548314848005279E-4</v>
      </c>
      <c r="F86" s="14">
        <f t="shared" ca="1" si="45"/>
        <v>1.204788015649801E-4</v>
      </c>
      <c r="G86" s="14">
        <f t="shared" ca="1" si="46"/>
        <v>3.8412026269858268E-5</v>
      </c>
      <c r="H86" s="14">
        <f t="shared" ca="1" si="47"/>
        <v>1.6988081205988884E-4</v>
      </c>
      <c r="I86" s="14">
        <f t="shared" ca="1" si="48"/>
        <v>3.3162724552931549E-4</v>
      </c>
      <c r="J86" s="14">
        <f t="shared" ca="1" si="49"/>
        <v>1.1743011703729642E-3</v>
      </c>
      <c r="K86" s="14">
        <f t="shared" ca="1" si="50"/>
        <v>1.2463867744660104E-3</v>
      </c>
      <c r="L86" s="14">
        <f t="shared" ca="1" si="51"/>
        <v>0.92290308648016406</v>
      </c>
      <c r="M86" s="14">
        <f t="shared" ca="1" si="52"/>
        <v>3.8723967649671245E-2</v>
      </c>
      <c r="N86" s="14">
        <f t="shared" ca="1" si="53"/>
        <v>3.7870657336570648E-3</v>
      </c>
      <c r="O86" s="14">
        <f t="shared" ca="1" si="54"/>
        <v>2.8947645974896747E-3</v>
      </c>
      <c r="P86" s="14">
        <f t="shared" ca="1" si="55"/>
        <v>2.8474545560273495E-2</v>
      </c>
      <c r="R86" s="44">
        <f t="shared" ca="1" si="41"/>
        <v>0.99999999999999867</v>
      </c>
      <c r="S86" s="16">
        <f t="shared" ca="1" si="17"/>
        <v>1.3878961471870848</v>
      </c>
      <c r="T86" s="16">
        <f t="shared" ca="1" si="29"/>
        <v>0.39655154489638106</v>
      </c>
      <c r="U86" s="16">
        <f t="shared" ca="1" si="30"/>
        <v>0.12643197797897451</v>
      </c>
      <c r="V86" s="16">
        <f t="shared" ca="1" si="31"/>
        <v>0.43233639943923496</v>
      </c>
      <c r="W86" s="16">
        <f t="shared" ca="1" si="32"/>
        <v>0.761947448661347</v>
      </c>
      <c r="X86" s="16">
        <f t="shared" ca="1" si="33"/>
        <v>2.6640136989449137</v>
      </c>
      <c r="Y86" s="16">
        <f t="shared" ca="1" si="34"/>
        <v>2.9665119999107321</v>
      </c>
      <c r="Z86" s="16">
        <f t="shared" ca="1" si="56"/>
        <v>0</v>
      </c>
      <c r="AA86" s="16">
        <f t="shared" ca="1" si="35"/>
        <v>16.572005127596405</v>
      </c>
      <c r="AB86" s="16">
        <f t="shared" ca="1" si="36"/>
        <v>4.2268942274558707</v>
      </c>
      <c r="AC86" s="16">
        <f t="shared" ca="1" si="37"/>
        <v>0.51561239114791746</v>
      </c>
      <c r="AD86" s="16">
        <f t="shared" ca="1" si="38"/>
        <v>0</v>
      </c>
      <c r="AF86" s="16">
        <f t="shared" ca="1" si="19"/>
        <v>0.95805946237158435</v>
      </c>
      <c r="AG86" s="16">
        <f t="shared" ca="1" si="57"/>
        <v>1.0843184471088037E-3</v>
      </c>
      <c r="AH86" s="16">
        <f t="shared" ca="1" si="21"/>
        <v>1.0843184471088037E-3</v>
      </c>
      <c r="AI86" s="16">
        <f t="shared" ca="1" si="22"/>
        <v>2.0330970883290071E-3</v>
      </c>
      <c r="AJ86" s="16">
        <f t="shared" ca="1" si="42"/>
        <v>1.6603774664548971E-3</v>
      </c>
      <c r="AK86" s="16">
        <f t="shared" ca="1" si="43"/>
        <v>3.0401203828789601E-4</v>
      </c>
      <c r="AL86" s="16">
        <f t="shared" ca="1" si="58"/>
        <v>6.0921443021977686E-4</v>
      </c>
      <c r="AM86" s="16">
        <f t="shared" ca="1" si="59"/>
        <v>2.648922870340519E-3</v>
      </c>
    </row>
    <row r="87" spans="2:39" ht="16.5" x14ac:dyDescent="0.3">
      <c r="B87" s="44">
        <f t="shared" si="61"/>
        <v>61</v>
      </c>
      <c r="C87" s="44">
        <f t="shared" si="61"/>
        <v>61</v>
      </c>
      <c r="D87" s="44">
        <f t="shared" si="5"/>
        <v>0.2</v>
      </c>
      <c r="E87" s="14">
        <f t="shared" ca="1" si="44"/>
        <v>1.3546771881784513E-4</v>
      </c>
      <c r="F87" s="14">
        <f t="shared" ca="1" si="45"/>
        <v>1.2046487358509079E-4</v>
      </c>
      <c r="G87" s="14">
        <f t="shared" ca="1" si="46"/>
        <v>3.8407466810384279E-5</v>
      </c>
      <c r="H87" s="14">
        <f t="shared" ca="1" si="47"/>
        <v>1.6867494569888105E-4</v>
      </c>
      <c r="I87" s="14">
        <f t="shared" ca="1" si="48"/>
        <v>3.1332324348935634E-4</v>
      </c>
      <c r="J87" s="14">
        <f t="shared" ca="1" si="49"/>
        <v>1.137228071112743E-3</v>
      </c>
      <c r="K87" s="14">
        <f t="shared" ca="1" si="50"/>
        <v>1.2240379366008809E-3</v>
      </c>
      <c r="L87" s="14">
        <f t="shared" ca="1" si="51"/>
        <v>0.92420794331886535</v>
      </c>
      <c r="M87" s="14">
        <f t="shared" ca="1" si="52"/>
        <v>3.738976023717322E-2</v>
      </c>
      <c r="N87" s="14">
        <f t="shared" ca="1" si="53"/>
        <v>3.8081938736527644E-3</v>
      </c>
      <c r="O87" s="14">
        <f t="shared" ca="1" si="54"/>
        <v>2.9012819009296472E-3</v>
      </c>
      <c r="P87" s="14">
        <f t="shared" ca="1" si="55"/>
        <v>2.8555216413262398E-2</v>
      </c>
      <c r="R87" s="44">
        <f t="shared" ca="1" si="41"/>
        <v>0.99999999999999856</v>
      </c>
      <c r="S87" s="16">
        <f t="shared" ca="1" si="17"/>
        <v>1.3877380849559462</v>
      </c>
      <c r="T87" s="16">
        <f t="shared" ca="1" si="29"/>
        <v>0.39650534485558692</v>
      </c>
      <c r="U87" s="16">
        <f t="shared" ca="1" si="30"/>
        <v>0.12641684649510493</v>
      </c>
      <c r="V87" s="16">
        <f t="shared" ca="1" si="31"/>
        <v>0.42920744745625811</v>
      </c>
      <c r="W87" s="16">
        <f t="shared" ca="1" si="32"/>
        <v>0.71982618030482404</v>
      </c>
      <c r="X87" s="16">
        <f t="shared" ca="1" si="33"/>
        <v>2.5798868175032772</v>
      </c>
      <c r="Y87" s="16">
        <f t="shared" ca="1" si="34"/>
        <v>2.9117660856989915</v>
      </c>
      <c r="Z87" s="16">
        <f t="shared" ca="1" si="56"/>
        <v>0</v>
      </c>
      <c r="AA87" s="16">
        <f t="shared" ca="1" si="35"/>
        <v>16.000247307733009</v>
      </c>
      <c r="AB87" s="16">
        <f t="shared" ca="1" si="36"/>
        <v>4.2267766032720493</v>
      </c>
      <c r="AC87" s="16">
        <f t="shared" ca="1" si="37"/>
        <v>0.51559804290937306</v>
      </c>
      <c r="AD87" s="16">
        <f t="shared" ca="1" si="38"/>
        <v>0</v>
      </c>
      <c r="AF87" s="16">
        <f t="shared" ca="1" si="19"/>
        <v>0.95947263550671014</v>
      </c>
      <c r="AG87" s="16">
        <f t="shared" ca="1" si="57"/>
        <v>1.0841877406716715E-3</v>
      </c>
      <c r="AH87" s="16">
        <f t="shared" ca="1" si="21"/>
        <v>1.0841877406716715E-3</v>
      </c>
      <c r="AI87" s="16">
        <f t="shared" ca="1" si="22"/>
        <v>2.0328520137593842E-3</v>
      </c>
      <c r="AJ87" s="16">
        <f t="shared" ca="1" si="42"/>
        <v>1.6601773204336671E-3</v>
      </c>
      <c r="AK87" s="16">
        <f t="shared" ca="1" si="43"/>
        <v>3.0397539192217581E-4</v>
      </c>
      <c r="AL87" s="16">
        <f t="shared" ca="1" si="58"/>
        <v>5.976509129600882E-4</v>
      </c>
      <c r="AM87" s="16">
        <f t="shared" ca="1" si="59"/>
        <v>2.5794362044690377E-3</v>
      </c>
    </row>
    <row r="88" spans="2:39" ht="16.5" x14ac:dyDescent="0.3">
      <c r="B88" s="44">
        <f t="shared" si="61"/>
        <v>62</v>
      </c>
      <c r="C88" s="44">
        <f t="shared" si="61"/>
        <v>62</v>
      </c>
      <c r="D88" s="44">
        <f t="shared" si="5"/>
        <v>0.2</v>
      </c>
      <c r="E88" s="14">
        <f t="shared" ca="1" si="44"/>
        <v>1.354525108282539E-4</v>
      </c>
      <c r="F88" s="14">
        <f t="shared" ca="1" si="45"/>
        <v>1.2045115305483786E-4</v>
      </c>
      <c r="G88" s="14">
        <f t="shared" ca="1" si="46"/>
        <v>3.8402979517960702E-5</v>
      </c>
      <c r="H88" s="14">
        <f t="shared" ca="1" si="47"/>
        <v>1.6752271550202628E-4</v>
      </c>
      <c r="I88" s="14">
        <f t="shared" ca="1" si="48"/>
        <v>2.9608546545883198E-4</v>
      </c>
      <c r="J88" s="14">
        <f t="shared" ca="1" si="49"/>
        <v>1.1013461471228293E-3</v>
      </c>
      <c r="K88" s="14">
        <f t="shared" ca="1" si="50"/>
        <v>1.2032471455225287E-3</v>
      </c>
      <c r="L88" s="14">
        <f t="shared" ca="1" si="51"/>
        <v>0.92546085280199275</v>
      </c>
      <c r="M88" s="14">
        <f t="shared" ca="1" si="52"/>
        <v>3.6105131533047057E-2</v>
      </c>
      <c r="N88" s="14">
        <f t="shared" ca="1" si="53"/>
        <v>3.8284346100421218E-3</v>
      </c>
      <c r="O88" s="14">
        <f t="shared" ca="1" si="54"/>
        <v>2.9073583056584253E-3</v>
      </c>
      <c r="P88" s="14">
        <f t="shared" ca="1" si="55"/>
        <v>2.8635714632250932E-2</v>
      </c>
      <c r="R88" s="44">
        <f t="shared" ca="1" si="41"/>
        <v>0.99999999999999856</v>
      </c>
      <c r="S88" s="16">
        <f t="shared" ca="1" si="17"/>
        <v>1.3875822935501743</v>
      </c>
      <c r="T88" s="16">
        <f t="shared" ca="1" si="29"/>
        <v>0.39645984549959895</v>
      </c>
      <c r="U88" s="16">
        <f t="shared" ca="1" si="30"/>
        <v>0.12640195884354599</v>
      </c>
      <c r="V88" s="16">
        <f t="shared" ca="1" si="31"/>
        <v>0.42621794696406229</v>
      </c>
      <c r="W88" s="16">
        <f t="shared" ca="1" si="32"/>
        <v>0.68015816822486175</v>
      </c>
      <c r="X88" s="16">
        <f t="shared" ca="1" si="33"/>
        <v>2.4984620622478797</v>
      </c>
      <c r="Y88" s="16">
        <f t="shared" ca="1" si="34"/>
        <v>2.8609195620447569</v>
      </c>
      <c r="Z88" s="16">
        <f t="shared" ca="1" si="56"/>
        <v>0</v>
      </c>
      <c r="AA88" s="16">
        <f t="shared" ca="1" si="35"/>
        <v>15.449728673476857</v>
      </c>
      <c r="AB88" s="16">
        <f t="shared" ca="1" si="36"/>
        <v>4.2266475945070763</v>
      </c>
      <c r="AC88" s="16">
        <f t="shared" ca="1" si="37"/>
        <v>0.51558230593697518</v>
      </c>
      <c r="AD88" s="16">
        <f t="shared" ca="1" si="38"/>
        <v>0</v>
      </c>
      <c r="AF88" s="16">
        <f t="shared" ca="1" si="19"/>
        <v>0.96083236034994424</v>
      </c>
      <c r="AG88" s="16">
        <f t="shared" ca="1" si="57"/>
        <v>1.0840591725339566E-3</v>
      </c>
      <c r="AH88" s="16">
        <f t="shared" ca="1" si="21"/>
        <v>1.0840591725339566E-3</v>
      </c>
      <c r="AI88" s="16">
        <f t="shared" ca="1" si="22"/>
        <v>2.0326109485011685E-3</v>
      </c>
      <c r="AJ88" s="16">
        <f t="shared" ca="1" si="42"/>
        <v>1.659980448712693E-3</v>
      </c>
      <c r="AK88" s="16">
        <f t="shared" ca="1" si="43"/>
        <v>3.0393934507476692E-4</v>
      </c>
      <c r="AL88" s="16">
        <f t="shared" ca="1" si="58"/>
        <v>5.8656372800750694E-4</v>
      </c>
      <c r="AM88" s="16">
        <f t="shared" ca="1" si="59"/>
        <v>2.5134924585537184E-3</v>
      </c>
    </row>
    <row r="89" spans="2:39" ht="16.5" x14ac:dyDescent="0.3">
      <c r="B89" s="44">
        <f t="shared" si="61"/>
        <v>63</v>
      </c>
      <c r="C89" s="44">
        <f t="shared" si="61"/>
        <v>63</v>
      </c>
      <c r="D89" s="44">
        <f t="shared" si="5"/>
        <v>0.2</v>
      </c>
      <c r="E89" s="14">
        <f t="shared" ca="1" si="44"/>
        <v>1.3543751357430483E-4</v>
      </c>
      <c r="F89" s="14">
        <f t="shared" ca="1" si="45"/>
        <v>1.2043762968679436E-4</v>
      </c>
      <c r="G89" s="14">
        <f t="shared" ca="1" si="46"/>
        <v>3.8398560773392383E-5</v>
      </c>
      <c r="H89" s="14">
        <f t="shared" ca="1" si="47"/>
        <v>1.6642153145416896E-4</v>
      </c>
      <c r="I89" s="14">
        <f t="shared" ca="1" si="48"/>
        <v>2.7985201379210155E-4</v>
      </c>
      <c r="J89" s="14">
        <f t="shared" ca="1" si="49"/>
        <v>1.066617803832234E-3</v>
      </c>
      <c r="K89" s="14">
        <f t="shared" ca="1" si="50"/>
        <v>1.183849695840697E-3</v>
      </c>
      <c r="L89" s="14">
        <f t="shared" ca="1" si="51"/>
        <v>0.92666382284706295</v>
      </c>
      <c r="M89" s="14">
        <f t="shared" ca="1" si="52"/>
        <v>3.4868266736418421E-2</v>
      </c>
      <c r="N89" s="14">
        <f t="shared" ca="1" si="53"/>
        <v>3.8478245435335976E-3</v>
      </c>
      <c r="O89" s="14">
        <f t="shared" ca="1" si="54"/>
        <v>2.9130227347063278E-3</v>
      </c>
      <c r="P89" s="14">
        <f t="shared" ca="1" si="55"/>
        <v>2.8716048389323616E-2</v>
      </c>
      <c r="R89" s="44">
        <f t="shared" ca="1" si="41"/>
        <v>0.99999999999999856</v>
      </c>
      <c r="S89" s="16">
        <f t="shared" ca="1" si="17"/>
        <v>1.3874286609308573</v>
      </c>
      <c r="T89" s="16">
        <f t="shared" ca="1" si="29"/>
        <v>0.39641501198702594</v>
      </c>
      <c r="U89" s="16">
        <f t="shared" ca="1" si="30"/>
        <v>0.12638730275736085</v>
      </c>
      <c r="V89" s="16">
        <f t="shared" ca="1" si="31"/>
        <v>0.42336115852118611</v>
      </c>
      <c r="W89" s="16">
        <f t="shared" ca="1" si="32"/>
        <v>0.64280108759106014</v>
      </c>
      <c r="X89" s="16">
        <f t="shared" ca="1" si="33"/>
        <v>2.4196542780035921</v>
      </c>
      <c r="Y89" s="16">
        <f t="shared" ca="1" si="34"/>
        <v>2.8135516920727661</v>
      </c>
      <c r="Z89" s="16">
        <f t="shared" ca="1" si="56"/>
        <v>0</v>
      </c>
      <c r="AA89" s="16">
        <f t="shared" ca="1" si="35"/>
        <v>14.919672917215685</v>
      </c>
      <c r="AB89" s="16">
        <f t="shared" ca="1" si="36"/>
        <v>4.2265081744890827</v>
      </c>
      <c r="AC89" s="16">
        <f t="shared" ca="1" si="37"/>
        <v>0.5155652989609345</v>
      </c>
      <c r="AD89" s="16">
        <f t="shared" ca="1" si="38"/>
        <v>0</v>
      </c>
      <c r="AF89" s="16">
        <f t="shared" ca="1" si="19"/>
        <v>0.96214071851462646</v>
      </c>
      <c r="AG89" s="16">
        <f t="shared" ca="1" si="57"/>
        <v>1.0839326349265798E-3</v>
      </c>
      <c r="AH89" s="16">
        <f t="shared" ca="1" si="21"/>
        <v>1.0839326349265798E-3</v>
      </c>
      <c r="AI89" s="16">
        <f t="shared" ca="1" si="22"/>
        <v>2.0323736904873371E-3</v>
      </c>
      <c r="AJ89" s="16">
        <f t="shared" ca="1" si="42"/>
        <v>1.6597866862690977E-3</v>
      </c>
      <c r="AK89" s="16">
        <f t="shared" ca="1" si="43"/>
        <v>3.0390386753028606E-4</v>
      </c>
      <c r="AL89" s="16">
        <f t="shared" ca="1" si="58"/>
        <v>5.7593162447717452E-4</v>
      </c>
      <c r="AM89" s="16">
        <f t="shared" ca="1" si="59"/>
        <v>2.4508298085033067E-3</v>
      </c>
    </row>
    <row r="90" spans="2:39" ht="16.5" x14ac:dyDescent="0.3">
      <c r="B90" s="44">
        <f t="shared" si="61"/>
        <v>64</v>
      </c>
      <c r="C90" s="44">
        <f t="shared" si="61"/>
        <v>64</v>
      </c>
      <c r="D90" s="44">
        <f t="shared" si="5"/>
        <v>0.2</v>
      </c>
      <c r="E90" s="14">
        <f t="shared" ca="1" si="44"/>
        <v>1.3542271670890639E-4</v>
      </c>
      <c r="F90" s="14">
        <f t="shared" ca="1" si="45"/>
        <v>1.204242937529774E-4</v>
      </c>
      <c r="G90" s="14">
        <f t="shared" ca="1" si="46"/>
        <v>3.8394207158756917E-5</v>
      </c>
      <c r="H90" s="14">
        <f t="shared" ca="1" si="47"/>
        <v>1.6536893322267952E-4</v>
      </c>
      <c r="I90" s="14">
        <f t="shared" ca="1" si="48"/>
        <v>2.6456451910325768E-4</v>
      </c>
      <c r="J90" s="14">
        <f t="shared" ca="1" si="49"/>
        <v>1.0330065407515023E-3</v>
      </c>
      <c r="K90" s="14">
        <f t="shared" ca="1" si="50"/>
        <v>1.1657040155293305E-3</v>
      </c>
      <c r="L90" s="14">
        <f t="shared" ca="1" si="51"/>
        <v>0.92781877536714152</v>
      </c>
      <c r="M90" s="14">
        <f t="shared" ca="1" si="52"/>
        <v>3.3677413108625667E-2</v>
      </c>
      <c r="N90" s="14">
        <f t="shared" ca="1" si="53"/>
        <v>3.866398783032765E-3</v>
      </c>
      <c r="O90" s="14">
        <f t="shared" ca="1" si="54"/>
        <v>2.9183022215817033E-3</v>
      </c>
      <c r="P90" s="14">
        <f t="shared" ca="1" si="55"/>
        <v>2.8796225293389509E-2</v>
      </c>
      <c r="R90" s="44">
        <f t="shared" ref="R90:R121" ca="1" si="62">SUM(E90:P90)</f>
        <v>0.99999999999999867</v>
      </c>
      <c r="S90" s="16">
        <f t="shared" ca="1" si="17"/>
        <v>1.3872770811018724</v>
      </c>
      <c r="T90" s="16">
        <f t="shared" ca="1" si="29"/>
        <v>0.39637081137980879</v>
      </c>
      <c r="U90" s="16">
        <f t="shared" ca="1" si="30"/>
        <v>0.12637286665602251</v>
      </c>
      <c r="V90" s="16">
        <f t="shared" ca="1" si="31"/>
        <v>0.4206306794987214</v>
      </c>
      <c r="W90" s="16">
        <f t="shared" ca="1" si="32"/>
        <v>0.60762070894021225</v>
      </c>
      <c r="X90" s="16">
        <f t="shared" ca="1" si="33"/>
        <v>2.3433807676250562</v>
      </c>
      <c r="Y90" s="16">
        <f t="shared" ca="1" si="34"/>
        <v>2.7693014819062829</v>
      </c>
      <c r="Z90" s="16">
        <f t="shared" ca="1" si="56"/>
        <v>0</v>
      </c>
      <c r="AA90" s="16">
        <f t="shared" ca="1" si="35"/>
        <v>14.409330088625943</v>
      </c>
      <c r="AB90" s="16">
        <f t="shared" ca="1" si="36"/>
        <v>4.2263591920511914</v>
      </c>
      <c r="AC90" s="16">
        <f t="shared" ca="1" si="37"/>
        <v>0.51554712552509596</v>
      </c>
      <c r="AD90" s="16">
        <f t="shared" ca="1" si="38"/>
        <v>0</v>
      </c>
      <c r="AF90" s="16">
        <f t="shared" ca="1" si="19"/>
        <v>0.96339970166514555</v>
      </c>
      <c r="AG90" s="16">
        <f t="shared" ca="1" si="57"/>
        <v>1.0838080261115872E-3</v>
      </c>
      <c r="AH90" s="16">
        <f t="shared" ca="1" si="21"/>
        <v>1.0838080261115872E-3</v>
      </c>
      <c r="AI90" s="16">
        <f t="shared" ca="1" si="22"/>
        <v>2.032140048959226E-3</v>
      </c>
      <c r="AJ90" s="16">
        <f t="shared" ref="AJ90:AJ121" ca="1" si="63">(AH90*(i_Adv_Fals/i_Adv_Alar)*i_Int_Kend_false)*AJ$25</f>
        <v>1.6595958773152457E-3</v>
      </c>
      <c r="AK90" s="16">
        <f t="shared" ref="AK90:AK121" ca="1" si="64">(AH90*(i_Adv_Lead/i_Adv_Alar)*i_Int_Kend_leadsoff)*AK$25</f>
        <v>3.0386893076430601E-4</v>
      </c>
      <c r="AL90" s="16">
        <f t="shared" ca="1" si="58"/>
        <v>5.6573434701711744E-4</v>
      </c>
      <c r="AM90" s="16">
        <f t="shared" ca="1" si="59"/>
        <v>2.3912156405734345E-3</v>
      </c>
    </row>
    <row r="91" spans="2:39" ht="16.5" x14ac:dyDescent="0.3">
      <c r="B91" s="44">
        <f t="shared" si="61"/>
        <v>65</v>
      </c>
      <c r="C91" s="44">
        <f t="shared" si="61"/>
        <v>65</v>
      </c>
      <c r="D91" s="44">
        <f t="shared" ref="D91:D136" si="65">ROUND(C91/365.25,1)</f>
        <v>0.2</v>
      </c>
      <c r="E91" s="14">
        <f t="shared" ref="E91:E117" ca="1" si="66">SUMPRODUCT($E90:$P90,$H$9:$S$9)</f>
        <v>1.3540811043878483E-4</v>
      </c>
      <c r="F91" s="14">
        <f t="shared" ref="F91:F117" ca="1" si="67">SUMPRODUCT($E90:$P90,$H$10:$S$10)</f>
        <v>1.2041113605010777E-4</v>
      </c>
      <c r="G91" s="14">
        <f t="shared" ref="G91:G117" ca="1" si="68">SUMPRODUCT($E90:$P90,$H$11:$S$11)</f>
        <v>3.8389915444195479E-5</v>
      </c>
      <c r="H91" s="14">
        <f t="shared" ref="H91:H117" ca="1" si="69">SUMPRODUCT($E90:$P90,$H$12:$S$12)</f>
        <v>1.6436258401005384E-4</v>
      </c>
      <c r="I91" s="14">
        <f t="shared" ref="I91:I117" ca="1" si="70">SUMPRODUCT($E90:$P90,$H$13:$S$13)</f>
        <v>2.5016795126882243E-4</v>
      </c>
      <c r="J91" s="14">
        <f t="shared" ref="J91:J117" ca="1" si="71">SUMPRODUCT($E90:$P90,$H$14:$S$14)</f>
        <v>1.0004769342362204E-3</v>
      </c>
      <c r="K91" s="14">
        <f t="shared" ref="K91:K117" ca="1" si="72">SUMPRODUCT($E90:$P90,$H$15:$S$15)</f>
        <v>1.1486879830042184E-3</v>
      </c>
      <c r="L91" s="14">
        <f t="shared" ref="L91:L117" ca="1" si="73">SUMPRODUCT($E90:$P90,$H$16:$S$16)</f>
        <v>0.9289275513239339</v>
      </c>
      <c r="M91" s="14">
        <f t="shared" ref="M91:M117" ca="1" si="74">SUMPRODUCT($E90:$P90,$H$17:$S$17)</f>
        <v>3.2530878577779941E-2</v>
      </c>
      <c r="N91" s="14">
        <f t="shared" ref="N91:N117" ca="1" si="75">SUMPRODUCT($E90:$P90,$H$18:$S$18)</f>
        <v>3.884191003451496E-3</v>
      </c>
      <c r="O91" s="14">
        <f t="shared" ref="O91:O117" ca="1" si="76">SUMPRODUCT($E90:$P90,$H$19:$S$19)</f>
        <v>2.9232220313607222E-3</v>
      </c>
      <c r="P91" s="14">
        <f t="shared" ref="P91:P117" ca="1" si="77">SUMPRODUCT($E90:$P90,$H$20:$S$20)</f>
        <v>2.887625244902E-2</v>
      </c>
      <c r="R91" s="44">
        <f t="shared" ca="1" si="62"/>
        <v>0.99999999999999856</v>
      </c>
      <c r="S91" s="16">
        <f t="shared" ref="S91:S136" ca="1" si="78">E91*S$25</f>
        <v>1.3871274537404337</v>
      </c>
      <c r="T91" s="16">
        <f t="shared" ca="1" si="29"/>
        <v>0.39632721252400005</v>
      </c>
      <c r="U91" s="16">
        <f t="shared" ca="1" si="30"/>
        <v>0.12635863959970955</v>
      </c>
      <c r="V91" s="16">
        <f t="shared" ca="1" si="31"/>
        <v>0.41802042828697006</v>
      </c>
      <c r="W91" s="16">
        <f t="shared" ca="1" si="32"/>
        <v>0.57449046761800915</v>
      </c>
      <c r="X91" s="16">
        <f t="shared" ca="1" si="33"/>
        <v>2.2695612569277634</v>
      </c>
      <c r="Y91" s="16">
        <f t="shared" ca="1" si="34"/>
        <v>2.727858129071568</v>
      </c>
      <c r="Z91" s="16">
        <f t="shared" ref="Z91:Z122" ca="1" si="79">(L91-OFFSET(L91,-IF(C91-C90&gt;i_Cos_Days,1,MIN(B91,i_Cos_Days)),0))*MIN(i_Cos_Days,($C91-$C90))</f>
        <v>0</v>
      </c>
      <c r="AA91" s="16">
        <f t="shared" ca="1" si="35"/>
        <v>13.917976036857754</v>
      </c>
      <c r="AB91" s="16">
        <f t="shared" ca="1" si="36"/>
        <v>4.2262013907898144</v>
      </c>
      <c r="AC91" s="16">
        <f t="shared" ca="1" si="37"/>
        <v>0.51552787633613462</v>
      </c>
      <c r="AD91" s="16">
        <f t="shared" ca="1" si="38"/>
        <v>0</v>
      </c>
      <c r="AF91" s="16">
        <f t="shared" ref="AF91:AF136" ca="1" si="80">SUM(L91:P91)-M91</f>
        <v>0.96461121680776618</v>
      </c>
      <c r="AG91" s="16">
        <f t="shared" ref="AG91:AG118" ca="1" si="81">MIN(1,SUM(OFFSET(E91,0,0,-i_Eve_ECG,1)))</f>
        <v>1.0836852499862028E-3</v>
      </c>
      <c r="AH91" s="16">
        <f t="shared" ref="AH91:AH136" ca="1" si="82">IF(AG91+AF91&gt;1,
IF(AG91-AF91&lt;0,AG91,AG91-AF91),AG91)</f>
        <v>1.0836852499862028E-3</v>
      </c>
      <c r="AI91" s="16">
        <f t="shared" ref="AI91:AI136" ca="1" si="83">AH91*AI$25</f>
        <v>2.0319098437241302E-3</v>
      </c>
      <c r="AJ91" s="16">
        <f t="shared" ca="1" si="63"/>
        <v>1.6594078746924458E-3</v>
      </c>
      <c r="AK91" s="16">
        <f t="shared" ca="1" si="64"/>
        <v>3.0383450783234286E-4</v>
      </c>
      <c r="AL91" s="16">
        <f t="shared" ref="AL91:AL122" ca="1" si="84">((SUM(F90:J90)-((I90+J90)*(1-i_Bac_ICU)))+(SUM(F91:J91)-((I91+J91)*(1-i_Bac_ICU))))/2*(C91-C90)</f>
        <v>5.5595259150097609E-4</v>
      </c>
      <c r="AM91" s="16">
        <f t="shared" ref="AM91:AM122" ca="1" si="85">(((I90+J90)*(1-i_Bac_ICU))+((I91+J91)*(1-i_Bac_ICU))+K90+E90+E91+K91)/2*(C91-C90)</f>
        <v>2.3344423288389309E-3</v>
      </c>
    </row>
    <row r="92" spans="2:39" ht="16.5" x14ac:dyDescent="0.3">
      <c r="B92" s="44">
        <f t="shared" ref="B92:C107" si="86">B91+1</f>
        <v>66</v>
      </c>
      <c r="C92" s="44">
        <f t="shared" si="86"/>
        <v>66</v>
      </c>
      <c r="D92" s="44">
        <f t="shared" si="65"/>
        <v>0.2</v>
      </c>
      <c r="E92" s="14">
        <f t="shared" ca="1" si="66"/>
        <v>1.3539368549110538E-4</v>
      </c>
      <c r="F92" s="14">
        <f t="shared" ca="1" si="67"/>
        <v>1.2039814786752677E-4</v>
      </c>
      <c r="G92" s="14">
        <f t="shared" ca="1" si="68"/>
        <v>3.838568257586148E-5</v>
      </c>
      <c r="H92" s="14">
        <f t="shared" ca="1" si="69"/>
        <v>1.6340026459272055E-4</v>
      </c>
      <c r="I92" s="14">
        <f t="shared" ca="1" si="70"/>
        <v>2.3661043839764143E-4</v>
      </c>
      <c r="J92" s="14">
        <f t="shared" ca="1" si="71"/>
        <v>9.6899461788424793E-4</v>
      </c>
      <c r="K92" s="14">
        <f t="shared" ca="1" si="72"/>
        <v>1.1326958573575226E-3</v>
      </c>
      <c r="L92" s="14">
        <f t="shared" ca="1" si="73"/>
        <v>0.92999191528029068</v>
      </c>
      <c r="M92" s="14">
        <f t="shared" ca="1" si="74"/>
        <v>3.1427030242227844E-2</v>
      </c>
      <c r="N92" s="14">
        <f t="shared" ca="1" si="75"/>
        <v>3.9012335017857055E-3</v>
      </c>
      <c r="O92" s="14">
        <f t="shared" ca="1" si="76"/>
        <v>2.9278057744579612E-3</v>
      </c>
      <c r="P92" s="14">
        <f t="shared" ca="1" si="77"/>
        <v>2.8956136507069463E-2</v>
      </c>
      <c r="R92" s="44">
        <f t="shared" ca="1" si="62"/>
        <v>0.99999999999999822</v>
      </c>
      <c r="S92" s="16">
        <f t="shared" ca="1" si="78"/>
        <v>1.386979683855158</v>
      </c>
      <c r="T92" s="16">
        <f t="shared" ref="T92:T136" ca="1" si="87">((F91+F92)/2)*T$25*($C92-$C91)</f>
        <v>0.39628418593979653</v>
      </c>
      <c r="U92" s="16">
        <f t="shared" ref="U92:U136" ca="1" si="88">((G91+G92)/2)*U$25*($C92-$C91)</f>
        <v>0.12634461124773644</v>
      </c>
      <c r="V92" s="16">
        <f t="shared" ref="V92:V136" ca="1" si="89">((H92+H91)/2)*V$25*($C92-$C91)</f>
        <v>0.41552462894465331</v>
      </c>
      <c r="W92" s="16">
        <f t="shared" ref="W92:W136" ca="1" si="90">((I91+I92)/2)*W$25*($C92-$C91)</f>
        <v>0.54329105079320228</v>
      </c>
      <c r="X92" s="16">
        <f t="shared" ref="X92:X136" ca="1" si="91">((J91+J92)/2)*X$25*($C92-$C91)</f>
        <v>2.1981178535719303</v>
      </c>
      <c r="Y92" s="16">
        <f t="shared" ref="Y92:Y136" ca="1" si="92">((K92+K91)/2)*Y$25*($C92-$C91)</f>
        <v>2.6889530634423662</v>
      </c>
      <c r="Z92" s="16">
        <f t="shared" ca="1" si="79"/>
        <v>0</v>
      </c>
      <c r="AA92" s="16">
        <f t="shared" ref="AA92:AA136" ca="1" si="93">((M91+M92)/2)*AA$25*($C92-$C91)</f>
        <v>13.444911802597938</v>
      </c>
      <c r="AB92" s="16">
        <f t="shared" ref="AB92:AB117" ca="1" si="94">(N92-(N91*$Q$18))*AB$25</f>
        <v>4.2260354251415988</v>
      </c>
      <c r="AC92" s="16">
        <f t="shared" ref="AC92:AC117" ca="1" si="95">(O92-(O91*$R$19))*AC$25</f>
        <v>0.51550763122468357</v>
      </c>
      <c r="AD92" s="16">
        <f t="shared" ref="AD92:AD136" ca="1" si="96">((P92-P91)*AD$25)</f>
        <v>0</v>
      </c>
      <c r="AF92" s="16">
        <f t="shared" ca="1" si="80"/>
        <v>0.96577709106360377</v>
      </c>
      <c r="AG92" s="16">
        <f t="shared" ca="1" si="81"/>
        <v>1.0835642157200384E-3</v>
      </c>
      <c r="AH92" s="16">
        <f t="shared" ca="1" si="82"/>
        <v>1.0835642157200384E-3</v>
      </c>
      <c r="AI92" s="16">
        <f t="shared" ca="1" si="83"/>
        <v>2.031682904475072E-3</v>
      </c>
      <c r="AJ92" s="16">
        <f t="shared" ca="1" si="63"/>
        <v>1.6592225393154221E-3</v>
      </c>
      <c r="AK92" s="16">
        <f t="shared" ca="1" si="64"/>
        <v>3.0380057326814038E-4</v>
      </c>
      <c r="AL92" s="16">
        <f t="shared" ca="1" si="84"/>
        <v>5.4656796184062361E-4</v>
      </c>
      <c r="AM92" s="16">
        <f t="shared" ca="1" si="85"/>
        <v>2.2803236924688912E-3</v>
      </c>
    </row>
    <row r="93" spans="2:39" ht="16.5" x14ac:dyDescent="0.3">
      <c r="B93" s="44">
        <f t="shared" si="86"/>
        <v>67</v>
      </c>
      <c r="C93" s="44">
        <f t="shared" si="86"/>
        <v>67</v>
      </c>
      <c r="D93" s="44">
        <f t="shared" si="65"/>
        <v>0.2</v>
      </c>
      <c r="E93" s="14">
        <f t="shared" ca="1" si="66"/>
        <v>1.3537943308251807E-4</v>
      </c>
      <c r="F93" s="14">
        <f t="shared" ca="1" si="67"/>
        <v>1.2038532095750303E-4</v>
      </c>
      <c r="G93" s="14">
        <f t="shared" ca="1" si="68"/>
        <v>3.8381505664873306E-5</v>
      </c>
      <c r="H93" s="14">
        <f t="shared" ca="1" si="69"/>
        <v>1.6247986756249996E-4</v>
      </c>
      <c r="I93" s="14">
        <f t="shared" ca="1" si="70"/>
        <v>2.2384309383631683E-4</v>
      </c>
      <c r="J93" s="14">
        <f t="shared" ca="1" si="71"/>
        <v>9.3852626113083914E-4</v>
      </c>
      <c r="K93" s="14">
        <f t="shared" ca="1" si="72"/>
        <v>1.1176357181196476E-3</v>
      </c>
      <c r="L93" s="14">
        <f t="shared" ca="1" si="73"/>
        <v>0.9310135595238761</v>
      </c>
      <c r="M93" s="14">
        <f t="shared" ca="1" si="74"/>
        <v>3.0364292802520617E-2</v>
      </c>
      <c r="N93" s="14">
        <f t="shared" ca="1" si="75"/>
        <v>3.9175572514217978E-3</v>
      </c>
      <c r="O93" s="14">
        <f t="shared" ca="1" si="76"/>
        <v>2.9320755134411782E-3</v>
      </c>
      <c r="P93" s="14">
        <f t="shared" ca="1" si="77"/>
        <v>2.9035883708384343E-2</v>
      </c>
      <c r="R93" s="44">
        <f t="shared" ca="1" si="62"/>
        <v>0.99999999999999833</v>
      </c>
      <c r="S93" s="16">
        <f t="shared" ca="1" si="78"/>
        <v>1.386833681468969</v>
      </c>
      <c r="T93" s="16">
        <f t="shared" ca="1" si="87"/>
        <v>0.39624170371987794</v>
      </c>
      <c r="U93" s="16">
        <f t="shared" ca="1" si="88"/>
        <v>0.12633077182054159</v>
      </c>
      <c r="V93" s="16">
        <f t="shared" ca="1" si="89"/>
        <v>0.41313779634110237</v>
      </c>
      <c r="W93" s="16">
        <f t="shared" ca="1" si="90"/>
        <v>0.51391000233234763</v>
      </c>
      <c r="X93" s="16">
        <f t="shared" ca="1" si="91"/>
        <v>2.1289750012940583</v>
      </c>
      <c r="Y93" s="16">
        <f t="shared" ca="1" si="92"/>
        <v>2.6523533114361668</v>
      </c>
      <c r="Z93" s="16">
        <f t="shared" ca="1" si="79"/>
        <v>0</v>
      </c>
      <c r="AA93" s="16">
        <f t="shared" ca="1" si="93"/>
        <v>12.989462973851799</v>
      </c>
      <c r="AB93" s="16">
        <f t="shared" ca="1" si="94"/>
        <v>4.225861873815794</v>
      </c>
      <c r="AC93" s="16">
        <f t="shared" ca="1" si="95"/>
        <v>0.51548646078386506</v>
      </c>
      <c r="AD93" s="16">
        <f t="shared" ca="1" si="96"/>
        <v>0</v>
      </c>
      <c r="AF93" s="16">
        <f t="shared" ca="1" si="80"/>
        <v>0.96689907599712355</v>
      </c>
      <c r="AG93" s="16">
        <f t="shared" ca="1" si="81"/>
        <v>1.0834448374217713E-3</v>
      </c>
      <c r="AH93" s="16">
        <f t="shared" ca="1" si="82"/>
        <v>1.0834448374217713E-3</v>
      </c>
      <c r="AI93" s="16">
        <f t="shared" ca="1" si="83"/>
        <v>2.0314590701658213E-3</v>
      </c>
      <c r="AJ93" s="16">
        <f t="shared" ca="1" si="63"/>
        <v>1.659039739661912E-3</v>
      </c>
      <c r="AK93" s="16">
        <f t="shared" ca="1" si="64"/>
        <v>3.0376710299021578E-4</v>
      </c>
      <c r="AL93" s="16">
        <f t="shared" ca="1" si="84"/>
        <v>5.3756292807555315E-4</v>
      </c>
      <c r="AM93" s="16">
        <f t="shared" ca="1" si="85"/>
        <v>2.228692019184859E-3</v>
      </c>
    </row>
    <row r="94" spans="2:39" ht="16.5" x14ac:dyDescent="0.3">
      <c r="B94" s="44">
        <f t="shared" si="86"/>
        <v>68</v>
      </c>
      <c r="C94" s="44">
        <f t="shared" si="86"/>
        <v>68</v>
      </c>
      <c r="D94" s="44">
        <f t="shared" si="65"/>
        <v>0.2</v>
      </c>
      <c r="E94" s="14">
        <f t="shared" ca="1" si="66"/>
        <v>1.3536534489039896E-4</v>
      </c>
      <c r="F94" s="14">
        <f t="shared" ca="1" si="67"/>
        <v>1.203726475076966E-4</v>
      </c>
      <c r="G94" s="14">
        <f t="shared" ca="1" si="68"/>
        <v>3.8377381977148359E-5</v>
      </c>
      <c r="H94" s="14">
        <f t="shared" ca="1" si="69"/>
        <v>1.6159939178160736E-4</v>
      </c>
      <c r="I94" s="14">
        <f t="shared" ca="1" si="70"/>
        <v>2.1181985118298515E-4</v>
      </c>
      <c r="J94" s="14">
        <f t="shared" ca="1" si="71"/>
        <v>9.0903954650513969E-4</v>
      </c>
      <c r="K94" s="14">
        <f t="shared" ca="1" si="72"/>
        <v>1.1034273285218095E-3</v>
      </c>
      <c r="L94" s="14">
        <f t="shared" ca="1" si="73"/>
        <v>0.9319941078220334</v>
      </c>
      <c r="M94" s="14">
        <f t="shared" ca="1" si="74"/>
        <v>2.9341146946006189E-2</v>
      </c>
      <c r="N94" s="14">
        <f t="shared" ca="1" si="75"/>
        <v>3.933191954652515E-3</v>
      </c>
      <c r="O94" s="14">
        <f t="shared" ca="1" si="76"/>
        <v>2.9360518632504553E-3</v>
      </c>
      <c r="P94" s="14">
        <f t="shared" ca="1" si="77"/>
        <v>2.9115499921688989E-2</v>
      </c>
      <c r="R94" s="44">
        <f t="shared" ca="1" si="62"/>
        <v>0.99999999999999822</v>
      </c>
      <c r="S94" s="16">
        <f t="shared" ca="1" si="78"/>
        <v>1.3866893613244913</v>
      </c>
      <c r="T94" s="16">
        <f t="shared" ca="1" si="87"/>
        <v>0.39619973943522874</v>
      </c>
      <c r="U94" s="16">
        <f t="shared" ca="1" si="88"/>
        <v>0.12631711206477833</v>
      </c>
      <c r="V94" s="16">
        <f t="shared" ca="1" si="89"/>
        <v>0.41085472182608546</v>
      </c>
      <c r="W94" s="16">
        <f t="shared" ca="1" si="90"/>
        <v>0.48624134558104926</v>
      </c>
      <c r="X94" s="16">
        <f t="shared" ca="1" si="91"/>
        <v>2.0620594306331341</v>
      </c>
      <c r="Y94" s="16">
        <f t="shared" ca="1" si="92"/>
        <v>2.6178559599239533</v>
      </c>
      <c r="Z94" s="16">
        <f t="shared" ca="1" si="79"/>
        <v>0</v>
      </c>
      <c r="AA94" s="16">
        <f t="shared" ca="1" si="93"/>
        <v>12.550979016736564</v>
      </c>
      <c r="AB94" s="16">
        <f t="shared" ca="1" si="94"/>
        <v>4.225681251027396</v>
      </c>
      <c r="AC94" s="16">
        <f t="shared" ca="1" si="95"/>
        <v>0.51546442773955092</v>
      </c>
      <c r="AD94" s="16">
        <f t="shared" ca="1" si="96"/>
        <v>0</v>
      </c>
      <c r="AF94" s="16">
        <f t="shared" ca="1" si="80"/>
        <v>0.96797885156162522</v>
      </c>
      <c r="AG94" s="16">
        <f t="shared" ca="1" si="81"/>
        <v>1.0833270338321175E-3</v>
      </c>
      <c r="AH94" s="16">
        <f t="shared" ca="1" si="82"/>
        <v>1.0833270338321175E-3</v>
      </c>
      <c r="AI94" s="16">
        <f t="shared" ca="1" si="83"/>
        <v>2.0312381884352204E-3</v>
      </c>
      <c r="AJ94" s="16">
        <f t="shared" ca="1" si="63"/>
        <v>1.6588593513025235E-3</v>
      </c>
      <c r="AK94" s="16">
        <f t="shared" ca="1" si="64"/>
        <v>3.03734074215778E-4</v>
      </c>
      <c r="AL94" s="16">
        <f t="shared" ca="1" si="84"/>
        <v>5.2892078584973815E-4</v>
      </c>
      <c r="AM94" s="16">
        <f t="shared" ca="1" si="85"/>
        <v>2.1793955605107535E-3</v>
      </c>
    </row>
    <row r="95" spans="2:39" ht="16.5" x14ac:dyDescent="0.3">
      <c r="B95" s="44">
        <f t="shared" si="86"/>
        <v>69</v>
      </c>
      <c r="C95" s="44">
        <f t="shared" si="86"/>
        <v>69</v>
      </c>
      <c r="D95" s="44">
        <f t="shared" si="65"/>
        <v>0.2</v>
      </c>
      <c r="E95" s="14">
        <f t="shared" ca="1" si="66"/>
        <v>1.353514130260865E-4</v>
      </c>
      <c r="F95" s="14">
        <f t="shared" ca="1" si="67"/>
        <v>1.2036012011557624E-4</v>
      </c>
      <c r="G95" s="14">
        <f t="shared" ca="1" si="68"/>
        <v>3.8373308924018019E-5</v>
      </c>
      <c r="H95" s="14">
        <f t="shared" ca="1" si="69"/>
        <v>1.6075693705764764E-4</v>
      </c>
      <c r="I95" s="14">
        <f t="shared" ca="1" si="70"/>
        <v>2.0049730720792148E-4</v>
      </c>
      <c r="J95" s="14">
        <f t="shared" ca="1" si="71"/>
        <v>8.8050314592813561E-4</v>
      </c>
      <c r="K95" s="14">
        <f t="shared" ca="1" si="72"/>
        <v>1.0900003508403811E-3</v>
      </c>
      <c r="L95" s="14">
        <f t="shared" ca="1" si="73"/>
        <v>0.93293511885814451</v>
      </c>
      <c r="M95" s="14">
        <f t="shared" ca="1" si="74"/>
        <v>2.8356127703623318E-2</v>
      </c>
      <c r="N95" s="14">
        <f t="shared" ca="1" si="75"/>
        <v>3.9481660933993693E-3</v>
      </c>
      <c r="O95" s="14">
        <f t="shared" ca="1" si="76"/>
        <v>2.9397540851753448E-3</v>
      </c>
      <c r="P95" s="14">
        <f t="shared" ca="1" si="77"/>
        <v>2.9194990676556069E-2</v>
      </c>
      <c r="R95" s="44">
        <f t="shared" ca="1" si="62"/>
        <v>0.99999999999999822</v>
      </c>
      <c r="S95" s="16">
        <f t="shared" ca="1" si="78"/>
        <v>1.3865466426098814</v>
      </c>
      <c r="T95" s="16">
        <f t="shared" ca="1" si="87"/>
        <v>0.39615826804772458</v>
      </c>
      <c r="U95" s="16">
        <f t="shared" ca="1" si="88"/>
        <v>0.12630362322114094</v>
      </c>
      <c r="V95" s="16">
        <f t="shared" ca="1" si="89"/>
        <v>0.4086704594492539</v>
      </c>
      <c r="W95" s="16">
        <f t="shared" ca="1" si="90"/>
        <v>0.46018522390805255</v>
      </c>
      <c r="X95" s="16">
        <f t="shared" ca="1" si="91"/>
        <v>1.9973001070929677</v>
      </c>
      <c r="Y95" s="16">
        <f t="shared" ca="1" si="92"/>
        <v>2.5852835342802463</v>
      </c>
      <c r="Z95" s="16">
        <f t="shared" ca="1" si="79"/>
        <v>0</v>
      </c>
      <c r="AA95" s="16">
        <f t="shared" ca="1" si="93"/>
        <v>12.128832590471868</v>
      </c>
      <c r="AB95" s="16">
        <f t="shared" ca="1" si="94"/>
        <v>4.2254940159010035</v>
      </c>
      <c r="AC95" s="16">
        <f t="shared" ca="1" si="95"/>
        <v>0.5154415880974812</v>
      </c>
      <c r="AD95" s="16">
        <f t="shared" ca="1" si="96"/>
        <v>0</v>
      </c>
      <c r="AF95" s="16">
        <f t="shared" ca="1" si="80"/>
        <v>0.96901802971327522</v>
      </c>
      <c r="AG95" s="16">
        <f t="shared" ca="1" si="81"/>
        <v>1.0832107280403589E-3</v>
      </c>
      <c r="AH95" s="16">
        <f t="shared" ca="1" si="82"/>
        <v>1.0832107280403589E-3</v>
      </c>
      <c r="AI95" s="16">
        <f t="shared" ca="1" si="83"/>
        <v>2.0310201150756731E-3</v>
      </c>
      <c r="AJ95" s="16">
        <f t="shared" ca="1" si="63"/>
        <v>1.6586812564666671E-3</v>
      </c>
      <c r="AK95" s="16">
        <f t="shared" ca="1" si="64"/>
        <v>3.0370146538125022E-4</v>
      </c>
      <c r="AL95" s="16">
        <f t="shared" ca="1" si="84"/>
        <v>5.2062561734946683E-4</v>
      </c>
      <c r="AM95" s="16">
        <f t="shared" ca="1" si="85"/>
        <v>2.132296420383809E-3</v>
      </c>
    </row>
    <row r="96" spans="2:39" ht="16.5" x14ac:dyDescent="0.3">
      <c r="B96" s="44">
        <f t="shared" si="86"/>
        <v>70</v>
      </c>
      <c r="C96" s="44">
        <f t="shared" si="86"/>
        <v>70</v>
      </c>
      <c r="D96" s="44">
        <f t="shared" si="65"/>
        <v>0.2</v>
      </c>
      <c r="E96" s="14">
        <f t="shared" ca="1" si="66"/>
        <v>1.3533763000993628E-4</v>
      </c>
      <c r="F96" s="14">
        <f t="shared" ca="1" si="67"/>
        <v>1.2034773176461196E-4</v>
      </c>
      <c r="G96" s="14">
        <f t="shared" ca="1" si="68"/>
        <v>3.8369284053539965E-5</v>
      </c>
      <c r="H96" s="14">
        <f t="shared" ca="1" si="69"/>
        <v>1.599506990415046E-4</v>
      </c>
      <c r="I96" s="14">
        <f t="shared" ca="1" si="70"/>
        <v>1.8983457252243359E-4</v>
      </c>
      <c r="J96" s="14">
        <f t="shared" ca="1" si="71"/>
        <v>8.5288669636303176E-4</v>
      </c>
      <c r="K96" s="14">
        <f t="shared" ca="1" si="72"/>
        <v>1.0772928545265421E-3</v>
      </c>
      <c r="L96" s="14">
        <f t="shared" ca="1" si="73"/>
        <v>0.93383808939168333</v>
      </c>
      <c r="M96" s="14">
        <f t="shared" ca="1" si="74"/>
        <v>2.7407822794727674E-2</v>
      </c>
      <c r="N96" s="14">
        <f t="shared" ca="1" si="75"/>
        <v>3.9625069781519815E-3</v>
      </c>
      <c r="O96" s="14">
        <f t="shared" ca="1" si="76"/>
        <v>2.9432001749345542E-3</v>
      </c>
      <c r="P96" s="14">
        <f t="shared" ca="1" si="77"/>
        <v>2.9274361192219357E-2</v>
      </c>
      <c r="R96" s="44">
        <f t="shared" ca="1" si="62"/>
        <v>0.99999999999999856</v>
      </c>
      <c r="S96" s="16">
        <f t="shared" ca="1" si="78"/>
        <v>1.3864054487032875</v>
      </c>
      <c r="T96" s="16">
        <f t="shared" ca="1" si="87"/>
        <v>0.39611726582885348</v>
      </c>
      <c r="U96" s="16">
        <f t="shared" ca="1" si="88"/>
        <v>0.12629029699462363</v>
      </c>
      <c r="V96" s="16">
        <f t="shared" ca="1" si="89"/>
        <v>0.40658031274106121</v>
      </c>
      <c r="W96" s="16">
        <f t="shared" ca="1" si="90"/>
        <v>0.43564755872193645</v>
      </c>
      <c r="X96" s="16">
        <f t="shared" ca="1" si="91"/>
        <v>1.9346281775119476</v>
      </c>
      <c r="Y96" s="16">
        <f t="shared" ca="1" si="92"/>
        <v>2.5544801365057239</v>
      </c>
      <c r="Z96" s="16">
        <f t="shared" ca="1" si="79"/>
        <v>0</v>
      </c>
      <c r="AA96" s="16">
        <f t="shared" ca="1" si="93"/>
        <v>11.722418854010854</v>
      </c>
      <c r="AB96" s="16">
        <f t="shared" ca="1" si="94"/>
        <v>4.2253005803525392</v>
      </c>
      <c r="AC96" s="16">
        <f t="shared" ca="1" si="95"/>
        <v>0.51541799210470174</v>
      </c>
      <c r="AD96" s="16">
        <f t="shared" ca="1" si="96"/>
        <v>0</v>
      </c>
      <c r="AF96" s="16">
        <f t="shared" ca="1" si="80"/>
        <v>0.97001815773698929</v>
      </c>
      <c r="AG96" s="16">
        <f t="shared" ca="1" si="81"/>
        <v>1.0830958472220413E-3</v>
      </c>
      <c r="AH96" s="16">
        <f t="shared" ca="1" si="82"/>
        <v>1.0830958472220413E-3</v>
      </c>
      <c r="AI96" s="16">
        <f t="shared" ca="1" si="83"/>
        <v>2.0308047135413274E-3</v>
      </c>
      <c r="AJ96" s="16">
        <f t="shared" ca="1" si="63"/>
        <v>1.6585053436408996E-3</v>
      </c>
      <c r="AK96" s="16">
        <f t="shared" ca="1" si="64"/>
        <v>3.0366925606872765E-4</v>
      </c>
      <c r="AL96" s="16">
        <f t="shared" ca="1" si="84"/>
        <v>5.1266225374582653E-4</v>
      </c>
      <c r="AM96" s="16">
        <f t="shared" ca="1" si="85"/>
        <v>2.0872687719448568E-3</v>
      </c>
    </row>
    <row r="97" spans="2:39" ht="16.5" x14ac:dyDescent="0.3">
      <c r="B97" s="44">
        <f t="shared" si="86"/>
        <v>71</v>
      </c>
      <c r="C97" s="44">
        <f t="shared" si="86"/>
        <v>71</v>
      </c>
      <c r="D97" s="44">
        <f t="shared" si="65"/>
        <v>0.2</v>
      </c>
      <c r="E97" s="14">
        <f t="shared" ca="1" si="66"/>
        <v>1.3532398874803794E-4</v>
      </c>
      <c r="F97" s="14">
        <f t="shared" ca="1" si="67"/>
        <v>1.203354758020851E-4</v>
      </c>
      <c r="G97" s="14">
        <f t="shared" ca="1" si="68"/>
        <v>3.8365305042437391E-5</v>
      </c>
      <c r="H97" s="14">
        <f t="shared" ca="1" si="69"/>
        <v>1.5917896434823375E-4</v>
      </c>
      <c r="I97" s="14">
        <f t="shared" ca="1" si="70"/>
        <v>1.7979312979457692E-4</v>
      </c>
      <c r="J97" s="14">
        <f t="shared" ca="1" si="71"/>
        <v>8.2616077507181428E-4</v>
      </c>
      <c r="K97" s="14">
        <f t="shared" ca="1" si="72"/>
        <v>1.0652500678850806E-3</v>
      </c>
      <c r="L97" s="14">
        <f t="shared" ca="1" si="73"/>
        <v>0.93470445717742423</v>
      </c>
      <c r="M97" s="14">
        <f t="shared" ca="1" si="74"/>
        <v>2.6494870972683219E-2</v>
      </c>
      <c r="N97" s="14">
        <f t="shared" ca="1" si="75"/>
        <v>3.9762407951450399E-3</v>
      </c>
      <c r="O97" s="14">
        <f t="shared" ca="1" si="76"/>
        <v>2.9464069451917811E-3</v>
      </c>
      <c r="P97" s="14">
        <f t="shared" ca="1" si="77"/>
        <v>2.9353616402861927E-2</v>
      </c>
      <c r="R97" s="44">
        <f t="shared" ca="1" si="62"/>
        <v>0.99999999999999845</v>
      </c>
      <c r="S97" s="16">
        <f t="shared" ca="1" si="78"/>
        <v>1.386265706934338</v>
      </c>
      <c r="T97" s="16">
        <f t="shared" ca="1" si="87"/>
        <v>0.39607671028402153</v>
      </c>
      <c r="U97" s="16">
        <f t="shared" ca="1" si="88"/>
        <v>0.12627712552695872</v>
      </c>
      <c r="V97" s="16">
        <f t="shared" ca="1" si="89"/>
        <v>0.40457982205897469</v>
      </c>
      <c r="W97" s="16">
        <f t="shared" ca="1" si="90"/>
        <v>0.41253972455860771</v>
      </c>
      <c r="X97" s="16">
        <f t="shared" ca="1" si="91"/>
        <v>1.8739769152705112</v>
      </c>
      <c r="Y97" s="16">
        <f t="shared" ca="1" si="92"/>
        <v>2.5253082155004591</v>
      </c>
      <c r="Z97" s="16">
        <f t="shared" ca="1" si="79"/>
        <v>0</v>
      </c>
      <c r="AA97" s="16">
        <f t="shared" ca="1" si="93"/>
        <v>11.331154770316282</v>
      </c>
      <c r="AB97" s="16">
        <f t="shared" ca="1" si="94"/>
        <v>4.2251013157038928</v>
      </c>
      <c r="AC97" s="16">
        <f t="shared" ca="1" si="95"/>
        <v>0.51539368505644445</v>
      </c>
      <c r="AD97" s="16">
        <f t="shared" ca="1" si="96"/>
        <v>0</v>
      </c>
      <c r="AF97" s="16">
        <f t="shared" ca="1" si="80"/>
        <v>0.97098072132062296</v>
      </c>
      <c r="AG97" s="16">
        <f t="shared" ca="1" si="81"/>
        <v>1.0829823223957745E-3</v>
      </c>
      <c r="AH97" s="16">
        <f t="shared" ca="1" si="82"/>
        <v>1.0829823223957745E-3</v>
      </c>
      <c r="AI97" s="16">
        <f t="shared" ca="1" si="83"/>
        <v>2.0305918544920773E-3</v>
      </c>
      <c r="AJ97" s="16">
        <f t="shared" ca="1" si="63"/>
        <v>1.6583315071965236E-3</v>
      </c>
      <c r="AK97" s="16">
        <f t="shared" ca="1" si="64"/>
        <v>3.0363742693779137E-4</v>
      </c>
      <c r="AL97" s="16">
        <f t="shared" ca="1" si="84"/>
        <v>5.0501623916176434E-4</v>
      </c>
      <c r="AM97" s="16">
        <f t="shared" ca="1" si="85"/>
        <v>2.0441973483251688E-3</v>
      </c>
    </row>
    <row r="98" spans="2:39" ht="16.5" x14ac:dyDescent="0.3">
      <c r="B98" s="44">
        <f t="shared" si="86"/>
        <v>72</v>
      </c>
      <c r="C98" s="44">
        <f t="shared" si="86"/>
        <v>72</v>
      </c>
      <c r="D98" s="44">
        <f t="shared" si="65"/>
        <v>0.2</v>
      </c>
      <c r="E98" s="14">
        <f t="shared" ca="1" si="66"/>
        <v>1.3531048251045523E-4</v>
      </c>
      <c r="F98" s="14">
        <f t="shared" ca="1" si="67"/>
        <v>1.2032334591837726E-4</v>
      </c>
      <c r="G98" s="14">
        <f t="shared" ca="1" si="68"/>
        <v>3.8361369688604722E-5</v>
      </c>
      <c r="H98" s="14">
        <f t="shared" ca="1" si="69"/>
        <v>1.5844010589887746E-4</v>
      </c>
      <c r="I98" s="14">
        <f t="shared" ca="1" si="70"/>
        <v>1.703366992787176E-4</v>
      </c>
      <c r="J98" s="14">
        <f t="shared" ca="1" si="71"/>
        <v>8.0029687468438138E-4</v>
      </c>
      <c r="K98" s="14">
        <f t="shared" ca="1" si="72"/>
        <v>1.0538233324153979E-3</v>
      </c>
      <c r="L98" s="14">
        <f t="shared" ca="1" si="73"/>
        <v>0.93553560367366639</v>
      </c>
      <c r="M98" s="14">
        <f t="shared" ca="1" si="74"/>
        <v>2.5615960381397535E-2</v>
      </c>
      <c r="N98" s="14">
        <f t="shared" ca="1" si="75"/>
        <v>3.9893926518016929E-3</v>
      </c>
      <c r="O98" s="14">
        <f t="shared" ca="1" si="76"/>
        <v>2.9493901028290431E-3</v>
      </c>
      <c r="P98" s="14">
        <f t="shared" ca="1" si="77"/>
        <v>2.9432760979909045E-2</v>
      </c>
      <c r="R98" s="44">
        <f t="shared" ca="1" si="62"/>
        <v>0.99999999999999845</v>
      </c>
      <c r="S98" s="16">
        <f t="shared" ca="1" si="78"/>
        <v>1.3861273483612289</v>
      </c>
      <c r="T98" s="16">
        <f t="shared" ca="1" si="87"/>
        <v>0.39603658008195308</v>
      </c>
      <c r="U98" s="16">
        <f t="shared" ca="1" si="88"/>
        <v>0.12626410137101848</v>
      </c>
      <c r="V98" s="16">
        <f t="shared" ca="1" si="89"/>
        <v>0.40266475249647765</v>
      </c>
      <c r="W98" s="16">
        <f t="shared" ca="1" si="90"/>
        <v>0.39077824075471623</v>
      </c>
      <c r="X98" s="16">
        <f t="shared" ca="1" si="91"/>
        <v>1.8152816648498875</v>
      </c>
      <c r="Y98" s="16">
        <f t="shared" ca="1" si="92"/>
        <v>2.4976458632641592</v>
      </c>
      <c r="Z98" s="16">
        <f t="shared" ca="1" si="79"/>
        <v>0</v>
      </c>
      <c r="AA98" s="16">
        <f t="shared" ca="1" si="93"/>
        <v>10.954478413098085</v>
      </c>
      <c r="AB98" s="16">
        <f t="shared" ca="1" si="94"/>
        <v>4.2248965582421611</v>
      </c>
      <c r="AC98" s="16">
        <f t="shared" ca="1" si="95"/>
        <v>0.51536870797427259</v>
      </c>
      <c r="AD98" s="16">
        <f t="shared" ca="1" si="96"/>
        <v>0</v>
      </c>
      <c r="AF98" s="16">
        <f t="shared" ca="1" si="80"/>
        <v>0.97190714740820605</v>
      </c>
      <c r="AG98" s="16">
        <f t="shared" ca="1" si="81"/>
        <v>1.0828700881973232E-3</v>
      </c>
      <c r="AH98" s="16">
        <f t="shared" ca="1" si="82"/>
        <v>1.0828700881973232E-3</v>
      </c>
      <c r="AI98" s="16">
        <f t="shared" ca="1" si="83"/>
        <v>2.030381415369981E-3</v>
      </c>
      <c r="AJ98" s="16">
        <f t="shared" ca="1" si="63"/>
        <v>1.6581596470436589E-3</v>
      </c>
      <c r="AK98" s="16">
        <f t="shared" ca="1" si="64"/>
        <v>3.0360595966216975E-4</v>
      </c>
      <c r="AL98" s="16">
        <f t="shared" ca="1" si="84"/>
        <v>4.9767379616486463E-4</v>
      </c>
      <c r="AM98" s="16">
        <f t="shared" ca="1" si="85"/>
        <v>2.0029761623786739E-3</v>
      </c>
    </row>
    <row r="99" spans="2:39" ht="16.5" x14ac:dyDescent="0.3">
      <c r="B99" s="44">
        <f t="shared" si="86"/>
        <v>73</v>
      </c>
      <c r="C99" s="44">
        <f t="shared" si="86"/>
        <v>73</v>
      </c>
      <c r="D99" s="44">
        <f t="shared" si="65"/>
        <v>0.2</v>
      </c>
      <c r="E99" s="14">
        <f t="shared" ca="1" si="66"/>
        <v>1.352971049108666E-4</v>
      </c>
      <c r="F99" s="14">
        <f t="shared" ca="1" si="67"/>
        <v>1.2031133612761433E-4</v>
      </c>
      <c r="G99" s="14">
        <f t="shared" ca="1" si="68"/>
        <v>3.8357475904127554E-5</v>
      </c>
      <c r="H99" s="14">
        <f t="shared" ca="1" si="69"/>
        <v>1.5773257847943159E-4</v>
      </c>
      <c r="I99" s="14">
        <f t="shared" ca="1" si="70"/>
        <v>1.6143111140370773E-4</v>
      </c>
      <c r="J99" s="14">
        <f t="shared" ca="1" si="71"/>
        <v>7.7526737824743061E-4</v>
      </c>
      <c r="K99" s="14">
        <f t="shared" ca="1" si="72"/>
        <v>1.0429692258571511E-3</v>
      </c>
      <c r="L99" s="14">
        <f t="shared" ca="1" si="73"/>
        <v>0.93633285656466159</v>
      </c>
      <c r="M99" s="14">
        <f t="shared" ca="1" si="74"/>
        <v>2.4769826930873564E-2</v>
      </c>
      <c r="N99" s="14">
        <f t="shared" ca="1" si="75"/>
        <v>4.0019866204784715E-3</v>
      </c>
      <c r="O99" s="14">
        <f t="shared" ca="1" si="76"/>
        <v>2.9521643212857347E-3</v>
      </c>
      <c r="P99" s="14">
        <f t="shared" ca="1" si="77"/>
        <v>2.9511799351768793E-2</v>
      </c>
      <c r="R99" s="44">
        <f t="shared" ca="1" si="62"/>
        <v>0.99999999999999856</v>
      </c>
      <c r="S99" s="16">
        <f t="shared" ca="1" si="78"/>
        <v>1.3859903075621629</v>
      </c>
      <c r="T99" s="16">
        <f t="shared" ca="1" si="87"/>
        <v>0.39599685498875536</v>
      </c>
      <c r="U99" s="16">
        <f t="shared" ca="1" si="88"/>
        <v>0.12625121746699597</v>
      </c>
      <c r="V99" s="16">
        <f t="shared" ca="1" si="89"/>
        <v>0.40083108234744508</v>
      </c>
      <c r="W99" s="16">
        <f t="shared" ca="1" si="90"/>
        <v>0.37028447916210561</v>
      </c>
      <c r="X99" s="16">
        <f t="shared" ca="1" si="91"/>
        <v>1.7584797861590518</v>
      </c>
      <c r="Y99" s="16">
        <f t="shared" ca="1" si="92"/>
        <v>2.47138454880794</v>
      </c>
      <c r="Z99" s="16">
        <f t="shared" ca="1" si="79"/>
        <v>0</v>
      </c>
      <c r="AA99" s="16">
        <f t="shared" ca="1" si="93"/>
        <v>10.591848279849069</v>
      </c>
      <c r="AB99" s="16">
        <f t="shared" ca="1" si="94"/>
        <v>4.2246866138998662</v>
      </c>
      <c r="AC99" s="16">
        <f t="shared" ca="1" si="95"/>
        <v>0.51534309817698165</v>
      </c>
      <c r="AD99" s="16">
        <f t="shared" ca="1" si="96"/>
        <v>0</v>
      </c>
      <c r="AF99" s="16">
        <f t="shared" ca="1" si="80"/>
        <v>0.97279880685819464</v>
      </c>
      <c r="AG99" s="16">
        <f t="shared" ca="1" si="81"/>
        <v>1.0827590826694049E-3</v>
      </c>
      <c r="AH99" s="16">
        <f t="shared" ca="1" si="82"/>
        <v>1.0827590826694049E-3</v>
      </c>
      <c r="AI99" s="16">
        <f t="shared" ca="1" si="83"/>
        <v>2.0301732800051342E-3</v>
      </c>
      <c r="AJ99" s="16">
        <f t="shared" ca="1" si="63"/>
        <v>1.6579896683093685E-3</v>
      </c>
      <c r="AK99" s="16">
        <f t="shared" ca="1" si="64"/>
        <v>3.0357483687080375E-4</v>
      </c>
      <c r="AL99" s="16">
        <f t="shared" ca="1" si="84"/>
        <v>4.9062179277228066E-4</v>
      </c>
      <c r="AM99" s="16">
        <f t="shared" ca="1" si="85"/>
        <v>1.9635074178902898E-3</v>
      </c>
    </row>
    <row r="100" spans="2:39" ht="16.5" x14ac:dyDescent="0.3">
      <c r="B100" s="44">
        <f t="shared" si="86"/>
        <v>74</v>
      </c>
      <c r="C100" s="44">
        <f t="shared" si="86"/>
        <v>74</v>
      </c>
      <c r="D100" s="44">
        <f t="shared" si="65"/>
        <v>0.2</v>
      </c>
      <c r="E100" s="14">
        <f t="shared" ca="1" si="66"/>
        <v>1.3528384988749484E-4</v>
      </c>
      <c r="F100" s="14">
        <f t="shared" ca="1" si="67"/>
        <v>1.2029944074955635E-4</v>
      </c>
      <c r="G100" s="14">
        <f t="shared" ca="1" si="68"/>
        <v>3.8353621708771402E-5</v>
      </c>
      <c r="H100" s="14">
        <f t="shared" ca="1" si="69"/>
        <v>1.5705491451190902E-4</v>
      </c>
      <c r="I100" s="14">
        <f t="shared" ca="1" si="70"/>
        <v>1.5304418614961153E-4</v>
      </c>
      <c r="J100" s="14">
        <f t="shared" ca="1" si="71"/>
        <v>7.5104553438787097E-4</v>
      </c>
      <c r="K100" s="14">
        <f t="shared" ca="1" si="72"/>
        <v>1.0326488257342264E-3</v>
      </c>
      <c r="L100" s="14">
        <f t="shared" ca="1" si="73"/>
        <v>0.93709749211855231</v>
      </c>
      <c r="M100" s="14">
        <f t="shared" ca="1" si="74"/>
        <v>2.3955252698115773E-2</v>
      </c>
      <c r="N100" s="14">
        <f t="shared" ca="1" si="75"/>
        <v>4.0140457805515469E-3</v>
      </c>
      <c r="O100" s="14">
        <f t="shared" ca="1" si="76"/>
        <v>2.9547433082579744E-3</v>
      </c>
      <c r="P100" s="14">
        <f t="shared" ca="1" si="77"/>
        <v>2.9590735721391547E-2</v>
      </c>
      <c r="R100" s="44">
        <f t="shared" ca="1" si="62"/>
        <v>0.99999999999999867</v>
      </c>
      <c r="S100" s="16">
        <f t="shared" ca="1" si="78"/>
        <v>1.3858545224399914</v>
      </c>
      <c r="T100" s="16">
        <f t="shared" ca="1" si="87"/>
        <v>0.39595751580626276</v>
      </c>
      <c r="U100" s="16">
        <f t="shared" ca="1" si="88"/>
        <v>0.12623846712020298</v>
      </c>
      <c r="V100" s="16">
        <f t="shared" ca="1" si="89"/>
        <v>0.39907499211470199</v>
      </c>
      <c r="W100" s="16">
        <f t="shared" ca="1" si="90"/>
        <v>0.35098438731701659</v>
      </c>
      <c r="X100" s="16">
        <f t="shared" ca="1" si="91"/>
        <v>1.703510598966911</v>
      </c>
      <c r="Y100" s="16">
        <f t="shared" ca="1" si="92"/>
        <v>2.4464272165081771</v>
      </c>
      <c r="Z100" s="16">
        <f t="shared" ca="1" si="79"/>
        <v>0</v>
      </c>
      <c r="AA100" s="16">
        <f t="shared" ca="1" si="93"/>
        <v>10.242742614207994</v>
      </c>
      <c r="AB100" s="16">
        <f t="shared" ca="1" si="94"/>
        <v>4.2244717622019259</v>
      </c>
      <c r="AC100" s="16">
        <f t="shared" ca="1" si="95"/>
        <v>0.51531688976206602</v>
      </c>
      <c r="AD100" s="16">
        <f t="shared" ca="1" si="96"/>
        <v>0</v>
      </c>
      <c r="AF100" s="16">
        <f t="shared" ca="1" si="80"/>
        <v>0.97365701692875339</v>
      </c>
      <c r="AG100" s="16">
        <f t="shared" ca="1" si="81"/>
        <v>1.0826492470657947E-3</v>
      </c>
      <c r="AH100" s="16">
        <f t="shared" ca="1" si="82"/>
        <v>1.0826492470657947E-3</v>
      </c>
      <c r="AI100" s="16">
        <f t="shared" ca="1" si="83"/>
        <v>2.0299673382483648E-3</v>
      </c>
      <c r="AJ100" s="16">
        <f t="shared" ca="1" si="63"/>
        <v>1.6578214810376907E-3</v>
      </c>
      <c r="AK100" s="16">
        <f t="shared" ca="1" si="64"/>
        <v>3.0354404209292354E-4</v>
      </c>
      <c r="AL100" s="16">
        <f t="shared" ca="1" si="84"/>
        <v>4.8384771094288505E-4</v>
      </c>
      <c r="AM100" s="16">
        <f t="shared" ca="1" si="85"/>
        <v>1.9257005810870002E-3</v>
      </c>
    </row>
    <row r="101" spans="2:39" ht="16.5" x14ac:dyDescent="0.3">
      <c r="B101" s="44">
        <f t="shared" si="86"/>
        <v>75</v>
      </c>
      <c r="C101" s="44">
        <f t="shared" si="86"/>
        <v>75</v>
      </c>
      <c r="D101" s="44">
        <f t="shared" si="65"/>
        <v>0.2</v>
      </c>
      <c r="E101" s="14">
        <f t="shared" ca="1" si="66"/>
        <v>1.3527071168522765E-4</v>
      </c>
      <c r="F101" s="14">
        <f t="shared" ca="1" si="67"/>
        <v>1.2028765439263425E-4</v>
      </c>
      <c r="G101" s="14">
        <f t="shared" ca="1" si="68"/>
        <v>3.8349805223899164E-5</v>
      </c>
      <c r="H101" s="14">
        <f t="shared" ca="1" si="69"/>
        <v>1.5640572003148984E-4</v>
      </c>
      <c r="I101" s="14">
        <f t="shared" ca="1" si="70"/>
        <v>1.4514561893405294E-4</v>
      </c>
      <c r="J101" s="14">
        <f t="shared" ca="1" si="71"/>
        <v>7.2760543269873447E-4</v>
      </c>
      <c r="K101" s="14">
        <f t="shared" ca="1" si="72"/>
        <v>1.022827089964358E-3</v>
      </c>
      <c r="L101" s="14">
        <f t="shared" ca="1" si="73"/>
        <v>0.93783073739887912</v>
      </c>
      <c r="M101" s="14">
        <f t="shared" ca="1" si="74"/>
        <v>2.3171064358302747E-2</v>
      </c>
      <c r="N101" s="14">
        <f t="shared" ca="1" si="75"/>
        <v>4.0255922588876393E-3</v>
      </c>
      <c r="O101" s="14">
        <f t="shared" ca="1" si="76"/>
        <v>2.9571398690388978E-3</v>
      </c>
      <c r="P101" s="14">
        <f t="shared" ca="1" si="77"/>
        <v>2.9669574081959749E-2</v>
      </c>
      <c r="R101" s="44">
        <f t="shared" ca="1" si="62"/>
        <v>0.99999999999999845</v>
      </c>
      <c r="S101" s="16">
        <f t="shared" ca="1" si="78"/>
        <v>1.3857199340390562</v>
      </c>
      <c r="T101" s="16">
        <f t="shared" ca="1" si="87"/>
        <v>0.39591854431431883</v>
      </c>
      <c r="U101" s="16">
        <f t="shared" ca="1" si="88"/>
        <v>0.12622584398034534</v>
      </c>
      <c r="V101" s="16">
        <f t="shared" ca="1" si="89"/>
        <v>0.39739285404873931</v>
      </c>
      <c r="W101" s="16">
        <f t="shared" ca="1" si="90"/>
        <v>0.33280822645131769</v>
      </c>
      <c r="X101" s="16">
        <f t="shared" ca="1" si="91"/>
        <v>1.6503153277106375</v>
      </c>
      <c r="Y101" s="16">
        <f t="shared" ca="1" si="92"/>
        <v>2.4226866880381368</v>
      </c>
      <c r="Z101" s="16">
        <f t="shared" ca="1" si="79"/>
        <v>0</v>
      </c>
      <c r="AA101" s="16">
        <f t="shared" ca="1" si="93"/>
        <v>9.9066587400150201</v>
      </c>
      <c r="AB101" s="16">
        <f t="shared" ca="1" si="94"/>
        <v>4.2242522596010632</v>
      </c>
      <c r="AC101" s="16">
        <f t="shared" ca="1" si="95"/>
        <v>0.51529011401259128</v>
      </c>
      <c r="AD101" s="16">
        <f t="shared" ca="1" si="96"/>
        <v>0</v>
      </c>
      <c r="AF101" s="16">
        <f t="shared" ca="1" si="80"/>
        <v>0.97448304360876548</v>
      </c>
      <c r="AG101" s="16">
        <f t="shared" ca="1" si="81"/>
        <v>1.0825405256685041E-3</v>
      </c>
      <c r="AH101" s="16">
        <f t="shared" ca="1" si="82"/>
        <v>1.0825405256685041E-3</v>
      </c>
      <c r="AI101" s="16">
        <f t="shared" ca="1" si="83"/>
        <v>2.029763485628445E-3</v>
      </c>
      <c r="AJ101" s="16">
        <f t="shared" ca="1" si="63"/>
        <v>1.6576549999096934E-3</v>
      </c>
      <c r="AK101" s="16">
        <f t="shared" ca="1" si="64"/>
        <v>3.0351355970679062E-4</v>
      </c>
      <c r="AL101" s="16">
        <f t="shared" ca="1" si="84"/>
        <v>4.7733961652304206E-4</v>
      </c>
      <c r="AM101" s="16">
        <f t="shared" ca="1" si="85"/>
        <v>1.8894715865068765E-3</v>
      </c>
    </row>
    <row r="102" spans="2:39" ht="16.5" x14ac:dyDescent="0.3">
      <c r="B102" s="44">
        <f t="shared" si="86"/>
        <v>76</v>
      </c>
      <c r="C102" s="44">
        <f t="shared" si="86"/>
        <v>76</v>
      </c>
      <c r="D102" s="44">
        <f t="shared" si="65"/>
        <v>0.2</v>
      </c>
      <c r="E102" s="14">
        <f t="shared" ca="1" si="66"/>
        <v>1.352576848388394E-4</v>
      </c>
      <c r="F102" s="14">
        <f t="shared" ca="1" si="67"/>
        <v>1.2027597193804588E-4</v>
      </c>
      <c r="G102" s="14">
        <f t="shared" ca="1" si="68"/>
        <v>3.8346024666781938E-5</v>
      </c>
      <c r="H102" s="14">
        <f t="shared" ca="1" si="69"/>
        <v>1.5578367086306228E-4</v>
      </c>
      <c r="I102" s="14">
        <f t="shared" ca="1" si="70"/>
        <v>1.377068727251273E-4</v>
      </c>
      <c r="J102" s="14">
        <f t="shared" ca="1" si="71"/>
        <v>7.0492197943342885E-4</v>
      </c>
      <c r="K102" s="14">
        <f t="shared" ca="1" si="72"/>
        <v>1.0134723350641145E-3</v>
      </c>
      <c r="L102" s="14">
        <f t="shared" ca="1" si="73"/>
        <v>0.93853377234502067</v>
      </c>
      <c r="M102" s="14">
        <f t="shared" ca="1" si="74"/>
        <v>2.2416131649967034E-2</v>
      </c>
      <c r="N102" s="14">
        <f t="shared" ca="1" si="75"/>
        <v>4.0366472687453515E-3</v>
      </c>
      <c r="O102" s="14">
        <f t="shared" ca="1" si="76"/>
        <v>2.9593659657665998E-3</v>
      </c>
      <c r="P102" s="14">
        <f t="shared" ca="1" si="77"/>
        <v>2.9748318230969507E-2</v>
      </c>
      <c r="R102" s="44">
        <f t="shared" ca="1" si="62"/>
        <v>0.99999999999999845</v>
      </c>
      <c r="S102" s="16">
        <f t="shared" ca="1" si="78"/>
        <v>1.3855864863733127</v>
      </c>
      <c r="T102" s="16">
        <f t="shared" ca="1" si="87"/>
        <v>0.3958799232166888</v>
      </c>
      <c r="U102" s="16">
        <f t="shared" ca="1" si="88"/>
        <v>0.12621334202215098</v>
      </c>
      <c r="V102" s="16">
        <f t="shared" ca="1" si="89"/>
        <v>0.3957812222004774</v>
      </c>
      <c r="W102" s="16">
        <f t="shared" ca="1" si="90"/>
        <v>0.31569032371853167</v>
      </c>
      <c r="X102" s="16">
        <f t="shared" ca="1" si="91"/>
        <v>1.5988370468964732</v>
      </c>
      <c r="Y102" s="16">
        <f t="shared" ca="1" si="92"/>
        <v>2.4000843173098092</v>
      </c>
      <c r="Z102" s="16">
        <f t="shared" ca="1" si="79"/>
        <v>0</v>
      </c>
      <c r="AA102" s="16">
        <f t="shared" ca="1" si="93"/>
        <v>9.5831124088784332</v>
      </c>
      <c r="AB102" s="16">
        <f t="shared" ca="1" si="94"/>
        <v>4.2240283423027725</v>
      </c>
      <c r="AC102" s="16">
        <f t="shared" ca="1" si="95"/>
        <v>0.51526279974178524</v>
      </c>
      <c r="AD102" s="16">
        <f t="shared" ca="1" si="96"/>
        <v>0</v>
      </c>
      <c r="AF102" s="16">
        <f t="shared" ca="1" si="80"/>
        <v>0.97527810381050206</v>
      </c>
      <c r="AG102" s="16">
        <f t="shared" ca="1" si="81"/>
        <v>1.0824328656169444E-3</v>
      </c>
      <c r="AH102" s="16">
        <f t="shared" ca="1" si="82"/>
        <v>1.0824328656169444E-3</v>
      </c>
      <c r="AI102" s="16">
        <f t="shared" ca="1" si="83"/>
        <v>2.0295616230317707E-3</v>
      </c>
      <c r="AJ102" s="16">
        <f t="shared" ca="1" si="63"/>
        <v>1.6574901439818765E-3</v>
      </c>
      <c r="AK102" s="16">
        <f t="shared" ca="1" si="64"/>
        <v>3.0348337489180007E-4</v>
      </c>
      <c r="AL102" s="16">
        <f t="shared" ca="1" si="84"/>
        <v>4.7108613060596133E-4</v>
      </c>
      <c r="AM102" s="16">
        <f t="shared" ca="1" si="85"/>
        <v>1.8547421556239371E-3</v>
      </c>
    </row>
    <row r="103" spans="2:39" ht="16.5" x14ac:dyDescent="0.3">
      <c r="B103" s="44">
        <f t="shared" si="86"/>
        <v>77</v>
      </c>
      <c r="C103" s="44">
        <f t="shared" si="86"/>
        <v>77</v>
      </c>
      <c r="D103" s="44">
        <f t="shared" si="65"/>
        <v>0.2</v>
      </c>
      <c r="E103" s="14">
        <f t="shared" ca="1" si="66"/>
        <v>1.3524476415723352E-4</v>
      </c>
      <c r="F103" s="14">
        <f t="shared" ca="1" si="67"/>
        <v>1.2026438852483185E-4</v>
      </c>
      <c r="G103" s="14">
        <f t="shared" ca="1" si="68"/>
        <v>3.8342278345271711E-5</v>
      </c>
      <c r="H103" s="14">
        <f t="shared" ca="1" si="69"/>
        <v>1.5518750898998589E-4</v>
      </c>
      <c r="I103" s="14">
        <f t="shared" ca="1" si="70"/>
        <v>1.3070107609743439E-4</v>
      </c>
      <c r="J103" s="14">
        <f t="shared" ca="1" si="71"/>
        <v>6.8297087357590788E-4</v>
      </c>
      <c r="K103" s="14">
        <f t="shared" ca="1" si="72"/>
        <v>1.0045557957682023E-3</v>
      </c>
      <c r="L103" s="14">
        <f t="shared" ca="1" si="73"/>
        <v>0.93920773173466521</v>
      </c>
      <c r="M103" s="14">
        <f t="shared" ca="1" si="74"/>
        <v>2.1689365876963268E-2</v>
      </c>
      <c r="N103" s="14">
        <f t="shared" ca="1" si="75"/>
        <v>4.0472311471543582E-3</v>
      </c>
      <c r="O103" s="14">
        <f t="shared" ca="1" si="76"/>
        <v>2.9614327728325917E-3</v>
      </c>
      <c r="P103" s="14">
        <f t="shared" ca="1" si="77"/>
        <v>2.9826971782924164E-2</v>
      </c>
      <c r="R103" s="44">
        <f t="shared" ca="1" si="62"/>
        <v>0.99999999999999833</v>
      </c>
      <c r="S103" s="16">
        <f t="shared" ca="1" si="78"/>
        <v>1.385454126264908</v>
      </c>
      <c r="T103" s="16">
        <f t="shared" ca="1" si="87"/>
        <v>0.3958416360903278</v>
      </c>
      <c r="U103" s="16">
        <f t="shared" ca="1" si="88"/>
        <v>0.12620095552724089</v>
      </c>
      <c r="V103" s="16">
        <f t="shared" ca="1" si="89"/>
        <v>0.39423682297050039</v>
      </c>
      <c r="W103" s="16">
        <f t="shared" ca="1" si="90"/>
        <v>0.29956883800239087</v>
      </c>
      <c r="X103" s="16">
        <f t="shared" ca="1" si="91"/>
        <v>1.5490206272642308</v>
      </c>
      <c r="Y103" s="16">
        <f t="shared" ca="1" si="92"/>
        <v>2.3785488564055108</v>
      </c>
      <c r="Z103" s="16">
        <f t="shared" ca="1" si="79"/>
        <v>0</v>
      </c>
      <c r="AA103" s="16">
        <f t="shared" ca="1" si="93"/>
        <v>9.2716371626236533</v>
      </c>
      <c r="AB103" s="16">
        <f t="shared" ca="1" si="94"/>
        <v>4.2238002286634329</v>
      </c>
      <c r="AC103" s="16">
        <f t="shared" ca="1" si="95"/>
        <v>0.51523497358558101</v>
      </c>
      <c r="AD103" s="16">
        <f t="shared" ca="1" si="96"/>
        <v>0</v>
      </c>
      <c r="AF103" s="16">
        <f t="shared" ca="1" si="80"/>
        <v>0.97604336743757625</v>
      </c>
      <c r="AG103" s="16">
        <f t="shared" ca="1" si="81"/>
        <v>1.0823262167480915E-3</v>
      </c>
      <c r="AH103" s="16">
        <f t="shared" ca="1" si="82"/>
        <v>1.0823262167480915E-3</v>
      </c>
      <c r="AI103" s="16">
        <f t="shared" ca="1" si="83"/>
        <v>2.0293616564026713E-3</v>
      </c>
      <c r="AJ103" s="16">
        <f t="shared" ca="1" si="63"/>
        <v>1.6573268364414226E-3</v>
      </c>
      <c r="AK103" s="16">
        <f t="shared" ca="1" si="64"/>
        <v>3.0345347358366726E-4</v>
      </c>
      <c r="AL103" s="16">
        <f t="shared" ca="1" si="84"/>
        <v>4.6507640225992695E-4</v>
      </c>
      <c r="AM103" s="16">
        <f t="shared" ca="1" si="85"/>
        <v>1.821439210234207E-3</v>
      </c>
    </row>
    <row r="104" spans="2:39" ht="16.5" x14ac:dyDescent="0.3">
      <c r="B104" s="44">
        <f t="shared" si="86"/>
        <v>78</v>
      </c>
      <c r="C104" s="44">
        <f t="shared" si="86"/>
        <v>78</v>
      </c>
      <c r="D104" s="44">
        <f t="shared" si="65"/>
        <v>0.2</v>
      </c>
      <c r="E104" s="14">
        <f t="shared" ca="1" si="66"/>
        <v>1.3523194470863278E-4</v>
      </c>
      <c r="F104" s="14">
        <f t="shared" ca="1" si="67"/>
        <v>1.2025289953585905E-4</v>
      </c>
      <c r="G104" s="14">
        <f t="shared" ca="1" si="68"/>
        <v>3.8338564652807812E-5</v>
      </c>
      <c r="H104" s="14">
        <f t="shared" ca="1" si="69"/>
        <v>1.5461603910761106E-4</v>
      </c>
      <c r="I104" s="14">
        <f t="shared" ca="1" si="70"/>
        <v>1.2410292695033126E-4</v>
      </c>
      <c r="J104" s="14">
        <f t="shared" ca="1" si="71"/>
        <v>6.6172858333928214E-4</v>
      </c>
      <c r="K104" s="14">
        <f t="shared" ca="1" si="72"/>
        <v>9.9605125261263087E-4</v>
      </c>
      <c r="L104" s="14">
        <f t="shared" ca="1" si="73"/>
        <v>0.93985370703953419</v>
      </c>
      <c r="M104" s="14">
        <f t="shared" ca="1" si="74"/>
        <v>2.0989718449220908E-2</v>
      </c>
      <c r="N104" s="14">
        <f t="shared" ca="1" si="75"/>
        <v>4.0573633908208648E-3</v>
      </c>
      <c r="O104" s="14">
        <f t="shared" ca="1" si="76"/>
        <v>2.9633507286900805E-3</v>
      </c>
      <c r="P104" s="14">
        <f t="shared" ca="1" si="77"/>
        <v>2.9905538180825277E-2</v>
      </c>
      <c r="R104" s="44">
        <f t="shared" ca="1" si="62"/>
        <v>0.99999999999999845</v>
      </c>
      <c r="S104" s="16">
        <f t="shared" ca="1" si="78"/>
        <v>1.3853228031924696</v>
      </c>
      <c r="T104" s="16">
        <f t="shared" ca="1" si="87"/>
        <v>0.39580366733775507</v>
      </c>
      <c r="U104" s="16">
        <f t="shared" ca="1" si="88"/>
        <v>0.12618867906714459</v>
      </c>
      <c r="V104" s="16">
        <f t="shared" ca="1" si="89"/>
        <v>0.39275654613620947</v>
      </c>
      <c r="W104" s="16">
        <f t="shared" ca="1" si="90"/>
        <v>0.28438553867805799</v>
      </c>
      <c r="X104" s="16">
        <f t="shared" ca="1" si="91"/>
        <v>1.5008126828495352</v>
      </c>
      <c r="Y104" s="16">
        <f t="shared" ca="1" si="92"/>
        <v>2.358015497574069</v>
      </c>
      <c r="Z104" s="16">
        <f t="shared" ca="1" si="79"/>
        <v>0</v>
      </c>
      <c r="AA104" s="16">
        <f t="shared" ca="1" si="93"/>
        <v>8.9717837116288059</v>
      </c>
      <c r="AB104" s="16">
        <f t="shared" ca="1" si="94"/>
        <v>4.2235681212318408</v>
      </c>
      <c r="AC104" s="16">
        <f t="shared" ca="1" si="95"/>
        <v>0.51520666025163653</v>
      </c>
      <c r="AD104" s="16">
        <f t="shared" ca="1" si="96"/>
        <v>0</v>
      </c>
      <c r="AF104" s="16">
        <f t="shared" ca="1" si="80"/>
        <v>0.97677995933987039</v>
      </c>
      <c r="AG104" s="16">
        <f t="shared" ca="1" si="81"/>
        <v>1.0822205314467879E-3</v>
      </c>
      <c r="AH104" s="16">
        <f t="shared" ca="1" si="82"/>
        <v>1.0822205314467879E-3</v>
      </c>
      <c r="AI104" s="16">
        <f t="shared" ca="1" si="83"/>
        <v>2.0291634964627273E-3</v>
      </c>
      <c r="AJ104" s="16">
        <f t="shared" ca="1" si="63"/>
        <v>1.6571650043769696E-3</v>
      </c>
      <c r="AK104" s="16">
        <f t="shared" ca="1" si="64"/>
        <v>3.03423842432457E-4</v>
      </c>
      <c r="AL104" s="16">
        <f t="shared" ca="1" si="84"/>
        <v>4.5930008257748792E-4</v>
      </c>
      <c r="AM104" s="16">
        <f t="shared" ca="1" si="85"/>
        <v>1.7894943656055233E-3</v>
      </c>
    </row>
    <row r="105" spans="2:39" ht="16.5" x14ac:dyDescent="0.3">
      <c r="B105" s="44">
        <f t="shared" si="86"/>
        <v>79</v>
      </c>
      <c r="C105" s="44">
        <f t="shared" si="86"/>
        <v>79</v>
      </c>
      <c r="D105" s="44">
        <f t="shared" si="65"/>
        <v>0.2</v>
      </c>
      <c r="E105" s="14">
        <f t="shared" ca="1" si="66"/>
        <v>1.3521922180665069E-4</v>
      </c>
      <c r="F105" s="14">
        <f t="shared" ca="1" si="67"/>
        <v>1.2024150058464759E-4</v>
      </c>
      <c r="G105" s="14">
        <f t="shared" ca="1" si="68"/>
        <v>3.8334882063731872E-5</v>
      </c>
      <c r="H105" s="14">
        <f t="shared" ca="1" si="69"/>
        <v>1.5406812535392851E-4</v>
      </c>
      <c r="I105" s="14">
        <f t="shared" ca="1" si="70"/>
        <v>1.1788860161230393E-4</v>
      </c>
      <c r="J105" s="14">
        <f t="shared" ca="1" si="71"/>
        <v>6.4117232313298962E-4</v>
      </c>
      <c r="K105" s="14">
        <f t="shared" ca="1" si="72"/>
        <v>9.8793471629831211E-4</v>
      </c>
      <c r="L105" s="14">
        <f t="shared" ca="1" si="73"/>
        <v>0.94047274818399418</v>
      </c>
      <c r="M105" s="14">
        <f t="shared" ca="1" si="74"/>
        <v>2.0316179463637635E-2</v>
      </c>
      <c r="N105" s="14">
        <f t="shared" ca="1" si="75"/>
        <v>4.0670626906081754E-3</v>
      </c>
      <c r="O105" s="14">
        <f t="shared" ca="1" si="76"/>
        <v>2.965129584288143E-3</v>
      </c>
      <c r="P105" s="14">
        <f t="shared" ca="1" si="77"/>
        <v>2.9984020706617646E-2</v>
      </c>
      <c r="R105" s="44">
        <f t="shared" ca="1" si="62"/>
        <v>0.99999999999999845</v>
      </c>
      <c r="S105" s="16">
        <f t="shared" ca="1" si="78"/>
        <v>1.3851924691484199</v>
      </c>
      <c r="T105" s="16">
        <f t="shared" ca="1" si="87"/>
        <v>0.39576600214230995</v>
      </c>
      <c r="U105" s="16">
        <f t="shared" ca="1" si="88"/>
        <v>0.12617650748737277</v>
      </c>
      <c r="V105" s="16">
        <f t="shared" ca="1" si="89"/>
        <v>0.39133743633776141</v>
      </c>
      <c r="W105" s="16">
        <f t="shared" ca="1" si="90"/>
        <v>0.27008559670434551</v>
      </c>
      <c r="X105" s="16">
        <f t="shared" ca="1" si="91"/>
        <v>1.454161519047203</v>
      </c>
      <c r="Y105" s="16">
        <f t="shared" ca="1" si="92"/>
        <v>2.3384250622568832</v>
      </c>
      <c r="Z105" s="16">
        <f t="shared" ca="1" si="79"/>
        <v>0</v>
      </c>
      <c r="AA105" s="16">
        <f t="shared" ca="1" si="93"/>
        <v>8.683119329751559</v>
      </c>
      <c r="AB105" s="16">
        <f t="shared" ca="1" si="94"/>
        <v>4.2233322084918115</v>
      </c>
      <c r="AC105" s="16">
        <f t="shared" ca="1" si="95"/>
        <v>0.51517788273191745</v>
      </c>
      <c r="AD105" s="16">
        <f t="shared" ca="1" si="96"/>
        <v>0</v>
      </c>
      <c r="AF105" s="16">
        <f t="shared" ca="1" si="80"/>
        <v>0.97748896116550821</v>
      </c>
      <c r="AG105" s="16">
        <f t="shared" ca="1" si="81"/>
        <v>1.0821157645054009E-3</v>
      </c>
      <c r="AH105" s="16">
        <f t="shared" ca="1" si="82"/>
        <v>1.0821157645054009E-3</v>
      </c>
      <c r="AI105" s="16">
        <f t="shared" ca="1" si="83"/>
        <v>2.0289670584476265E-3</v>
      </c>
      <c r="AJ105" s="16">
        <f t="shared" ca="1" si="63"/>
        <v>1.6570045785637116E-3</v>
      </c>
      <c r="AK105" s="16">
        <f t="shared" ca="1" si="64"/>
        <v>3.0339446876323538E-4</v>
      </c>
      <c r="AL105" s="16">
        <f t="shared" ca="1" si="84"/>
        <v>4.5374729999563831E-4</v>
      </c>
      <c r="AM105" s="16">
        <f t="shared" ca="1" si="85"/>
        <v>1.7588434908842212E-3</v>
      </c>
    </row>
    <row r="106" spans="2:39" ht="16.5" x14ac:dyDescent="0.3">
      <c r="B106" s="44">
        <f t="shared" si="86"/>
        <v>80</v>
      </c>
      <c r="C106" s="44">
        <f t="shared" si="86"/>
        <v>80</v>
      </c>
      <c r="D106" s="44">
        <f t="shared" si="65"/>
        <v>0.2</v>
      </c>
      <c r="E106" s="14">
        <f t="shared" ca="1" si="66"/>
        <v>1.3520659099718348E-4</v>
      </c>
      <c r="F106" s="14">
        <f t="shared" ca="1" si="67"/>
        <v>1.2023018750298144E-4</v>
      </c>
      <c r="G106" s="14">
        <f t="shared" ca="1" si="68"/>
        <v>3.833122912888852E-5</v>
      </c>
      <c r="H106" s="14">
        <f t="shared" ca="1" si="69"/>
        <v>1.5354268820967317E-4</v>
      </c>
      <c r="I106" s="14">
        <f t="shared" ca="1" si="70"/>
        <v>1.1203566906187415E-4</v>
      </c>
      <c r="J106" s="14">
        <f t="shared" ca="1" si="71"/>
        <v>6.2128003102845508E-4</v>
      </c>
      <c r="K106" s="14">
        <f t="shared" ca="1" si="72"/>
        <v>9.8018415953395879E-4</v>
      </c>
      <c r="L106" s="14">
        <f t="shared" ca="1" si="73"/>
        <v>0.94106586521487889</v>
      </c>
      <c r="M106" s="14">
        <f t="shared" ca="1" si="74"/>
        <v>1.9667776325949207E-2</v>
      </c>
      <c r="N106" s="14">
        <f t="shared" ca="1" si="75"/>
        <v>4.0763469646412477E-3</v>
      </c>
      <c r="O106" s="14">
        <f t="shared" ca="1" si="76"/>
        <v>2.9667784483450726E-3</v>
      </c>
      <c r="P106" s="14">
        <f t="shared" ca="1" si="77"/>
        <v>3.0062422490720882E-2</v>
      </c>
      <c r="R106" s="44">
        <f t="shared" ca="1" si="62"/>
        <v>0.99999999999999822</v>
      </c>
      <c r="S106" s="16">
        <f t="shared" ca="1" si="78"/>
        <v>1.3850630785046973</v>
      </c>
      <c r="T106" s="16">
        <f t="shared" ca="1" si="87"/>
        <v>0.39572862642608536</v>
      </c>
      <c r="U106" s="16">
        <f t="shared" ca="1" si="88"/>
        <v>0.12616443589246787</v>
      </c>
      <c r="V106" s="16">
        <f t="shared" ca="1" si="89"/>
        <v>0.38997668500339167</v>
      </c>
      <c r="W106" s="16">
        <f t="shared" ca="1" si="90"/>
        <v>0.25661738743789764</v>
      </c>
      <c r="X106" s="16">
        <f t="shared" ca="1" si="91"/>
        <v>1.4090170817539405</v>
      </c>
      <c r="Y106" s="16">
        <f t="shared" ca="1" si="92"/>
        <v>2.3197233129997064</v>
      </c>
      <c r="Z106" s="16">
        <f t="shared" ca="1" si="79"/>
        <v>0</v>
      </c>
      <c r="AA106" s="16">
        <f t="shared" ca="1" si="93"/>
        <v>8.4052272663079979</v>
      </c>
      <c r="AB106" s="16">
        <f t="shared" ca="1" si="94"/>
        <v>4.223092666354562</v>
      </c>
      <c r="AC106" s="16">
        <f t="shared" ca="1" si="95"/>
        <v>0.5151486624847279</v>
      </c>
      <c r="AD106" s="16">
        <f t="shared" ca="1" si="96"/>
        <v>0</v>
      </c>
      <c r="AF106" s="16">
        <f t="shared" ca="1" si="80"/>
        <v>0.97817141311858602</v>
      </c>
      <c r="AG106" s="16">
        <f t="shared" ca="1" si="81"/>
        <v>1.082011872992129E-3</v>
      </c>
      <c r="AH106" s="16">
        <f t="shared" ca="1" si="82"/>
        <v>1.082011872992129E-3</v>
      </c>
      <c r="AI106" s="16">
        <f t="shared" ca="1" si="83"/>
        <v>2.0287722618602417E-3</v>
      </c>
      <c r="AJ106" s="16">
        <f t="shared" ca="1" si="63"/>
        <v>1.6568454932617393E-3</v>
      </c>
      <c r="AK106" s="16">
        <f t="shared" ca="1" si="64"/>
        <v>3.0336534053914695E-4</v>
      </c>
      <c r="AL106" s="16">
        <f t="shared" ca="1" si="84"/>
        <v>4.4840863683589648E-4</v>
      </c>
      <c r="AM106" s="16">
        <f t="shared" ca="1" si="85"/>
        <v>1.729426326321893E-3</v>
      </c>
    </row>
    <row r="107" spans="2:39" ht="16.5" x14ac:dyDescent="0.3">
      <c r="B107" s="44">
        <f t="shared" si="86"/>
        <v>81</v>
      </c>
      <c r="C107" s="44">
        <f t="shared" si="86"/>
        <v>81</v>
      </c>
      <c r="D107" s="44">
        <f t="shared" si="65"/>
        <v>0.2</v>
      </c>
      <c r="E107" s="14">
        <f t="shared" ca="1" si="66"/>
        <v>1.3519404804606742E-4</v>
      </c>
      <c r="F107" s="14">
        <f t="shared" ca="1" si="67"/>
        <v>1.2021895632924903E-4</v>
      </c>
      <c r="G107" s="14">
        <f t="shared" ca="1" si="68"/>
        <v>3.83276044714912E-5</v>
      </c>
      <c r="H107" s="14">
        <f t="shared" ca="1" si="69"/>
        <v>1.5303870156024171E-4</v>
      </c>
      <c r="I107" s="14">
        <f t="shared" ca="1" si="70"/>
        <v>1.0652301000324882E-4</v>
      </c>
      <c r="J107" s="14">
        <f t="shared" ca="1" si="71"/>
        <v>6.0203034674479979E-4</v>
      </c>
      <c r="K107" s="14">
        <f t="shared" ca="1" si="72"/>
        <v>9.7277928862018592E-4</v>
      </c>
      <c r="L107" s="14">
        <f t="shared" ca="1" si="73"/>
        <v>0.94163402988972766</v>
      </c>
      <c r="M107" s="14">
        <f t="shared" ca="1" si="74"/>
        <v>1.9043572413989927E-2</v>
      </c>
      <c r="N107" s="14">
        <f t="shared" ca="1" si="75"/>
        <v>4.0852333900837428E-3</v>
      </c>
      <c r="O107" s="14">
        <f t="shared" ca="1" si="76"/>
        <v>2.9683058296618523E-3</v>
      </c>
      <c r="P107" s="14">
        <f t="shared" ca="1" si="77"/>
        <v>3.0140746520759928E-2</v>
      </c>
      <c r="R107" s="44">
        <f t="shared" ca="1" si="62"/>
        <v>0.99999999999999845</v>
      </c>
      <c r="S107" s="16">
        <f t="shared" ca="1" si="78"/>
        <v>1.3849345878863168</v>
      </c>
      <c r="T107" s="16">
        <f t="shared" ca="1" si="87"/>
        <v>0.39569152681035258</v>
      </c>
      <c r="U107" s="16">
        <f t="shared" ca="1" si="88"/>
        <v>0.12615245963196087</v>
      </c>
      <c r="V107" s="16">
        <f t="shared" ca="1" si="89"/>
        <v>0.38867162269470734</v>
      </c>
      <c r="W107" s="16">
        <f t="shared" ca="1" si="90"/>
        <v>0.24393230457626758</v>
      </c>
      <c r="X107" s="16">
        <f t="shared" ca="1" si="91"/>
        <v>1.3653309076478275</v>
      </c>
      <c r="Y107" s="16">
        <f t="shared" ca="1" si="92"/>
        <v>2.3018603681668828</v>
      </c>
      <c r="Z107" s="16">
        <f t="shared" ca="1" si="79"/>
        <v>0</v>
      </c>
      <c r="AA107" s="16">
        <f t="shared" ca="1" si="93"/>
        <v>8.1377061753663043</v>
      </c>
      <c r="AB107" s="16">
        <f t="shared" ca="1" si="94"/>
        <v>4.2228496594406959</v>
      </c>
      <c r="AC107" s="16">
        <f t="shared" ca="1" si="95"/>
        <v>0.51511901959110762</v>
      </c>
      <c r="AD107" s="16">
        <f t="shared" ca="1" si="96"/>
        <v>0</v>
      </c>
      <c r="AF107" s="16">
        <f t="shared" ca="1" si="80"/>
        <v>0.9788283156302332</v>
      </c>
      <c r="AG107" s="16">
        <f t="shared" ca="1" si="81"/>
        <v>1.0819088161273297E-3</v>
      </c>
      <c r="AH107" s="16">
        <f t="shared" ca="1" si="82"/>
        <v>1.0819088161273297E-3</v>
      </c>
      <c r="AI107" s="16">
        <f t="shared" ca="1" si="83"/>
        <v>2.0285790302387433E-3</v>
      </c>
      <c r="AJ107" s="16">
        <f t="shared" ca="1" si="63"/>
        <v>1.6566876860266667E-3</v>
      </c>
      <c r="AK107" s="16">
        <f t="shared" ca="1" si="64"/>
        <v>3.0333644632674029E-4</v>
      </c>
      <c r="AL107" s="16">
        <f t="shared" ca="1" si="84"/>
        <v>4.432751070128037E-4</v>
      </c>
      <c r="AM107" s="16">
        <f t="shared" ca="1" si="85"/>
        <v>1.7011861486063457E-3</v>
      </c>
    </row>
    <row r="108" spans="2:39" ht="16.5" x14ac:dyDescent="0.3">
      <c r="B108" s="44">
        <f t="shared" ref="B108:C123" si="97">B107+1</f>
        <v>82</v>
      </c>
      <c r="C108" s="44">
        <f t="shared" si="97"/>
        <v>82</v>
      </c>
      <c r="D108" s="44">
        <f t="shared" si="65"/>
        <v>0.2</v>
      </c>
      <c r="E108" s="14">
        <f t="shared" ca="1" si="66"/>
        <v>1.3518158892745046E-4</v>
      </c>
      <c r="F108" s="14">
        <f t="shared" ca="1" si="67"/>
        <v>1.2020780329746463E-4</v>
      </c>
      <c r="G108" s="14">
        <f t="shared" ca="1" si="68"/>
        <v>3.8324006783234457E-5</v>
      </c>
      <c r="H108" s="14">
        <f t="shared" ca="1" si="69"/>
        <v>1.5255518991188704E-4</v>
      </c>
      <c r="I108" s="14">
        <f t="shared" ca="1" si="70"/>
        <v>1.0133074054362861E-4</v>
      </c>
      <c r="J108" s="14">
        <f t="shared" ca="1" si="71"/>
        <v>5.834025901693084E-4</v>
      </c>
      <c r="K108" s="14">
        <f t="shared" ca="1" si="72"/>
        <v>9.6570134833476285E-4</v>
      </c>
      <c r="L108" s="14">
        <f t="shared" ca="1" si="73"/>
        <v>0.94217817718972197</v>
      </c>
      <c r="M108" s="14">
        <f t="shared" ca="1" si="74"/>
        <v>1.8442665782418304E-2</v>
      </c>
      <c r="N108" s="14">
        <f t="shared" ca="1" si="75"/>
        <v>4.0937384336355073E-3</v>
      </c>
      <c r="O108" s="14">
        <f t="shared" ca="1" si="76"/>
        <v>2.9697196766648721E-3</v>
      </c>
      <c r="P108" s="14">
        <f t="shared" ca="1" si="77"/>
        <v>3.0218995649590002E-2</v>
      </c>
      <c r="R108" s="44">
        <f t="shared" ca="1" si="62"/>
        <v>0.99999999999999822</v>
      </c>
      <c r="S108" s="16">
        <f t="shared" ca="1" si="78"/>
        <v>1.3848069560522487</v>
      </c>
      <c r="T108" s="16">
        <f t="shared" ca="1" si="87"/>
        <v>0.39565469057830693</v>
      </c>
      <c r="U108" s="16">
        <f t="shared" ca="1" si="88"/>
        <v>0.12614057428717046</v>
      </c>
      <c r="V108" s="16">
        <f t="shared" ca="1" si="89"/>
        <v>0.38741971185270596</v>
      </c>
      <c r="W108" s="16">
        <f t="shared" ca="1" si="90"/>
        <v>0.23198458465524002</v>
      </c>
      <c r="X108" s="16">
        <f t="shared" ca="1" si="91"/>
        <v>1.3230560756450687</v>
      </c>
      <c r="Y108" s="16">
        <f t="shared" ca="1" si="92"/>
        <v>2.2847902027469504</v>
      </c>
      <c r="Z108" s="16">
        <f t="shared" ca="1" si="79"/>
        <v>0</v>
      </c>
      <c r="AA108" s="16">
        <f t="shared" ca="1" si="93"/>
        <v>7.8801695624579562</v>
      </c>
      <c r="AB108" s="16">
        <f t="shared" ca="1" si="94"/>
        <v>4.2226033421857121</v>
      </c>
      <c r="AC108" s="16">
        <f t="shared" ca="1" si="95"/>
        <v>0.51508897288967992</v>
      </c>
      <c r="AD108" s="16">
        <f t="shared" ca="1" si="96"/>
        <v>0</v>
      </c>
      <c r="AF108" s="16">
        <f t="shared" ca="1" si="80"/>
        <v>0.97946063094961222</v>
      </c>
      <c r="AG108" s="16">
        <f t="shared" ca="1" si="81"/>
        <v>1.0818065551672855E-3</v>
      </c>
      <c r="AH108" s="16">
        <f t="shared" ca="1" si="82"/>
        <v>1.0818065551672855E-3</v>
      </c>
      <c r="AI108" s="16">
        <f t="shared" ca="1" si="83"/>
        <v>2.0283872909386603E-3</v>
      </c>
      <c r="AJ108" s="16">
        <f t="shared" ca="1" si="63"/>
        <v>1.6565310975316463E-3</v>
      </c>
      <c r="AK108" s="16">
        <f t="shared" ca="1" si="64"/>
        <v>3.0330777526337954E-4</v>
      </c>
      <c r="AL108" s="16">
        <f t="shared" ca="1" si="84"/>
        <v>4.3833813485955492E-4</v>
      </c>
      <c r="AM108" s="16">
        <f t="shared" ca="1" si="85"/>
        <v>1.6740694770119554E-3</v>
      </c>
    </row>
    <row r="109" spans="2:39" ht="16.5" x14ac:dyDescent="0.3">
      <c r="B109" s="44">
        <f t="shared" si="97"/>
        <v>83</v>
      </c>
      <c r="C109" s="44">
        <f t="shared" si="97"/>
        <v>83</v>
      </c>
      <c r="D109" s="44">
        <f t="shared" si="65"/>
        <v>0.2</v>
      </c>
      <c r="E109" s="14">
        <f t="shared" ca="1" si="66"/>
        <v>1.3516920981283194E-4</v>
      </c>
      <c r="F109" s="14">
        <f t="shared" ca="1" si="67"/>
        <v>1.2019672482692523E-4</v>
      </c>
      <c r="G109" s="14">
        <f t="shared" ca="1" si="68"/>
        <v>3.8320434820635599E-5</v>
      </c>
      <c r="H109" s="14">
        <f t="shared" ca="1" si="69"/>
        <v>1.520912257548067E-4</v>
      </c>
      <c r="I109" s="14">
        <f t="shared" ca="1" si="70"/>
        <v>9.6440140228430123E-5</v>
      </c>
      <c r="J109" s="14">
        <f t="shared" ca="1" si="71"/>
        <v>5.6537674042176213E-4</v>
      </c>
      <c r="K109" s="14">
        <f t="shared" ca="1" si="72"/>
        <v>9.589329547570948E-4</v>
      </c>
      <c r="L109" s="14">
        <f t="shared" ca="1" si="73"/>
        <v>0.94269920676281493</v>
      </c>
      <c r="M109" s="14">
        <f t="shared" ca="1" si="74"/>
        <v>1.7864187908710125E-2</v>
      </c>
      <c r="N109" s="14">
        <f t="shared" ca="1" si="75"/>
        <v>4.1018778807975871E-3</v>
      </c>
      <c r="O109" s="14">
        <f t="shared" ca="1" si="76"/>
        <v>2.971027414355727E-3</v>
      </c>
      <c r="P109" s="14">
        <f t="shared" ca="1" si="77"/>
        <v>3.0297172602697434E-2</v>
      </c>
      <c r="R109" s="44">
        <f t="shared" ca="1" si="62"/>
        <v>0.99999999999999845</v>
      </c>
      <c r="S109" s="16">
        <f t="shared" ca="1" si="78"/>
        <v>1.3846801437831409</v>
      </c>
      <c r="T109" s="16">
        <f t="shared" ca="1" si="87"/>
        <v>0.39561810563998029</v>
      </c>
      <c r="U109" s="16">
        <f t="shared" ca="1" si="88"/>
        <v>0.12612877565878469</v>
      </c>
      <c r="V109" s="16">
        <f t="shared" ca="1" si="89"/>
        <v>0.38621853992560767</v>
      </c>
      <c r="W109" s="16">
        <f t="shared" ca="1" si="90"/>
        <v>0.2207311415458906</v>
      </c>
      <c r="X109" s="16">
        <f t="shared" ca="1" si="91"/>
        <v>1.2821471595605891</v>
      </c>
      <c r="Y109" s="16">
        <f t="shared" ca="1" si="92"/>
        <v>2.2684702213392183</v>
      </c>
      <c r="Z109" s="16">
        <f t="shared" ca="1" si="79"/>
        <v>0</v>
      </c>
      <c r="AA109" s="16">
        <f t="shared" ca="1" si="93"/>
        <v>7.6322452486805634</v>
      </c>
      <c r="AB109" s="16">
        <f t="shared" ca="1" si="94"/>
        <v>4.2223538597967707</v>
      </c>
      <c r="AC109" s="16">
        <f t="shared" ca="1" si="95"/>
        <v>0.51505854009335583</v>
      </c>
      <c r="AD109" s="16">
        <f t="shared" ca="1" si="96"/>
        <v>0</v>
      </c>
      <c r="AF109" s="16">
        <f t="shared" ca="1" si="80"/>
        <v>0.98006928466066578</v>
      </c>
      <c r="AG109" s="16">
        <f t="shared" ca="1" si="81"/>
        <v>1.0817050532948896E-3</v>
      </c>
      <c r="AH109" s="16">
        <f t="shared" ca="1" si="82"/>
        <v>1.0817050532948896E-3</v>
      </c>
      <c r="AI109" s="16">
        <f t="shared" ca="1" si="83"/>
        <v>2.0281969749279182E-3</v>
      </c>
      <c r="AJ109" s="16">
        <f t="shared" ca="1" si="63"/>
        <v>1.6563756713999795E-3</v>
      </c>
      <c r="AK109" s="16">
        <f t="shared" ca="1" si="64"/>
        <v>3.0327931702659551E-4</v>
      </c>
      <c r="AL109" s="16">
        <f t="shared" ca="1" si="84"/>
        <v>4.3358953502012137E-4</v>
      </c>
      <c r="AM109" s="16">
        <f t="shared" ca="1" si="85"/>
        <v>1.6480258142749903E-3</v>
      </c>
    </row>
    <row r="110" spans="2:39" ht="16.5" x14ac:dyDescent="0.3">
      <c r="B110" s="44">
        <f t="shared" si="97"/>
        <v>84</v>
      </c>
      <c r="C110" s="44">
        <f t="shared" si="97"/>
        <v>84</v>
      </c>
      <c r="D110" s="44">
        <f t="shared" si="65"/>
        <v>0.2</v>
      </c>
      <c r="E110" s="14">
        <f t="shared" ca="1" si="66"/>
        <v>1.3515690706072638E-4</v>
      </c>
      <c r="F110" s="14">
        <f t="shared" ca="1" si="67"/>
        <v>1.2018571751246152E-4</v>
      </c>
      <c r="G110" s="14">
        <f t="shared" ca="1" si="68"/>
        <v>3.8316887401590264E-5</v>
      </c>
      <c r="H110" s="14">
        <f t="shared" ca="1" si="69"/>
        <v>1.5164592706593617E-4</v>
      </c>
      <c r="I110" s="14">
        <f t="shared" ca="1" si="70"/>
        <v>9.1833584200411028E-5</v>
      </c>
      <c r="J110" s="14">
        <f t="shared" ca="1" si="71"/>
        <v>5.4793341546718801E-4</v>
      </c>
      <c r="K110" s="14">
        <f t="shared" ca="1" si="72"/>
        <v>9.5245795156560743E-4</v>
      </c>
      <c r="L110" s="14">
        <f t="shared" ca="1" si="73"/>
        <v>0.94319798430188773</v>
      </c>
      <c r="M110" s="14">
        <f t="shared" ca="1" si="74"/>
        <v>1.7307302480004623E-2</v>
      </c>
      <c r="N110" s="14">
        <f t="shared" ca="1" si="75"/>
        <v>4.1096668639509044E-3</v>
      </c>
      <c r="O110" s="14">
        <f t="shared" ca="1" si="76"/>
        <v>2.9722359788351498E-3</v>
      </c>
      <c r="P110" s="14">
        <f t="shared" ca="1" si="77"/>
        <v>3.0375279985045966E-2</v>
      </c>
      <c r="R110" s="44">
        <f t="shared" ca="1" si="62"/>
        <v>0.99999999999999822</v>
      </c>
      <c r="S110" s="16">
        <f t="shared" ca="1" si="78"/>
        <v>1.384554113775434</v>
      </c>
      <c r="T110" s="16">
        <f t="shared" ca="1" si="87"/>
        <v>0.3955817604991767</v>
      </c>
      <c r="U110" s="16">
        <f t="shared" ca="1" si="88"/>
        <v>0.12611705975517265</v>
      </c>
      <c r="V110" s="16">
        <f t="shared" ca="1" si="89"/>
        <v>0.385065812860025</v>
      </c>
      <c r="W110" s="16">
        <f t="shared" ca="1" si="90"/>
        <v>0.21013141041816039</v>
      </c>
      <c r="X110" s="16">
        <f t="shared" ca="1" si="91"/>
        <v>1.2425601819877221</v>
      </c>
      <c r="Y110" s="16">
        <f t="shared" ca="1" si="92"/>
        <v>2.252860891737253</v>
      </c>
      <c r="Z110" s="16">
        <f t="shared" ca="1" si="79"/>
        <v>0</v>
      </c>
      <c r="AA110" s="16">
        <f t="shared" ca="1" si="93"/>
        <v>7.3935748520636704</v>
      </c>
      <c r="AB110" s="16">
        <f t="shared" ca="1" si="94"/>
        <v>4.2221013490839168</v>
      </c>
      <c r="AC110" s="16">
        <f t="shared" ca="1" si="95"/>
        <v>0.51502773789073664</v>
      </c>
      <c r="AD110" s="16">
        <f t="shared" ca="1" si="96"/>
        <v>0</v>
      </c>
      <c r="AF110" s="16">
        <f t="shared" ca="1" si="80"/>
        <v>0.98065516712971967</v>
      </c>
      <c r="AG110" s="16">
        <f t="shared" ca="1" si="81"/>
        <v>1.0816042755167766E-3</v>
      </c>
      <c r="AH110" s="16">
        <f t="shared" ca="1" si="82"/>
        <v>1.0816042755167766E-3</v>
      </c>
      <c r="AI110" s="16">
        <f t="shared" ca="1" si="83"/>
        <v>2.0280080165939562E-3</v>
      </c>
      <c r="AJ110" s="16">
        <f t="shared" ca="1" si="63"/>
        <v>1.6562213540475962E-3</v>
      </c>
      <c r="AK110" s="16">
        <f t="shared" ca="1" si="64"/>
        <v>3.0325106180524429E-4</v>
      </c>
      <c r="AL110" s="16">
        <f t="shared" ca="1" si="84"/>
        <v>4.2902149335821504E-4</v>
      </c>
      <c r="AM110" s="16">
        <f t="shared" ca="1" si="85"/>
        <v>1.6230074170899889E-3</v>
      </c>
    </row>
    <row r="111" spans="2:39" ht="16.5" x14ac:dyDescent="0.3">
      <c r="B111" s="44">
        <f t="shared" si="97"/>
        <v>85</v>
      </c>
      <c r="C111" s="44">
        <f t="shared" si="97"/>
        <v>85</v>
      </c>
      <c r="D111" s="44">
        <f t="shared" si="65"/>
        <v>0.2</v>
      </c>
      <c r="E111" s="14">
        <f t="shared" ca="1" si="66"/>
        <v>1.3514467720691291E-4</v>
      </c>
      <c r="F111" s="14">
        <f t="shared" ca="1" si="67"/>
        <v>1.2017477811524416E-4</v>
      </c>
      <c r="G111" s="14">
        <f t="shared" ca="1" si="68"/>
        <v>3.8313363402127493E-5</v>
      </c>
      <c r="H111" s="14">
        <f t="shared" ca="1" si="69"/>
        <v>1.5121845494447811E-4</v>
      </c>
      <c r="I111" s="14">
        <f t="shared" ca="1" si="70"/>
        <v>8.7494479258635639E-5</v>
      </c>
      <c r="J111" s="14">
        <f t="shared" ca="1" si="71"/>
        <v>5.310538522778726E-4</v>
      </c>
      <c r="K111" s="14">
        <f t="shared" ca="1" si="72"/>
        <v>9.4626128608579221E-4</v>
      </c>
      <c r="L111" s="14">
        <f t="shared" ca="1" si="73"/>
        <v>0.94367534286220878</v>
      </c>
      <c r="M111" s="14">
        <f t="shared" ca="1" si="74"/>
        <v>1.6771204220218616E-2</v>
      </c>
      <c r="N111" s="14">
        <f t="shared" ca="1" si="75"/>
        <v>4.1171198892936151E-3</v>
      </c>
      <c r="O111" s="14">
        <f t="shared" ca="1" si="76"/>
        <v>2.9733518495579209E-3</v>
      </c>
      <c r="P111" s="14">
        <f t="shared" ca="1" si="77"/>
        <v>3.0453320287428198E-2</v>
      </c>
      <c r="R111" s="44">
        <f t="shared" ca="1" si="62"/>
        <v>0.99999999999999822</v>
      </c>
      <c r="S111" s="16">
        <f t="shared" ca="1" si="78"/>
        <v>1.384428830541476</v>
      </c>
      <c r="T111" s="16">
        <f t="shared" ca="1" si="87"/>
        <v>0.39554564422229943</v>
      </c>
      <c r="U111" s="16">
        <f t="shared" ca="1" si="88"/>
        <v>0.12610542278137607</v>
      </c>
      <c r="V111" s="16">
        <f t="shared" ca="1" si="89"/>
        <v>0.38395934893752287</v>
      </c>
      <c r="W111" s="16">
        <f t="shared" ca="1" si="90"/>
        <v>0.2001472006596921</v>
      </c>
      <c r="X111" s="16">
        <f t="shared" ca="1" si="91"/>
        <v>1.2042525694030131</v>
      </c>
      <c r="Y111" s="16">
        <f t="shared" ca="1" si="92"/>
        <v>2.2379254294578224</v>
      </c>
      <c r="Z111" s="16">
        <f t="shared" ca="1" si="79"/>
        <v>0</v>
      </c>
      <c r="AA111" s="16">
        <f t="shared" ca="1" si="93"/>
        <v>7.1638132859874277</v>
      </c>
      <c r="AB111" s="16">
        <f t="shared" ca="1" si="94"/>
        <v>4.2218459391853429</v>
      </c>
      <c r="AC111" s="16">
        <f t="shared" ca="1" si="95"/>
        <v>0.51499658203458232</v>
      </c>
      <c r="AD111" s="16">
        <f t="shared" ca="1" si="96"/>
        <v>0</v>
      </c>
      <c r="AF111" s="16">
        <f t="shared" ca="1" si="80"/>
        <v>0.98121913488848855</v>
      </c>
      <c r="AG111" s="16">
        <f t="shared" ca="1" si="81"/>
        <v>1.0815041885664561E-3</v>
      </c>
      <c r="AH111" s="16">
        <f t="shared" ca="1" si="82"/>
        <v>1.0815041885664561E-3</v>
      </c>
      <c r="AI111" s="16">
        <f t="shared" ca="1" si="83"/>
        <v>2.0278203535621054E-3</v>
      </c>
      <c r="AJ111" s="16">
        <f t="shared" ca="1" si="63"/>
        <v>1.6560680945347276E-3</v>
      </c>
      <c r="AK111" s="16">
        <f t="shared" ca="1" si="64"/>
        <v>3.0322300027234858E-4</v>
      </c>
      <c r="AL111" s="16">
        <f t="shared" ca="1" si="84"/>
        <v>4.2462654883469806E-4</v>
      </c>
      <c r="AM111" s="16">
        <f t="shared" ca="1" si="85"/>
        <v>1.5989690919477938E-3</v>
      </c>
    </row>
    <row r="112" spans="2:39" ht="16.5" x14ac:dyDescent="0.3">
      <c r="B112" s="44">
        <f t="shared" si="97"/>
        <v>86</v>
      </c>
      <c r="C112" s="44">
        <f t="shared" si="97"/>
        <v>86</v>
      </c>
      <c r="D112" s="44">
        <f t="shared" si="65"/>
        <v>0.2</v>
      </c>
      <c r="E112" s="14">
        <f t="shared" ca="1" si="66"/>
        <v>1.3513251695523276E-4</v>
      </c>
      <c r="F112" s="14">
        <f t="shared" ca="1" si="67"/>
        <v>1.2016390355411095E-4</v>
      </c>
      <c r="G112" s="14">
        <f t="shared" ca="1" si="68"/>
        <v>3.8309861753351372E-5</v>
      </c>
      <c r="H112" s="14">
        <f t="shared" ca="1" si="69"/>
        <v>1.5080801137344008E-4</v>
      </c>
      <c r="I112" s="14">
        <f t="shared" ca="1" si="70"/>
        <v>8.3407203603232401E-5</v>
      </c>
      <c r="J112" s="14">
        <f t="shared" ca="1" si="71"/>
        <v>5.1471988754250094E-4</v>
      </c>
      <c r="K112" s="14">
        <f t="shared" ca="1" si="72"/>
        <v>9.4032890198498826E-4</v>
      </c>
      <c r="L112" s="14">
        <f t="shared" ca="1" si="73"/>
        <v>0.94413208412200034</v>
      </c>
      <c r="M112" s="14">
        <f t="shared" ca="1" si="74"/>
        <v>1.6255117756710534E-2</v>
      </c>
      <c r="N112" s="14">
        <f t="shared" ca="1" si="75"/>
        <v>4.1242508626809895E-3</v>
      </c>
      <c r="O112" s="14">
        <f t="shared" ca="1" si="76"/>
        <v>2.9743810794658895E-3</v>
      </c>
      <c r="P112" s="14">
        <f t="shared" ca="1" si="77"/>
        <v>3.053129589237355E-2</v>
      </c>
      <c r="R112" s="44">
        <f t="shared" ca="1" si="62"/>
        <v>0.99999999999999811</v>
      </c>
      <c r="S112" s="16">
        <f t="shared" ca="1" si="78"/>
        <v>1.384304260315252</v>
      </c>
      <c r="T112" s="16">
        <f t="shared" ca="1" si="87"/>
        <v>0.3955097464089492</v>
      </c>
      <c r="U112" s="16">
        <f t="shared" ca="1" si="88"/>
        <v>0.12609386112873647</v>
      </c>
      <c r="V112" s="16">
        <f t="shared" ca="1" si="89"/>
        <v>0.382897072939204</v>
      </c>
      <c r="W112" s="16">
        <f t="shared" ca="1" si="90"/>
        <v>0.1907425572609549</v>
      </c>
      <c r="X112" s="16">
        <f t="shared" ca="1" si="91"/>
        <v>1.1671831084947002</v>
      </c>
      <c r="Y112" s="16">
        <f t="shared" ca="1" si="92"/>
        <v>2.2236295251696254</v>
      </c>
      <c r="Z112" s="16">
        <f t="shared" ca="1" si="79"/>
        <v>0</v>
      </c>
      <c r="AA112" s="16">
        <f t="shared" ca="1" si="93"/>
        <v>6.9426282743801604</v>
      </c>
      <c r="AB112" s="16">
        <f t="shared" ca="1" si="94"/>
        <v>4.2215877522028595</v>
      </c>
      <c r="AC112" s="16">
        <f t="shared" ca="1" si="95"/>
        <v>0.51496508741933089</v>
      </c>
      <c r="AD112" s="16">
        <f t="shared" ca="1" si="96"/>
        <v>0</v>
      </c>
      <c r="AF112" s="16">
        <f t="shared" ca="1" si="80"/>
        <v>0.9817620119565208</v>
      </c>
      <c r="AG112" s="16">
        <f t="shared" ca="1" si="81"/>
        <v>1.081404760813056E-3</v>
      </c>
      <c r="AH112" s="16">
        <f t="shared" ca="1" si="82"/>
        <v>1.081404760813056E-3</v>
      </c>
      <c r="AI112" s="16">
        <f t="shared" ca="1" si="83"/>
        <v>2.02763392652448E-3</v>
      </c>
      <c r="AJ112" s="16">
        <f t="shared" ca="1" si="63"/>
        <v>1.6559158444261679E-3</v>
      </c>
      <c r="AK112" s="16">
        <f t="shared" ca="1" si="64"/>
        <v>3.0319512355951199E-4</v>
      </c>
      <c r="AL112" s="16">
        <f t="shared" ca="1" si="84"/>
        <v>4.2039757630648656E-4</v>
      </c>
      <c r="AM112" s="16">
        <f t="shared" ca="1" si="85"/>
        <v>1.5758680127224733E-3</v>
      </c>
    </row>
    <row r="113" spans="2:39" ht="16.5" x14ac:dyDescent="0.3">
      <c r="B113" s="44">
        <f t="shared" si="97"/>
        <v>87</v>
      </c>
      <c r="C113" s="44">
        <f t="shared" si="97"/>
        <v>87</v>
      </c>
      <c r="D113" s="44">
        <f t="shared" si="65"/>
        <v>0.2</v>
      </c>
      <c r="E113" s="14">
        <f t="shared" ca="1" si="66"/>
        <v>1.3512042316890093E-4</v>
      </c>
      <c r="F113" s="14">
        <f t="shared" ca="1" si="67"/>
        <v>1.201530908973814E-4</v>
      </c>
      <c r="G113" s="14">
        <f t="shared" ca="1" si="68"/>
        <v>3.83063814385571E-5</v>
      </c>
      <c r="H113" s="14">
        <f t="shared" ca="1" si="69"/>
        <v>1.5041383710070869E-4</v>
      </c>
      <c r="I113" s="14">
        <f t="shared" ca="1" si="70"/>
        <v>7.9557050061860484E-5</v>
      </c>
      <c r="J113" s="14">
        <f t="shared" ca="1" si="71"/>
        <v>4.989139389178814E-4</v>
      </c>
      <c r="K113" s="14">
        <f t="shared" ca="1" si="72"/>
        <v>9.346476460238898E-4</v>
      </c>
      <c r="L113" s="14">
        <f t="shared" ca="1" si="73"/>
        <v>0.94456897958951036</v>
      </c>
      <c r="M113" s="14">
        <f t="shared" ca="1" si="74"/>
        <v>1.5758296525674179E-2</v>
      </c>
      <c r="N113" s="14">
        <f t="shared" ca="1" si="75"/>
        <v>4.1310731144103899E-3</v>
      </c>
      <c r="O113" s="14">
        <f t="shared" ca="1" si="76"/>
        <v>2.9753293231370675E-3</v>
      </c>
      <c r="P113" s="14">
        <f t="shared" ca="1" si="77"/>
        <v>3.0609209079657022E-2</v>
      </c>
      <c r="R113" s="44">
        <f t="shared" ca="1" si="62"/>
        <v>0.99999999999999822</v>
      </c>
      <c r="S113" s="16">
        <f t="shared" ca="1" si="78"/>
        <v>1.3841803709633795</v>
      </c>
      <c r="T113" s="16">
        <f t="shared" ca="1" si="87"/>
        <v>0.39547405716418166</v>
      </c>
      <c r="U113" s="16">
        <f t="shared" ca="1" si="88"/>
        <v>0.1260823713651163</v>
      </c>
      <c r="V113" s="16">
        <f t="shared" ca="1" si="89"/>
        <v>0.3818770106215868</v>
      </c>
      <c r="W113" s="16">
        <f t="shared" ca="1" si="90"/>
        <v>0.18188363019998288</v>
      </c>
      <c r="X113" s="16">
        <f t="shared" ca="1" si="91"/>
        <v>1.1313119037074117</v>
      </c>
      <c r="Y113" s="16">
        <f t="shared" ca="1" si="92"/>
        <v>2.2099411083106641</v>
      </c>
      <c r="Z113" s="16">
        <f t="shared" ca="1" si="79"/>
        <v>0</v>
      </c>
      <c r="AA113" s="16">
        <f t="shared" ca="1" si="93"/>
        <v>6.7296998833715032</v>
      </c>
      <c r="AB113" s="16">
        <f t="shared" ca="1" si="94"/>
        <v>4.2213269037611303</v>
      </c>
      <c r="AC113" s="16">
        <f t="shared" ca="1" si="95"/>
        <v>0.51493326814931284</v>
      </c>
      <c r="AD113" s="16">
        <f t="shared" ca="1" si="96"/>
        <v>0</v>
      </c>
      <c r="AF113" s="16">
        <f t="shared" ca="1" si="80"/>
        <v>0.98228459110671484</v>
      </c>
      <c r="AG113" s="16">
        <f t="shared" ca="1" si="81"/>
        <v>1.0813059621753063E-3</v>
      </c>
      <c r="AH113" s="16">
        <f t="shared" ca="1" si="82"/>
        <v>1.0813059621753063E-3</v>
      </c>
      <c r="AI113" s="16">
        <f t="shared" ca="1" si="83"/>
        <v>2.0274486790786994E-3</v>
      </c>
      <c r="AJ113" s="16">
        <f t="shared" ca="1" si="63"/>
        <v>1.6557645576595603E-3</v>
      </c>
      <c r="AK113" s="16">
        <f t="shared" ca="1" si="64"/>
        <v>3.0316742323280212E-4</v>
      </c>
      <c r="AL113" s="16">
        <f t="shared" ca="1" si="84"/>
        <v>4.1632777020157952E-4</v>
      </c>
      <c r="AM113" s="16">
        <f t="shared" ca="1" si="85"/>
        <v>1.5536635569864386E-3</v>
      </c>
    </row>
    <row r="114" spans="2:39" ht="16.5" x14ac:dyDescent="0.3">
      <c r="B114" s="44">
        <f t="shared" si="97"/>
        <v>88</v>
      </c>
      <c r="C114" s="44">
        <f t="shared" si="97"/>
        <v>88</v>
      </c>
      <c r="D114" s="44">
        <f t="shared" si="65"/>
        <v>0.2</v>
      </c>
      <c r="E114" s="14">
        <f t="shared" ca="1" si="66"/>
        <v>1.3510839286230074E-4</v>
      </c>
      <c r="F114" s="14">
        <f t="shared" ca="1" si="67"/>
        <v>1.2014233735512883E-4</v>
      </c>
      <c r="G114" s="14">
        <f t="shared" ca="1" si="68"/>
        <v>3.8302921490510376E-5</v>
      </c>
      <c r="H114" s="14">
        <f t="shared" ca="1" si="69"/>
        <v>1.5003520963344826E-4</v>
      </c>
      <c r="I114" s="14">
        <f t="shared" ca="1" si="70"/>
        <v>7.5930172603630417E-5</v>
      </c>
      <c r="J114" s="14">
        <f t="shared" ca="1" si="71"/>
        <v>4.8361898681680471E-4</v>
      </c>
      <c r="K114" s="14">
        <f t="shared" ca="1" si="72"/>
        <v>9.2920518670200824E-4</v>
      </c>
      <c r="L114" s="14">
        <f t="shared" ca="1" si="73"/>
        <v>0.94498677175964896</v>
      </c>
      <c r="M114" s="14">
        <f t="shared" ca="1" si="74"/>
        <v>1.5280021715365482E-2</v>
      </c>
      <c r="N114" s="14">
        <f t="shared" ca="1" si="75"/>
        <v>4.1375994229926345E-3</v>
      </c>
      <c r="O114" s="14">
        <f t="shared" ca="1" si="76"/>
        <v>2.9762018630800934E-3</v>
      </c>
      <c r="P114" s="14">
        <f t="shared" ca="1" si="77"/>
        <v>3.0687062031447193E-2</v>
      </c>
      <c r="R114" s="44">
        <f t="shared" ca="1" si="62"/>
        <v>0.99999999999999822</v>
      </c>
      <c r="S114" s="16">
        <f t="shared" ca="1" si="78"/>
        <v>1.3840571319010517</v>
      </c>
      <c r="T114" s="16">
        <f t="shared" ca="1" si="87"/>
        <v>0.39543856707231967</v>
      </c>
      <c r="U114" s="16">
        <f t="shared" ca="1" si="88"/>
        <v>0.12607095022567597</v>
      </c>
      <c r="V114" s="16">
        <f t="shared" ca="1" si="89"/>
        <v>0.3808972834876948</v>
      </c>
      <c r="W114" s="16">
        <f t="shared" ca="1" si="90"/>
        <v>0.17353855138214447</v>
      </c>
      <c r="X114" s="16">
        <f t="shared" ca="1" si="91"/>
        <v>1.096600335990825</v>
      </c>
      <c r="Y114" s="16">
        <f t="shared" ca="1" si="92"/>
        <v>2.1968301412923799</v>
      </c>
      <c r="Z114" s="16">
        <f t="shared" ca="1" si="79"/>
        <v>0</v>
      </c>
      <c r="AA114" s="16">
        <f t="shared" ca="1" si="93"/>
        <v>6.5247200690401526</v>
      </c>
      <c r="AB114" s="16">
        <f t="shared" ca="1" si="94"/>
        <v>4.2210635035020569</v>
      </c>
      <c r="AC114" s="16">
        <f t="shared" ca="1" si="95"/>
        <v>0.5149011375990532</v>
      </c>
      <c r="AD114" s="16">
        <f t="shared" ca="1" si="96"/>
        <v>0</v>
      </c>
      <c r="AF114" s="16">
        <f t="shared" ca="1" si="80"/>
        <v>0.98278763507716893</v>
      </c>
      <c r="AG114" s="16">
        <f t="shared" ca="1" si="81"/>
        <v>1.0812077640404236E-3</v>
      </c>
      <c r="AH114" s="16">
        <f t="shared" ca="1" si="82"/>
        <v>1.0812077640404236E-3</v>
      </c>
      <c r="AI114" s="16">
        <f t="shared" ca="1" si="83"/>
        <v>2.0272645575757945E-3</v>
      </c>
      <c r="AJ114" s="16">
        <f t="shared" ca="1" si="63"/>
        <v>1.6556141904211889E-3</v>
      </c>
      <c r="AK114" s="16">
        <f t="shared" ca="1" si="64"/>
        <v>3.0313989127000898E-4</v>
      </c>
      <c r="AL114" s="16">
        <f t="shared" ca="1" si="84"/>
        <v>4.1241062902651619E-4</v>
      </c>
      <c r="AM114" s="16">
        <f t="shared" ca="1" si="85"/>
        <v>1.5323171585099893E-3</v>
      </c>
    </row>
    <row r="115" spans="2:39" ht="16.5" x14ac:dyDescent="0.3">
      <c r="B115" s="44">
        <f t="shared" si="97"/>
        <v>89</v>
      </c>
      <c r="C115" s="44">
        <f t="shared" si="97"/>
        <v>89</v>
      </c>
      <c r="D115" s="44">
        <f t="shared" si="65"/>
        <v>0.2</v>
      </c>
      <c r="E115" s="14">
        <f t="shared" ca="1" si="66"/>
        <v>1.3509642319323154E-4</v>
      </c>
      <c r="F115" s="14">
        <f t="shared" ca="1" si="67"/>
        <v>1.2013164027188182E-4</v>
      </c>
      <c r="G115" s="14">
        <f t="shared" ca="1" si="68"/>
        <v>3.8299480988879863E-5</v>
      </c>
      <c r="H115" s="14">
        <f t="shared" ca="1" si="69"/>
        <v>1.4967144133987945E-4</v>
      </c>
      <c r="I115" s="14">
        <f t="shared" ca="1" si="70"/>
        <v>7.2513535955844906E-5</v>
      </c>
      <c r="J115" s="14">
        <f t="shared" ca="1" si="71"/>
        <v>4.6881855672407246E-4</v>
      </c>
      <c r="K115" s="14">
        <f t="shared" ca="1" si="72"/>
        <v>9.2398994298959142E-4</v>
      </c>
      <c r="L115" s="14">
        <f t="shared" ca="1" si="73"/>
        <v>0.94538617522295321</v>
      </c>
      <c r="M115" s="14">
        <f t="shared" ca="1" si="74"/>
        <v>1.4819601246209827E-2</v>
      </c>
      <c r="N115" s="14">
        <f t="shared" ca="1" si="75"/>
        <v>4.143842037949692E-3</v>
      </c>
      <c r="O115" s="14">
        <f t="shared" ca="1" si="76"/>
        <v>2.9770036342951778E-3</v>
      </c>
      <c r="P115" s="14">
        <f t="shared" ca="1" si="77"/>
        <v>3.076485683712684E-2</v>
      </c>
      <c r="R115" s="44">
        <f t="shared" ca="1" si="62"/>
        <v>0.99999999999999811</v>
      </c>
      <c r="S115" s="16">
        <f t="shared" ca="1" si="78"/>
        <v>1.3839345140126234</v>
      </c>
      <c r="T115" s="16">
        <f t="shared" ca="1" si="87"/>
        <v>0.39540326717222568</v>
      </c>
      <c r="U115" s="16">
        <f t="shared" ca="1" si="88"/>
        <v>0.12605959460417135</v>
      </c>
      <c r="V115" s="16">
        <f t="shared" ca="1" si="89"/>
        <v>0.37995610383794592</v>
      </c>
      <c r="W115" s="16">
        <f t="shared" ca="1" si="90"/>
        <v>0.16567731871206648</v>
      </c>
      <c r="X115" s="16">
        <f t="shared" ca="1" si="91"/>
        <v>1.0630110227361822</v>
      </c>
      <c r="Y115" s="16">
        <f t="shared" ca="1" si="92"/>
        <v>2.1842684396110039</v>
      </c>
      <c r="Z115" s="16">
        <f t="shared" ca="1" si="79"/>
        <v>0</v>
      </c>
      <c r="AA115" s="16">
        <f t="shared" ca="1" si="93"/>
        <v>6.3273922408675531</v>
      </c>
      <c r="AB115" s="16">
        <f t="shared" ca="1" si="94"/>
        <v>4.2207976555235796</v>
      </c>
      <c r="AC115" s="16">
        <f t="shared" ca="1" si="95"/>
        <v>0.51486870846681521</v>
      </c>
      <c r="AD115" s="16">
        <f t="shared" ca="1" si="96"/>
        <v>0</v>
      </c>
      <c r="AF115" s="16">
        <f t="shared" ca="1" si="80"/>
        <v>0.98327187773232494</v>
      </c>
      <c r="AG115" s="16">
        <f t="shared" ca="1" si="81"/>
        <v>1.0811101391875876E-3</v>
      </c>
      <c r="AH115" s="16">
        <f t="shared" ca="1" si="82"/>
        <v>1.0811101391875876E-3</v>
      </c>
      <c r="AI115" s="16">
        <f t="shared" ca="1" si="83"/>
        <v>2.0270815109767267E-3</v>
      </c>
      <c r="AJ115" s="16">
        <f t="shared" ca="1" si="63"/>
        <v>1.6554647010287992E-3</v>
      </c>
      <c r="AK115" s="16">
        <f t="shared" ca="1" si="64"/>
        <v>3.0311252003918898E-4</v>
      </c>
      <c r="AL115" s="16">
        <f t="shared" ca="1" si="84"/>
        <v>4.0863994066429329E-4</v>
      </c>
      <c r="AM115" s="16">
        <f t="shared" ca="1" si="85"/>
        <v>1.5117921737993133E-3</v>
      </c>
    </row>
    <row r="116" spans="2:39" ht="16.5" x14ac:dyDescent="0.3">
      <c r="B116" s="44">
        <f t="shared" si="97"/>
        <v>90</v>
      </c>
      <c r="C116" s="44">
        <f t="shared" si="97"/>
        <v>90</v>
      </c>
      <c r="D116" s="44">
        <f t="shared" si="65"/>
        <v>0.2</v>
      </c>
      <c r="E116" s="14">
        <f t="shared" ca="1" si="66"/>
        <v>1.3508451145558274E-4</v>
      </c>
      <c r="F116" s="14">
        <f t="shared" ca="1" si="67"/>
        <v>1.201209971197289E-4</v>
      </c>
      <c r="G116" s="14">
        <f t="shared" ca="1" si="68"/>
        <v>3.8296059057813145E-5</v>
      </c>
      <c r="H116" s="14">
        <f t="shared" ca="1" si="69"/>
        <v>1.4932187765275782E-4</v>
      </c>
      <c r="I116" s="14">
        <f t="shared" ca="1" si="70"/>
        <v>6.9294868148290335E-5</v>
      </c>
      <c r="J116" s="14">
        <f t="shared" ca="1" si="71"/>
        <v>4.5449670203155255E-4</v>
      </c>
      <c r="K116" s="14">
        <f t="shared" ca="1" si="72"/>
        <v>9.1899102163402408E-4</v>
      </c>
      <c r="L116" s="14">
        <f t="shared" ca="1" si="73"/>
        <v>0.94576787772939208</v>
      </c>
      <c r="M116" s="14">
        <f t="shared" ca="1" si="74"/>
        <v>1.4376368786798653E-2</v>
      </c>
      <c r="N116" s="14">
        <f t="shared" ca="1" si="75"/>
        <v>4.1498127016773665E-3</v>
      </c>
      <c r="O116" s="14">
        <f t="shared" ca="1" si="76"/>
        <v>2.9777392472149469E-3</v>
      </c>
      <c r="P116" s="14">
        <f t="shared" ca="1" si="77"/>
        <v>3.0842595497815387E-2</v>
      </c>
      <c r="R116" s="44">
        <f t="shared" ca="1" si="62"/>
        <v>0.99999999999999811</v>
      </c>
      <c r="S116" s="16">
        <f t="shared" ca="1" si="78"/>
        <v>1.3838124895765622</v>
      </c>
      <c r="T116" s="16">
        <f t="shared" ca="1" si="87"/>
        <v>0.39536814893394334</v>
      </c>
      <c r="U116" s="16">
        <f t="shared" ca="1" si="88"/>
        <v>0.12604830154473967</v>
      </c>
      <c r="V116" s="16">
        <f t="shared" ca="1" si="89"/>
        <v>0.3790517700861058</v>
      </c>
      <c r="W116" s="16">
        <f t="shared" ca="1" si="90"/>
        <v>0.1582716868960268</v>
      </c>
      <c r="X116" s="16">
        <f t="shared" ca="1" si="91"/>
        <v>1.0305077788815822</v>
      </c>
      <c r="Y116" s="16">
        <f t="shared" ca="1" si="92"/>
        <v>2.1722295139536247</v>
      </c>
      <c r="Z116" s="16">
        <f t="shared" ca="1" si="79"/>
        <v>0</v>
      </c>
      <c r="AA116" s="16">
        <f t="shared" ca="1" si="93"/>
        <v>6.1374308404888778</v>
      </c>
      <c r="AB116" s="16">
        <f t="shared" ca="1" si="94"/>
        <v>4.2205294587713897</v>
      </c>
      <c r="AC116" s="16">
        <f t="shared" ca="1" si="95"/>
        <v>0.51483599282236059</v>
      </c>
      <c r="AD116" s="16">
        <f t="shared" ca="1" si="96"/>
        <v>0</v>
      </c>
      <c r="AF116" s="16">
        <f t="shared" ca="1" si="80"/>
        <v>0.98373802517609976</v>
      </c>
      <c r="AG116" s="16">
        <f t="shared" ca="1" si="81"/>
        <v>1.08101306171572E-3</v>
      </c>
      <c r="AH116" s="16">
        <f t="shared" ca="1" si="82"/>
        <v>1.08101306171572E-3</v>
      </c>
      <c r="AI116" s="16">
        <f t="shared" ca="1" si="83"/>
        <v>2.0268994907169748E-3</v>
      </c>
      <c r="AJ116" s="16">
        <f t="shared" ca="1" si="63"/>
        <v>1.6553160498210112E-3</v>
      </c>
      <c r="AK116" s="16">
        <f t="shared" ca="1" si="64"/>
        <v>3.0308530227841674E-4</v>
      </c>
      <c r="AL116" s="16">
        <f t="shared" ca="1" si="84"/>
        <v>4.0500976842252647E-4</v>
      </c>
      <c r="AM116" s="16">
        <f t="shared" ca="1" si="85"/>
        <v>1.4920537608590391E-3</v>
      </c>
    </row>
    <row r="117" spans="2:39" ht="16.5" x14ac:dyDescent="0.3">
      <c r="B117" s="44">
        <f t="shared" si="97"/>
        <v>91</v>
      </c>
      <c r="C117" s="44">
        <f t="shared" si="97"/>
        <v>91</v>
      </c>
      <c r="D117" s="44">
        <f t="shared" si="65"/>
        <v>0.2</v>
      </c>
      <c r="E117" s="14">
        <f t="shared" ca="1" si="66"/>
        <v>1.3507265507240834E-4</v>
      </c>
      <c r="F117" s="14">
        <f t="shared" ca="1" si="67"/>
        <v>1.2011040549180234E-4</v>
      </c>
      <c r="G117" s="14">
        <f t="shared" ca="1" si="68"/>
        <v>3.8292654863647439E-5</v>
      </c>
      <c r="H117" s="14">
        <f t="shared" ca="1" si="69"/>
        <v>1.4898589536913585E-4</v>
      </c>
      <c r="I117" s="14">
        <f t="shared" ca="1" si="70"/>
        <v>6.6262615818878093E-5</v>
      </c>
      <c r="J117" s="14">
        <f t="shared" ca="1" si="71"/>
        <v>4.4063798738221024E-4</v>
      </c>
      <c r="K117" s="14">
        <f t="shared" ca="1" si="72"/>
        <v>9.1419816177463467E-4</v>
      </c>
      <c r="L117" s="14">
        <f t="shared" ca="1" si="73"/>
        <v>0.94613254120930601</v>
      </c>
      <c r="M117" s="14">
        <f t="shared" ca="1" si="74"/>
        <v>1.3949682804759183E-2</v>
      </c>
      <c r="N117" s="14">
        <f t="shared" ca="1" si="75"/>
        <v>4.1555226704102447E-3</v>
      </c>
      <c r="O117" s="14">
        <f t="shared" ca="1" si="76"/>
        <v>2.9784130091313425E-3</v>
      </c>
      <c r="P117" s="14">
        <f t="shared" ca="1" si="77"/>
        <v>3.0920279930618716E-2</v>
      </c>
      <c r="R117" s="44">
        <f t="shared" ca="1" si="62"/>
        <v>0.99999999999999822</v>
      </c>
      <c r="S117" s="16">
        <f t="shared" ca="1" si="78"/>
        <v>1.3836910321945046</v>
      </c>
      <c r="T117" s="16">
        <f t="shared" ca="1" si="87"/>
        <v>0.39533320423662721</v>
      </c>
      <c r="U117" s="16">
        <f t="shared" ca="1" si="88"/>
        <v>0.12603706823414279</v>
      </c>
      <c r="V117" s="16">
        <f t="shared" ca="1" si="89"/>
        <v>0.37818266232623593</v>
      </c>
      <c r="W117" s="16">
        <f t="shared" ca="1" si="90"/>
        <v>0.15129506459370143</v>
      </c>
      <c r="X117" s="16">
        <f t="shared" ca="1" si="91"/>
        <v>0.99905557916461962</v>
      </c>
      <c r="Y117" s="16">
        <f t="shared" ca="1" si="92"/>
        <v>2.1606884310246159</v>
      </c>
      <c r="Z117" s="16">
        <f t="shared" ca="1" si="79"/>
        <v>0</v>
      </c>
      <c r="AA117" s="16">
        <f t="shared" ca="1" si="93"/>
        <v>5.9545609353193303</v>
      </c>
      <c r="AB117" s="16">
        <f t="shared" ca="1" si="94"/>
        <v>4.2202590073895312</v>
      </c>
      <c r="AC117" s="16">
        <f t="shared" ca="1" si="95"/>
        <v>0.51480300214973229</v>
      </c>
      <c r="AD117" s="16">
        <f t="shared" ca="1" si="96"/>
        <v>0</v>
      </c>
      <c r="AF117" s="16">
        <f t="shared" ca="1" si="80"/>
        <v>0.98418675681946632</v>
      </c>
      <c r="AG117" s="16">
        <f t="shared" ca="1" si="81"/>
        <v>1.0809165069752965E-3</v>
      </c>
      <c r="AH117" s="16">
        <f t="shared" ca="1" si="82"/>
        <v>1.0809165069752965E-3</v>
      </c>
      <c r="AI117" s="16">
        <f t="shared" ca="1" si="83"/>
        <v>2.026718450578681E-3</v>
      </c>
      <c r="AJ117" s="16">
        <f t="shared" ca="1" si="63"/>
        <v>1.6551681990529035E-3</v>
      </c>
      <c r="AK117" s="16">
        <f t="shared" ca="1" si="64"/>
        <v>3.0305823107666712E-4</v>
      </c>
      <c r="AL117" s="16">
        <f t="shared" ca="1" si="84"/>
        <v>4.0151443779339892E-4</v>
      </c>
      <c r="AM117" s="16">
        <f t="shared" ca="1" si="85"/>
        <v>1.4730687686428344E-3</v>
      </c>
    </row>
    <row r="118" spans="2:39" ht="16.5" x14ac:dyDescent="0.3">
      <c r="B118" s="44">
        <f t="shared" si="97"/>
        <v>92</v>
      </c>
      <c r="C118" s="44">
        <f>C117+91.3</f>
        <v>182.3</v>
      </c>
      <c r="D118" s="44">
        <f t="shared" si="65"/>
        <v>0.5</v>
      </c>
      <c r="E118" s="14">
        <f t="shared" ref="E118:E136" ca="1" si="98">SUMPRODUCT($E117:$P117,$W$9:$AH$9)</f>
        <v>0</v>
      </c>
      <c r="F118" s="14">
        <f t="shared" ref="F118:F136" ca="1" si="99">SUMPRODUCT($E117:$P117,$W$10:$AH$10)</f>
        <v>0</v>
      </c>
      <c r="G118" s="14">
        <f t="shared" ref="G118:G136" ca="1" si="100">SUMPRODUCT($E117:$P117,$W$11:$AH$11)</f>
        <v>0</v>
      </c>
      <c r="H118" s="14">
        <f t="shared" ref="H118:H136" ca="1" si="101">SUMPRODUCT($E117:$P117,$W$12:$AH$12)</f>
        <v>2.6483415780749855E-4</v>
      </c>
      <c r="I118" s="14">
        <f t="shared" ref="I118:I136" ca="1" si="102">SUMPRODUCT($E117:$P117,$W$13:$AH$13)</f>
        <v>9.185927986818358E-8</v>
      </c>
      <c r="J118" s="14">
        <f t="shared" ref="J118:J136" ca="1" si="103">SUMPRODUCT($E117:$P117,$W$14:$AH$14)</f>
        <v>8.245694454213513E-8</v>
      </c>
      <c r="K118" s="14">
        <f t="shared" ref="K118:K136" ca="1" si="104">SUMPRODUCT($E117:$P117,$W$15:$AH$15)</f>
        <v>5.3892859897594538E-4</v>
      </c>
      <c r="L118" s="14">
        <f t="shared" ref="L118:L136" ca="1" si="105">SUMPRODUCT($E117:$P117,$W$16:$AH$16)</f>
        <v>0.95622842822414877</v>
      </c>
      <c r="M118" s="14">
        <f t="shared" ref="M118:M136" ca="1" si="106">SUMPRODUCT($E117:$P117,$W$17:$AH$17)</f>
        <v>2.2543621135910057E-3</v>
      </c>
      <c r="N118" s="14">
        <f t="shared" ref="N118:N136" ca="1" si="107">SUMPRODUCT($E117:$P117,$W$18:$AH$18)</f>
        <v>1.2033567776360994E-3</v>
      </c>
      <c r="O118" s="14">
        <f t="shared" ref="O118:O136" ca="1" si="108">SUMPRODUCT($E117:$P117,$W$19:$AH$19)</f>
        <v>1.3377676827701704E-3</v>
      </c>
      <c r="P118" s="14">
        <f t="shared" ref="P118:P136" ca="1" si="109">SUMPRODUCT($E117:$P117,$W$20:$AH$20)</f>
        <v>3.8172148128844383E-2</v>
      </c>
      <c r="R118" s="44">
        <f t="shared" ca="1" si="62"/>
        <v>0.99999999999999822</v>
      </c>
      <c r="S118" s="16">
        <f t="shared" ca="1" si="78"/>
        <v>0</v>
      </c>
      <c r="T118" s="16">
        <f t="shared" ca="1" si="87"/>
        <v>18.046165096019148</v>
      </c>
      <c r="U118" s="16">
        <f t="shared" ca="1" si="88"/>
        <v>5.7533364308009611</v>
      </c>
      <c r="V118" s="16">
        <f t="shared" ca="1" si="89"/>
        <v>47.898217819168678</v>
      </c>
      <c r="W118" s="16">
        <f t="shared" ca="1" si="90"/>
        <v>6.7614876198950213</v>
      </c>
      <c r="X118" s="16">
        <f t="shared" ca="1" si="91"/>
        <v>44.909191485809416</v>
      </c>
      <c r="Y118" s="16">
        <f t="shared" ca="1" si="92"/>
        <v>156.37205330380669</v>
      </c>
      <c r="Z118" s="16">
        <f t="shared" ca="1" si="79"/>
        <v>0</v>
      </c>
      <c r="AA118" s="16">
        <f t="shared" ca="1" si="93"/>
        <v>310.99823051925296</v>
      </c>
      <c r="AB118" s="16">
        <f ca="1">(N118-(N117*$AF$18))*AB$25</f>
        <v>28.382156353105067</v>
      </c>
      <c r="AC118" s="16">
        <f ca="1">(O118-(O117*$AG$19))*AC$25</f>
        <v>3.4549188175222421</v>
      </c>
      <c r="AD118" s="16">
        <f t="shared" ca="1" si="96"/>
        <v>0</v>
      </c>
      <c r="AF118" s="16">
        <f t="shared" ca="1" si="80"/>
        <v>0.99694170081339939</v>
      </c>
      <c r="AG118" s="16">
        <f t="shared" ca="1" si="81"/>
        <v>9.4575959991457007E-4</v>
      </c>
      <c r="AH118" s="16">
        <f t="shared" ca="1" si="82"/>
        <v>9.4575959991457007E-4</v>
      </c>
      <c r="AI118" s="16">
        <f t="shared" ca="1" si="83"/>
        <v>1.7732992498398189E-3</v>
      </c>
      <c r="AJ118" s="16">
        <f t="shared" ca="1" si="63"/>
        <v>1.4482073348181085E-3</v>
      </c>
      <c r="AK118" s="16">
        <f t="shared" ca="1" si="64"/>
        <v>2.6516408022662983E-4</v>
      </c>
      <c r="AL118" s="16">
        <f t="shared" ca="1" si="84"/>
        <v>3.0341990400516137E-2</v>
      </c>
      <c r="AM118" s="16">
        <f t="shared" ca="1" si="85"/>
        <v>9.1429268136316938E-2</v>
      </c>
    </row>
    <row r="119" spans="2:39" ht="16.5" x14ac:dyDescent="0.3">
      <c r="B119" s="44">
        <f t="shared" si="97"/>
        <v>93</v>
      </c>
      <c r="C119" s="44">
        <f t="shared" ref="C119:C136" si="110">C118+91.3</f>
        <v>273.60000000000002</v>
      </c>
      <c r="D119" s="44">
        <f t="shared" si="65"/>
        <v>0.7</v>
      </c>
      <c r="E119" s="14">
        <f t="shared" ca="1" si="98"/>
        <v>0</v>
      </c>
      <c r="F119" s="14">
        <f t="shared" ca="1" si="99"/>
        <v>0</v>
      </c>
      <c r="G119" s="14">
        <f t="shared" ca="1" si="100"/>
        <v>0</v>
      </c>
      <c r="H119" s="14">
        <f t="shared" ca="1" si="101"/>
        <v>0</v>
      </c>
      <c r="I119" s="14">
        <f t="shared" ca="1" si="102"/>
        <v>5.4982114667243764E-8</v>
      </c>
      <c r="J119" s="14">
        <f t="shared" ca="1" si="103"/>
        <v>4.935437319378021E-8</v>
      </c>
      <c r="K119" s="14">
        <f t="shared" ca="1" si="104"/>
        <v>2.1855826365303543E-4</v>
      </c>
      <c r="L119" s="14">
        <f t="shared" ca="1" si="105"/>
        <v>0.95125072921277676</v>
      </c>
      <c r="M119" s="14">
        <f t="shared" ca="1" si="106"/>
        <v>7.7888108366873398E-4</v>
      </c>
      <c r="N119" s="14">
        <f t="shared" ca="1" si="107"/>
        <v>1.2013520645952325E-3</v>
      </c>
      <c r="O119" s="14">
        <f t="shared" ca="1" si="108"/>
        <v>1.3355390500245537E-3</v>
      </c>
      <c r="P119" s="14">
        <f t="shared" ca="1" si="109"/>
        <v>4.521483598879205E-2</v>
      </c>
      <c r="R119" s="44">
        <f t="shared" ca="1" si="62"/>
        <v>0.99999999999999833</v>
      </c>
      <c r="S119" s="16">
        <f t="shared" ca="1" si="78"/>
        <v>0</v>
      </c>
      <c r="T119" s="16">
        <f t="shared" ca="1" si="87"/>
        <v>0</v>
      </c>
      <c r="U119" s="16">
        <f t="shared" ca="1" si="88"/>
        <v>0</v>
      </c>
      <c r="V119" s="16">
        <f t="shared" ca="1" si="89"/>
        <v>30.653623668655737</v>
      </c>
      <c r="W119" s="16">
        <f t="shared" ca="1" si="90"/>
        <v>1.4963064205720347E-2</v>
      </c>
      <c r="X119" s="16">
        <f t="shared" ca="1" si="91"/>
        <v>1.3431506943685851E-2</v>
      </c>
      <c r="Y119" s="16">
        <f t="shared" ca="1" si="92"/>
        <v>81.513725615217297</v>
      </c>
      <c r="Z119" s="16">
        <f t="shared" ca="1" si="79"/>
        <v>0</v>
      </c>
      <c r="AA119" s="16">
        <f t="shared" ca="1" si="93"/>
        <v>58.215912868401603</v>
      </c>
      <c r="AB119" s="16">
        <f t="shared" ref="AB119:AB136" ca="1" si="111">(N119-(N118*$AF$18))*AB$25</f>
        <v>28.334873552171526</v>
      </c>
      <c r="AC119" s="16">
        <f t="shared" ref="AC119:AC136" ca="1" si="112">(O119-(O118*$AG$19))*AC$25</f>
        <v>3.4491631505934124</v>
      </c>
      <c r="AD119" s="16">
        <f t="shared" ca="1" si="96"/>
        <v>0</v>
      </c>
      <c r="AF119" s="16">
        <f t="shared" ca="1" si="80"/>
        <v>0.99900245631618867</v>
      </c>
      <c r="AG119" s="16">
        <v>0</v>
      </c>
      <c r="AH119" s="16">
        <f t="shared" ca="1" si="82"/>
        <v>0</v>
      </c>
      <c r="AI119" s="16">
        <f t="shared" ca="1" si="83"/>
        <v>0</v>
      </c>
      <c r="AJ119" s="16">
        <f t="shared" ca="1" si="63"/>
        <v>0</v>
      </c>
      <c r="AK119" s="16">
        <f t="shared" ca="1" si="64"/>
        <v>0</v>
      </c>
      <c r="AL119" s="16">
        <f t="shared" ca="1" si="84"/>
        <v>1.2091998322007304E-2</v>
      </c>
      <c r="AM119" s="16">
        <f t="shared" ca="1" si="85"/>
        <v>3.4589676757233172E-2</v>
      </c>
    </row>
    <row r="120" spans="2:39" ht="16.5" x14ac:dyDescent="0.3">
      <c r="B120" s="44">
        <f t="shared" si="97"/>
        <v>94</v>
      </c>
      <c r="C120" s="44">
        <f t="shared" si="110"/>
        <v>364.90000000000003</v>
      </c>
      <c r="D120" s="44">
        <f t="shared" si="65"/>
        <v>1</v>
      </c>
      <c r="E120" s="14">
        <f t="shared" ca="1" si="98"/>
        <v>0</v>
      </c>
      <c r="F120" s="14">
        <f t="shared" ca="1" si="99"/>
        <v>0</v>
      </c>
      <c r="G120" s="14">
        <f t="shared" ca="1" si="100"/>
        <v>0</v>
      </c>
      <c r="H120" s="14">
        <f t="shared" ca="1" si="101"/>
        <v>0</v>
      </c>
      <c r="I120" s="14">
        <f t="shared" ca="1" si="102"/>
        <v>0</v>
      </c>
      <c r="J120" s="14">
        <f t="shared" ca="1" si="103"/>
        <v>0</v>
      </c>
      <c r="K120" s="14">
        <f t="shared" ca="1" si="104"/>
        <v>8.5843866754762579E-8</v>
      </c>
      <c r="L120" s="14">
        <f t="shared" ca="1" si="105"/>
        <v>0.94467971539017936</v>
      </c>
      <c r="M120" s="14">
        <f t="shared" ca="1" si="106"/>
        <v>6.9159589627421417E-4</v>
      </c>
      <c r="N120" s="14">
        <f t="shared" ca="1" si="107"/>
        <v>1.1932637178414197E-3</v>
      </c>
      <c r="O120" s="14">
        <f t="shared" ca="1" si="108"/>
        <v>1.3265472621397125E-3</v>
      </c>
      <c r="P120" s="14">
        <f t="shared" ca="1" si="109"/>
        <v>5.2108791889696637E-2</v>
      </c>
      <c r="R120" s="44">
        <f t="shared" ca="1" si="62"/>
        <v>0.99999999999999822</v>
      </c>
      <c r="S120" s="16">
        <f t="shared" ca="1" si="78"/>
        <v>0</v>
      </c>
      <c r="T120" s="16">
        <f t="shared" ca="1" si="87"/>
        <v>0</v>
      </c>
      <c r="U120" s="16">
        <f t="shared" ca="1" si="88"/>
        <v>0</v>
      </c>
      <c r="V120" s="16">
        <f t="shared" ca="1" si="89"/>
        <v>0</v>
      </c>
      <c r="W120" s="16">
        <f t="shared" ca="1" si="90"/>
        <v>5.602649815027191E-3</v>
      </c>
      <c r="X120" s="16">
        <f t="shared" ca="1" si="91"/>
        <v>5.0291857910232914E-3</v>
      </c>
      <c r="Y120" s="16">
        <f t="shared" ca="1" si="92"/>
        <v>23.528455300064724</v>
      </c>
      <c r="Z120" s="16">
        <f t="shared" ca="1" si="79"/>
        <v>0</v>
      </c>
      <c r="AA120" s="16">
        <f t="shared" ca="1" si="93"/>
        <v>28.222319864323939</v>
      </c>
      <c r="AB120" s="16">
        <f t="shared" ca="1" si="111"/>
        <v>28.144103261538515</v>
      </c>
      <c r="AC120" s="16">
        <f t="shared" ca="1" si="112"/>
        <v>3.4259409592020211</v>
      </c>
      <c r="AD120" s="16">
        <f t="shared" ca="1" si="96"/>
        <v>0</v>
      </c>
      <c r="AF120" s="16">
        <f t="shared" ca="1" si="80"/>
        <v>0.99930831825985722</v>
      </c>
      <c r="AG120" s="16">
        <v>0</v>
      </c>
      <c r="AH120" s="16">
        <f t="shared" ca="1" si="82"/>
        <v>0</v>
      </c>
      <c r="AI120" s="16">
        <f t="shared" ca="1" si="83"/>
        <v>0</v>
      </c>
      <c r="AJ120" s="16">
        <f t="shared" ca="1" si="63"/>
        <v>0</v>
      </c>
      <c r="AK120" s="16">
        <f t="shared" ca="1" si="64"/>
        <v>0</v>
      </c>
      <c r="AL120" s="16">
        <f t="shared" ca="1" si="84"/>
        <v>8.6831454589327284E-7</v>
      </c>
      <c r="AM120" s="16">
        <f t="shared" ca="1" si="85"/>
        <v>9.984998154403386E-3</v>
      </c>
    </row>
    <row r="121" spans="2:39" ht="16.5" x14ac:dyDescent="0.3">
      <c r="B121" s="44">
        <f t="shared" si="97"/>
        <v>95</v>
      </c>
      <c r="C121" s="44">
        <f t="shared" si="110"/>
        <v>456.20000000000005</v>
      </c>
      <c r="D121" s="44">
        <f t="shared" si="65"/>
        <v>1.2</v>
      </c>
      <c r="E121" s="14">
        <f t="shared" ca="1" si="98"/>
        <v>0</v>
      </c>
      <c r="F121" s="14">
        <f t="shared" ca="1" si="99"/>
        <v>0</v>
      </c>
      <c r="G121" s="14">
        <f t="shared" ca="1" si="100"/>
        <v>0</v>
      </c>
      <c r="H121" s="14">
        <f t="shared" ca="1" si="101"/>
        <v>0</v>
      </c>
      <c r="I121" s="14">
        <f t="shared" ca="1" si="102"/>
        <v>0</v>
      </c>
      <c r="J121" s="14">
        <f t="shared" ca="1" si="103"/>
        <v>0</v>
      </c>
      <c r="K121" s="14">
        <f t="shared" ca="1" si="104"/>
        <v>0</v>
      </c>
      <c r="L121" s="14">
        <f t="shared" ca="1" si="105"/>
        <v>0.93793246266363417</v>
      </c>
      <c r="M121" s="14">
        <f t="shared" ca="1" si="106"/>
        <v>6.487699017280336E-4</v>
      </c>
      <c r="N121" s="14">
        <f t="shared" ca="1" si="107"/>
        <v>1.1849182771689506E-3</v>
      </c>
      <c r="O121" s="14">
        <f t="shared" ca="1" si="108"/>
        <v>1.3172696638101165E-3</v>
      </c>
      <c r="P121" s="14">
        <f t="shared" ca="1" si="109"/>
        <v>5.8916579493656848E-2</v>
      </c>
      <c r="R121" s="44">
        <f t="shared" ca="1" si="62"/>
        <v>0.999999999999998</v>
      </c>
      <c r="S121" s="16">
        <f t="shared" ca="1" si="78"/>
        <v>0</v>
      </c>
      <c r="T121" s="16">
        <f t="shared" ca="1" si="87"/>
        <v>0</v>
      </c>
      <c r="U121" s="16">
        <f t="shared" ca="1" si="88"/>
        <v>0</v>
      </c>
      <c r="V121" s="16">
        <f t="shared" ca="1" si="89"/>
        <v>0</v>
      </c>
      <c r="W121" s="16">
        <f t="shared" ca="1" si="90"/>
        <v>0</v>
      </c>
      <c r="X121" s="16">
        <f t="shared" ca="1" si="91"/>
        <v>0</v>
      </c>
      <c r="Y121" s="16">
        <f t="shared" ca="1" si="92"/>
        <v>9.2377224551607358E-3</v>
      </c>
      <c r="Z121" s="16">
        <f t="shared" ca="1" si="79"/>
        <v>0</v>
      </c>
      <c r="AA121" s="16">
        <f t="shared" ca="1" si="93"/>
        <v>25.725144155528984</v>
      </c>
      <c r="AB121" s="16">
        <f t="shared" ca="1" si="111"/>
        <v>27.947269200016979</v>
      </c>
      <c r="AC121" s="16">
        <f t="shared" ca="1" si="112"/>
        <v>3.4019806337560068</v>
      </c>
      <c r="AD121" s="16">
        <f t="shared" ca="1" si="96"/>
        <v>0</v>
      </c>
      <c r="AF121" s="16">
        <f t="shared" ca="1" si="80"/>
        <v>0.99935123009826998</v>
      </c>
      <c r="AG121" s="16">
        <v>0</v>
      </c>
      <c r="AH121" s="16">
        <f t="shared" ca="1" si="82"/>
        <v>0</v>
      </c>
      <c r="AI121" s="16">
        <f t="shared" ca="1" si="83"/>
        <v>0</v>
      </c>
      <c r="AJ121" s="16">
        <f t="shared" ca="1" si="63"/>
        <v>0</v>
      </c>
      <c r="AK121" s="16">
        <f t="shared" ca="1" si="64"/>
        <v>0</v>
      </c>
      <c r="AL121" s="16">
        <f t="shared" ca="1" si="84"/>
        <v>0</v>
      </c>
      <c r="AM121" s="16">
        <f t="shared" ca="1" si="85"/>
        <v>3.9187725173549125E-6</v>
      </c>
    </row>
    <row r="122" spans="2:39" ht="16.5" x14ac:dyDescent="0.3">
      <c r="B122" s="44">
        <f t="shared" si="97"/>
        <v>96</v>
      </c>
      <c r="C122" s="44">
        <f t="shared" si="110"/>
        <v>547.5</v>
      </c>
      <c r="D122" s="44">
        <f t="shared" si="65"/>
        <v>1.5</v>
      </c>
      <c r="E122" s="14">
        <f t="shared" ca="1" si="98"/>
        <v>0</v>
      </c>
      <c r="F122" s="14">
        <f t="shared" ca="1" si="99"/>
        <v>0</v>
      </c>
      <c r="G122" s="14">
        <f t="shared" ca="1" si="100"/>
        <v>0</v>
      </c>
      <c r="H122" s="14">
        <f t="shared" ca="1" si="101"/>
        <v>0</v>
      </c>
      <c r="I122" s="14">
        <f t="shared" ca="1" si="102"/>
        <v>0</v>
      </c>
      <c r="J122" s="14">
        <f t="shared" ca="1" si="103"/>
        <v>0</v>
      </c>
      <c r="K122" s="14">
        <f t="shared" ca="1" si="104"/>
        <v>0</v>
      </c>
      <c r="L122" s="14">
        <f t="shared" ca="1" si="105"/>
        <v>0.9311969444045467</v>
      </c>
      <c r="M122" s="14">
        <f t="shared" ca="1" si="106"/>
        <v>6.4338044739397889E-4</v>
      </c>
      <c r="N122" s="14">
        <f t="shared" ca="1" si="107"/>
        <v>1.1764076652178764E-3</v>
      </c>
      <c r="O122" s="14">
        <f t="shared" ca="1" si="108"/>
        <v>1.3078084451255713E-3</v>
      </c>
      <c r="P122" s="14">
        <f t="shared" ca="1" si="109"/>
        <v>6.5675459037713851E-2</v>
      </c>
      <c r="R122" s="44">
        <f t="shared" ref="R122:R136" ca="1" si="113">SUM(E122:P122)</f>
        <v>0.999999999999998</v>
      </c>
      <c r="S122" s="16">
        <f t="shared" ca="1" si="78"/>
        <v>0</v>
      </c>
      <c r="T122" s="16">
        <f t="shared" ca="1" si="87"/>
        <v>0</v>
      </c>
      <c r="U122" s="16">
        <f t="shared" ca="1" si="88"/>
        <v>0</v>
      </c>
      <c r="V122" s="16">
        <f t="shared" ca="1" si="89"/>
        <v>0</v>
      </c>
      <c r="W122" s="16">
        <f t="shared" ca="1" si="90"/>
        <v>0</v>
      </c>
      <c r="X122" s="16">
        <f t="shared" ca="1" si="91"/>
        <v>0</v>
      </c>
      <c r="Y122" s="16">
        <f t="shared" ca="1" si="92"/>
        <v>0</v>
      </c>
      <c r="Z122" s="16">
        <f t="shared" ca="1" si="79"/>
        <v>0</v>
      </c>
      <c r="AA122" s="16">
        <f t="shared" ca="1" si="93"/>
        <v>24.799762908994424</v>
      </c>
      <c r="AB122" s="16">
        <f t="shared" ca="1" si="111"/>
        <v>27.746539438449094</v>
      </c>
      <c r="AC122" s="16">
        <f t="shared" ca="1" si="112"/>
        <v>3.3775460903813004</v>
      </c>
      <c r="AD122" s="16">
        <f t="shared" ca="1" si="96"/>
        <v>0</v>
      </c>
      <c r="AF122" s="16">
        <f t="shared" ca="1" si="80"/>
        <v>0.99935661955260402</v>
      </c>
      <c r="AG122" s="16">
        <v>0</v>
      </c>
      <c r="AH122" s="16">
        <f t="shared" ca="1" si="82"/>
        <v>0</v>
      </c>
      <c r="AI122" s="16">
        <f t="shared" ca="1" si="83"/>
        <v>0</v>
      </c>
      <c r="AJ122" s="16">
        <f t="shared" ref="AJ122:AJ136" ca="1" si="114">(AH122*(i_Adv_Fals/i_Adv_Alar)*i_Int_Kend_false)*AJ$25</f>
        <v>0</v>
      </c>
      <c r="AK122" s="16">
        <f t="shared" ref="AK122:AK136" ca="1" si="115">(AH122*(i_Adv_Lead/i_Adv_Alar)*i_Int_Kend_leadsoff)*AK$25</f>
        <v>0</v>
      </c>
      <c r="AL122" s="16">
        <f t="shared" ca="1" si="84"/>
        <v>0</v>
      </c>
      <c r="AM122" s="16">
        <f t="shared" ca="1" si="85"/>
        <v>0</v>
      </c>
    </row>
    <row r="123" spans="2:39" ht="16.5" x14ac:dyDescent="0.3">
      <c r="B123" s="44">
        <f t="shared" si="97"/>
        <v>97</v>
      </c>
      <c r="C123" s="44">
        <f t="shared" si="110"/>
        <v>638.79999999999995</v>
      </c>
      <c r="D123" s="44">
        <f t="shared" si="65"/>
        <v>1.7</v>
      </c>
      <c r="E123" s="14">
        <f t="shared" ca="1" si="98"/>
        <v>0</v>
      </c>
      <c r="F123" s="14">
        <f t="shared" ca="1" si="99"/>
        <v>0</v>
      </c>
      <c r="G123" s="14">
        <f t="shared" ca="1" si="100"/>
        <v>0</v>
      </c>
      <c r="H123" s="14">
        <f t="shared" ca="1" si="101"/>
        <v>0</v>
      </c>
      <c r="I123" s="14">
        <f t="shared" ca="1" si="102"/>
        <v>0</v>
      </c>
      <c r="J123" s="14">
        <f t="shared" ca="1" si="103"/>
        <v>0</v>
      </c>
      <c r="K123" s="14">
        <f t="shared" ca="1" si="104"/>
        <v>0</v>
      </c>
      <c r="L123" s="14">
        <f t="shared" ca="1" si="105"/>
        <v>0.92450908608980698</v>
      </c>
      <c r="M123" s="14">
        <f t="shared" ca="1" si="106"/>
        <v>6.3874330913714795E-4</v>
      </c>
      <c r="N123" s="14">
        <f t="shared" ca="1" si="107"/>
        <v>1.1679586836812219E-3</v>
      </c>
      <c r="O123" s="14">
        <f t="shared" ca="1" si="108"/>
        <v>1.2984157407654713E-3</v>
      </c>
      <c r="P123" s="14">
        <f t="shared" ca="1" si="109"/>
        <v>7.2385796176607134E-2</v>
      </c>
      <c r="R123" s="44">
        <f t="shared" ca="1" si="113"/>
        <v>0.999999999999998</v>
      </c>
      <c r="S123" s="16">
        <f t="shared" ca="1" si="78"/>
        <v>0</v>
      </c>
      <c r="T123" s="16">
        <f t="shared" ca="1" si="87"/>
        <v>0</v>
      </c>
      <c r="U123" s="16">
        <f t="shared" ca="1" si="88"/>
        <v>0</v>
      </c>
      <c r="V123" s="16">
        <f t="shared" ca="1" si="89"/>
        <v>0</v>
      </c>
      <c r="W123" s="16">
        <f t="shared" ca="1" si="90"/>
        <v>0</v>
      </c>
      <c r="X123" s="16">
        <f t="shared" ca="1" si="91"/>
        <v>0</v>
      </c>
      <c r="Y123" s="16">
        <f t="shared" ca="1" si="92"/>
        <v>0</v>
      </c>
      <c r="Z123" s="16">
        <f t="shared" ref="Z123:Z136" ca="1" si="116">(L123-OFFSET(L123,-IF(C123-C122&gt;i_Cos_Days,1,MIN(B123,i_Cos_Days)),0))*MIN(i_Cos_Days,($C123-$C122))</f>
        <v>0</v>
      </c>
      <c r="AA123" s="16">
        <f t="shared" ca="1" si="93"/>
        <v>24.607326232250109</v>
      </c>
      <c r="AB123" s="16">
        <f t="shared" ca="1" si="111"/>
        <v>27.547263280742236</v>
      </c>
      <c r="AC123" s="16">
        <f t="shared" ca="1" si="112"/>
        <v>3.3532884921009063</v>
      </c>
      <c r="AD123" s="16">
        <f t="shared" ca="1" si="96"/>
        <v>0</v>
      </c>
      <c r="AF123" s="16">
        <f t="shared" ca="1" si="80"/>
        <v>0.99936125669086084</v>
      </c>
      <c r="AG123" s="16">
        <v>0</v>
      </c>
      <c r="AH123" s="16">
        <f t="shared" ca="1" si="82"/>
        <v>0</v>
      </c>
      <c r="AI123" s="16">
        <f t="shared" ca="1" si="83"/>
        <v>0</v>
      </c>
      <c r="AJ123" s="16">
        <f t="shared" ca="1" si="114"/>
        <v>0</v>
      </c>
      <c r="AK123" s="16">
        <f t="shared" ca="1" si="115"/>
        <v>0</v>
      </c>
      <c r="AL123" s="16">
        <f t="shared" ref="AL123:AL136" ca="1" si="117">((SUM(F122:J122)-((I122+J122)*(1-i_Bac_ICU)))+(SUM(F123:J123)-((I123+J123)*(1-i_Bac_ICU))))/2*(C123-C122)</f>
        <v>0</v>
      </c>
      <c r="AM123" s="16">
        <f t="shared" ref="AM123:AM136" ca="1" si="118">(((I122+J122)*(1-i_Bac_ICU))+((I123+J123)*(1-i_Bac_ICU))+K122+E122+E123+K123)/2*(C123-C122)</f>
        <v>0</v>
      </c>
    </row>
    <row r="124" spans="2:39" ht="16.5" x14ac:dyDescent="0.3">
      <c r="B124" s="44">
        <f t="shared" ref="B124:B136" si="119">B123+1</f>
        <v>98</v>
      </c>
      <c r="C124" s="44">
        <f t="shared" si="110"/>
        <v>730.09999999999991</v>
      </c>
      <c r="D124" s="44">
        <f t="shared" si="65"/>
        <v>2</v>
      </c>
      <c r="E124" s="14">
        <f t="shared" ca="1" si="98"/>
        <v>0</v>
      </c>
      <c r="F124" s="14">
        <f t="shared" ca="1" si="99"/>
        <v>0</v>
      </c>
      <c r="G124" s="14">
        <f t="shared" ca="1" si="100"/>
        <v>0</v>
      </c>
      <c r="H124" s="14">
        <f t="shared" ca="1" si="101"/>
        <v>0</v>
      </c>
      <c r="I124" s="14">
        <f t="shared" ca="1" si="102"/>
        <v>0</v>
      </c>
      <c r="J124" s="14">
        <f t="shared" ca="1" si="103"/>
        <v>0</v>
      </c>
      <c r="K124" s="14">
        <f t="shared" ca="1" si="104"/>
        <v>0</v>
      </c>
      <c r="L124" s="14">
        <f t="shared" ca="1" si="105"/>
        <v>0.9178692441001659</v>
      </c>
      <c r="M124" s="14">
        <f t="shared" ca="1" si="106"/>
        <v>6.3415548193808955E-4</v>
      </c>
      <c r="N124" s="14">
        <f t="shared" ca="1" si="107"/>
        <v>1.1595703815533154E-3</v>
      </c>
      <c r="O124" s="14">
        <f t="shared" ca="1" si="108"/>
        <v>1.2890904935000101E-3</v>
      </c>
      <c r="P124" s="14">
        <f t="shared" ca="1" si="109"/>
        <v>7.9047939542840617E-2</v>
      </c>
      <c r="R124" s="44">
        <f t="shared" ca="1" si="113"/>
        <v>0.999999999999998</v>
      </c>
      <c r="S124" s="16">
        <f t="shared" ca="1" si="78"/>
        <v>0</v>
      </c>
      <c r="T124" s="16">
        <f t="shared" ca="1" si="87"/>
        <v>0</v>
      </c>
      <c r="U124" s="16">
        <f t="shared" ca="1" si="88"/>
        <v>0</v>
      </c>
      <c r="V124" s="16">
        <f t="shared" ca="1" si="89"/>
        <v>0</v>
      </c>
      <c r="W124" s="16">
        <f t="shared" ca="1" si="90"/>
        <v>0</v>
      </c>
      <c r="X124" s="16">
        <f t="shared" ca="1" si="91"/>
        <v>0</v>
      </c>
      <c r="Y124" s="16">
        <f t="shared" ca="1" si="92"/>
        <v>0</v>
      </c>
      <c r="Z124" s="16">
        <f t="shared" ca="1" si="116"/>
        <v>0</v>
      </c>
      <c r="AA124" s="16">
        <f t="shared" ca="1" si="93"/>
        <v>24.430274888104929</v>
      </c>
      <c r="AB124" s="16">
        <f t="shared" ca="1" si="111"/>
        <v>27.349418296647816</v>
      </c>
      <c r="AC124" s="16">
        <f t="shared" ca="1" si="112"/>
        <v>3.329205108513126</v>
      </c>
      <c r="AD124" s="16">
        <f t="shared" ca="1" si="96"/>
        <v>0</v>
      </c>
      <c r="AF124" s="16">
        <f t="shared" ca="1" si="80"/>
        <v>0.99936584451805988</v>
      </c>
      <c r="AG124" s="16">
        <v>0</v>
      </c>
      <c r="AH124" s="16">
        <f t="shared" ca="1" si="82"/>
        <v>0</v>
      </c>
      <c r="AI124" s="16">
        <f t="shared" ca="1" si="83"/>
        <v>0</v>
      </c>
      <c r="AJ124" s="16">
        <f t="shared" ca="1" si="114"/>
        <v>0</v>
      </c>
      <c r="AK124" s="16">
        <f t="shared" ca="1" si="115"/>
        <v>0</v>
      </c>
      <c r="AL124" s="16">
        <f t="shared" ca="1" si="117"/>
        <v>0</v>
      </c>
      <c r="AM124" s="16">
        <f t="shared" ca="1" si="118"/>
        <v>0</v>
      </c>
    </row>
    <row r="125" spans="2:39" ht="16.5" x14ac:dyDescent="0.3">
      <c r="B125" s="44">
        <f t="shared" si="119"/>
        <v>99</v>
      </c>
      <c r="C125" s="44">
        <f t="shared" si="110"/>
        <v>821.39999999999986</v>
      </c>
      <c r="D125" s="44">
        <f t="shared" si="65"/>
        <v>2.2000000000000002</v>
      </c>
      <c r="E125" s="14">
        <f t="shared" ca="1" si="98"/>
        <v>0</v>
      </c>
      <c r="F125" s="14">
        <f t="shared" ca="1" si="99"/>
        <v>0</v>
      </c>
      <c r="G125" s="14">
        <f t="shared" ca="1" si="100"/>
        <v>0</v>
      </c>
      <c r="H125" s="14">
        <f t="shared" ca="1" si="101"/>
        <v>0</v>
      </c>
      <c r="I125" s="14">
        <f t="shared" ca="1" si="102"/>
        <v>0</v>
      </c>
      <c r="J125" s="14">
        <f t="shared" ca="1" si="103"/>
        <v>0</v>
      </c>
      <c r="K125" s="14">
        <f t="shared" ca="1" si="104"/>
        <v>0</v>
      </c>
      <c r="L125" s="14">
        <f t="shared" ca="1" si="105"/>
        <v>0.9112770892333304</v>
      </c>
      <c r="M125" s="14">
        <f t="shared" ca="1" si="106"/>
        <v>6.2960095690888819E-4</v>
      </c>
      <c r="N125" s="14">
        <f t="shared" ca="1" si="107"/>
        <v>1.1512423243790115E-3</v>
      </c>
      <c r="O125" s="14">
        <f t="shared" ca="1" si="108"/>
        <v>1.279832220346863E-3</v>
      </c>
      <c r="P125" s="14">
        <f t="shared" ca="1" si="109"/>
        <v>8.5662235265032749E-2</v>
      </c>
      <c r="R125" s="44">
        <f t="shared" ca="1" si="113"/>
        <v>0.999999999999998</v>
      </c>
      <c r="S125" s="16">
        <f t="shared" ca="1" si="78"/>
        <v>0</v>
      </c>
      <c r="T125" s="16">
        <f t="shared" ca="1" si="87"/>
        <v>0</v>
      </c>
      <c r="U125" s="16">
        <f t="shared" ca="1" si="88"/>
        <v>0</v>
      </c>
      <c r="V125" s="16">
        <f t="shared" ca="1" si="89"/>
        <v>0</v>
      </c>
      <c r="W125" s="16">
        <f t="shared" ca="1" si="90"/>
        <v>0</v>
      </c>
      <c r="X125" s="16">
        <f t="shared" ca="1" si="91"/>
        <v>0</v>
      </c>
      <c r="Y125" s="16">
        <f t="shared" ca="1" si="92"/>
        <v>0</v>
      </c>
      <c r="Z125" s="16">
        <f t="shared" ca="1" si="116"/>
        <v>0</v>
      </c>
      <c r="AA125" s="16">
        <f t="shared" ca="1" si="93"/>
        <v>24.254809109029445</v>
      </c>
      <c r="AB125" s="16">
        <f t="shared" ca="1" si="111"/>
        <v>27.152994239184977</v>
      </c>
      <c r="AC125" s="16">
        <f t="shared" ca="1" si="112"/>
        <v>3.3052946922678084</v>
      </c>
      <c r="AD125" s="16">
        <f t="shared" ca="1" si="96"/>
        <v>0</v>
      </c>
      <c r="AF125" s="16">
        <f t="shared" ca="1" si="80"/>
        <v>0.99937039904308911</v>
      </c>
      <c r="AG125" s="16">
        <v>0</v>
      </c>
      <c r="AH125" s="16">
        <f t="shared" ca="1" si="82"/>
        <v>0</v>
      </c>
      <c r="AI125" s="16">
        <f t="shared" ca="1" si="83"/>
        <v>0</v>
      </c>
      <c r="AJ125" s="16">
        <f t="shared" ca="1" si="114"/>
        <v>0</v>
      </c>
      <c r="AK125" s="16">
        <f t="shared" ca="1" si="115"/>
        <v>0</v>
      </c>
      <c r="AL125" s="16">
        <f t="shared" ca="1" si="117"/>
        <v>0</v>
      </c>
      <c r="AM125" s="16">
        <f t="shared" ca="1" si="118"/>
        <v>0</v>
      </c>
    </row>
    <row r="126" spans="2:39" ht="16.5" x14ac:dyDescent="0.3">
      <c r="B126" s="44">
        <f t="shared" si="119"/>
        <v>100</v>
      </c>
      <c r="C126" s="44">
        <f t="shared" si="110"/>
        <v>912.69999999999982</v>
      </c>
      <c r="D126" s="44">
        <f t="shared" si="65"/>
        <v>2.5</v>
      </c>
      <c r="E126" s="14">
        <f t="shared" ca="1" si="98"/>
        <v>0</v>
      </c>
      <c r="F126" s="14">
        <f t="shared" ca="1" si="99"/>
        <v>0</v>
      </c>
      <c r="G126" s="14">
        <f t="shared" ca="1" si="100"/>
        <v>0</v>
      </c>
      <c r="H126" s="14">
        <f t="shared" ca="1" si="101"/>
        <v>0</v>
      </c>
      <c r="I126" s="14">
        <f t="shared" ca="1" si="102"/>
        <v>0</v>
      </c>
      <c r="J126" s="14">
        <f t="shared" ca="1" si="103"/>
        <v>0</v>
      </c>
      <c r="K126" s="14">
        <f t="shared" ca="1" si="104"/>
        <v>0</v>
      </c>
      <c r="L126" s="14">
        <f t="shared" ca="1" si="105"/>
        <v>0.90473227934399225</v>
      </c>
      <c r="M126" s="14">
        <f t="shared" ca="1" si="106"/>
        <v>6.2507915033916989E-4</v>
      </c>
      <c r="N126" s="14">
        <f t="shared" ca="1" si="107"/>
        <v>1.1429740794743129E-3</v>
      </c>
      <c r="O126" s="14">
        <f t="shared" ca="1" si="108"/>
        <v>1.2706404402926851E-3</v>
      </c>
      <c r="P126" s="14">
        <f t="shared" ca="1" si="109"/>
        <v>9.2229026985899451E-2</v>
      </c>
      <c r="R126" s="44">
        <f t="shared" ca="1" si="113"/>
        <v>0.99999999999999778</v>
      </c>
      <c r="S126" s="16">
        <f t="shared" ca="1" si="78"/>
        <v>0</v>
      </c>
      <c r="T126" s="16">
        <f t="shared" ca="1" si="87"/>
        <v>0</v>
      </c>
      <c r="U126" s="16">
        <f t="shared" ca="1" si="88"/>
        <v>0</v>
      </c>
      <c r="V126" s="16">
        <f t="shared" ca="1" si="89"/>
        <v>0</v>
      </c>
      <c r="W126" s="16">
        <f t="shared" ca="1" si="90"/>
        <v>0</v>
      </c>
      <c r="X126" s="16">
        <f t="shared" ca="1" si="91"/>
        <v>0</v>
      </c>
      <c r="Y126" s="16">
        <f t="shared" ca="1" si="92"/>
        <v>0</v>
      </c>
      <c r="Z126" s="16">
        <f t="shared" ca="1" si="116"/>
        <v>0</v>
      </c>
      <c r="AA126" s="16">
        <f t="shared" ca="1" si="93"/>
        <v>24.080610439432231</v>
      </c>
      <c r="AB126" s="16">
        <f t="shared" ca="1" si="111"/>
        <v>26.95798090314684</v>
      </c>
      <c r="AC126" s="16">
        <f t="shared" ca="1" si="112"/>
        <v>3.2815560010998883</v>
      </c>
      <c r="AD126" s="16">
        <f t="shared" ca="1" si="96"/>
        <v>0</v>
      </c>
      <c r="AF126" s="16">
        <f t="shared" ca="1" si="80"/>
        <v>0.99937492084965862</v>
      </c>
      <c r="AG126" s="16">
        <v>0</v>
      </c>
      <c r="AH126" s="16">
        <f t="shared" ca="1" si="82"/>
        <v>0</v>
      </c>
      <c r="AI126" s="16">
        <f t="shared" ca="1" si="83"/>
        <v>0</v>
      </c>
      <c r="AJ126" s="16">
        <f t="shared" ca="1" si="114"/>
        <v>0</v>
      </c>
      <c r="AK126" s="16">
        <f t="shared" ca="1" si="115"/>
        <v>0</v>
      </c>
      <c r="AL126" s="16">
        <f t="shared" ca="1" si="117"/>
        <v>0</v>
      </c>
      <c r="AM126" s="16">
        <f t="shared" ca="1" si="118"/>
        <v>0</v>
      </c>
    </row>
    <row r="127" spans="2:39" ht="16.5" x14ac:dyDescent="0.3">
      <c r="B127" s="44">
        <f t="shared" si="119"/>
        <v>101</v>
      </c>
      <c r="C127" s="44">
        <f t="shared" si="110"/>
        <v>1003.9999999999998</v>
      </c>
      <c r="D127" s="44">
        <f t="shared" si="65"/>
        <v>2.7</v>
      </c>
      <c r="E127" s="14">
        <f t="shared" ca="1" si="98"/>
        <v>0</v>
      </c>
      <c r="F127" s="14">
        <f t="shared" ca="1" si="99"/>
        <v>0</v>
      </c>
      <c r="G127" s="14">
        <f t="shared" ca="1" si="100"/>
        <v>0</v>
      </c>
      <c r="H127" s="14">
        <f t="shared" ca="1" si="101"/>
        <v>0</v>
      </c>
      <c r="I127" s="14">
        <f t="shared" ca="1" si="102"/>
        <v>0</v>
      </c>
      <c r="J127" s="14">
        <f t="shared" ca="1" si="103"/>
        <v>0</v>
      </c>
      <c r="K127" s="14">
        <f t="shared" ca="1" si="104"/>
        <v>0</v>
      </c>
      <c r="L127" s="14">
        <f t="shared" ca="1" si="105"/>
        <v>0.89823447440719673</v>
      </c>
      <c r="M127" s="14">
        <f t="shared" ca="1" si="106"/>
        <v>6.2058981964412032E-4</v>
      </c>
      <c r="N127" s="14">
        <f t="shared" ca="1" si="107"/>
        <v>1.134765217266338E-3</v>
      </c>
      <c r="O127" s="14">
        <f t="shared" ca="1" si="108"/>
        <v>1.2615146757827495E-3</v>
      </c>
      <c r="P127" s="14">
        <f t="shared" ca="1" si="109"/>
        <v>9.8748655880107949E-2</v>
      </c>
      <c r="R127" s="44">
        <f t="shared" ca="1" si="113"/>
        <v>0.99999999999999778</v>
      </c>
      <c r="S127" s="16">
        <f t="shared" ca="1" si="78"/>
        <v>0</v>
      </c>
      <c r="T127" s="16">
        <f t="shared" ca="1" si="87"/>
        <v>0</v>
      </c>
      <c r="U127" s="16">
        <f t="shared" ca="1" si="88"/>
        <v>0</v>
      </c>
      <c r="V127" s="16">
        <f t="shared" ca="1" si="89"/>
        <v>0</v>
      </c>
      <c r="W127" s="16">
        <f t="shared" ca="1" si="90"/>
        <v>0</v>
      </c>
      <c r="X127" s="16">
        <f t="shared" ca="1" si="91"/>
        <v>0</v>
      </c>
      <c r="Y127" s="16">
        <f t="shared" ca="1" si="92"/>
        <v>0</v>
      </c>
      <c r="Z127" s="16">
        <f t="shared" ca="1" si="116"/>
        <v>0</v>
      </c>
      <c r="AA127" s="16">
        <f t="shared" ca="1" si="93"/>
        <v>23.907663020535896</v>
      </c>
      <c r="AB127" s="16">
        <f t="shared" ca="1" si="111"/>
        <v>26.764368156704741</v>
      </c>
      <c r="AC127" s="16">
        <f t="shared" ca="1" si="112"/>
        <v>3.2579878016765287</v>
      </c>
      <c r="AD127" s="16">
        <f t="shared" ca="1" si="96"/>
        <v>0</v>
      </c>
      <c r="AF127" s="16">
        <f t="shared" ca="1" si="80"/>
        <v>0.9993794101803537</v>
      </c>
      <c r="AG127" s="16">
        <v>0</v>
      </c>
      <c r="AH127" s="16">
        <f t="shared" ca="1" si="82"/>
        <v>0</v>
      </c>
      <c r="AI127" s="16">
        <f t="shared" ca="1" si="83"/>
        <v>0</v>
      </c>
      <c r="AJ127" s="16">
        <f t="shared" ca="1" si="114"/>
        <v>0</v>
      </c>
      <c r="AK127" s="16">
        <f t="shared" ca="1" si="115"/>
        <v>0</v>
      </c>
      <c r="AL127" s="16">
        <f t="shared" ca="1" si="117"/>
        <v>0</v>
      </c>
      <c r="AM127" s="16">
        <f t="shared" ca="1" si="118"/>
        <v>0</v>
      </c>
    </row>
    <row r="128" spans="2:39" ht="16.5" x14ac:dyDescent="0.3">
      <c r="B128" s="44">
        <f t="shared" si="119"/>
        <v>102</v>
      </c>
      <c r="C128" s="44">
        <f t="shared" si="110"/>
        <v>1095.2999999999997</v>
      </c>
      <c r="D128" s="44">
        <f t="shared" si="65"/>
        <v>3</v>
      </c>
      <c r="E128" s="14">
        <f t="shared" ca="1" si="98"/>
        <v>0</v>
      </c>
      <c r="F128" s="14">
        <f t="shared" ca="1" si="99"/>
        <v>0</v>
      </c>
      <c r="G128" s="14">
        <f t="shared" ca="1" si="100"/>
        <v>0</v>
      </c>
      <c r="H128" s="14">
        <f t="shared" ca="1" si="101"/>
        <v>0</v>
      </c>
      <c r="I128" s="14">
        <f t="shared" ca="1" si="102"/>
        <v>0</v>
      </c>
      <c r="J128" s="14">
        <f t="shared" ca="1" si="103"/>
        <v>0</v>
      </c>
      <c r="K128" s="14">
        <f t="shared" ca="1" si="104"/>
        <v>0</v>
      </c>
      <c r="L128" s="14">
        <f t="shared" ca="1" si="105"/>
        <v>0.89178333683262223</v>
      </c>
      <c r="M128" s="14">
        <f t="shared" ca="1" si="106"/>
        <v>6.1613273141376346E-4</v>
      </c>
      <c r="N128" s="14">
        <f t="shared" ca="1" si="107"/>
        <v>1.1266153112673965E-3</v>
      </c>
      <c r="O128" s="14">
        <f t="shared" ca="1" si="108"/>
        <v>1.2524544526921245E-3</v>
      </c>
      <c r="P128" s="14">
        <f t="shared" ca="1" si="109"/>
        <v>0.10522146067200233</v>
      </c>
      <c r="R128" s="44">
        <f t="shared" ca="1" si="113"/>
        <v>0.99999999999999789</v>
      </c>
      <c r="S128" s="16">
        <f t="shared" ca="1" si="78"/>
        <v>0</v>
      </c>
      <c r="T128" s="16">
        <f t="shared" ca="1" si="87"/>
        <v>0</v>
      </c>
      <c r="U128" s="16">
        <f t="shared" ca="1" si="88"/>
        <v>0</v>
      </c>
      <c r="V128" s="16">
        <f t="shared" ca="1" si="89"/>
        <v>0</v>
      </c>
      <c r="W128" s="16">
        <f t="shared" ca="1" si="90"/>
        <v>0</v>
      </c>
      <c r="X128" s="16">
        <f t="shared" ca="1" si="91"/>
        <v>0</v>
      </c>
      <c r="Y128" s="16">
        <f t="shared" ca="1" si="92"/>
        <v>0</v>
      </c>
      <c r="Z128" s="16">
        <f t="shared" ca="1" si="116"/>
        <v>0</v>
      </c>
      <c r="AA128" s="16">
        <f t="shared" ca="1" si="93"/>
        <v>23.735957716748786</v>
      </c>
      <c r="AB128" s="16">
        <f t="shared" ca="1" si="111"/>
        <v>26.572145940796783</v>
      </c>
      <c r="AC128" s="16">
        <f t="shared" ca="1" si="112"/>
        <v>3.2345888695226805</v>
      </c>
      <c r="AD128" s="16">
        <f t="shared" ca="1" si="96"/>
        <v>0</v>
      </c>
      <c r="AF128" s="16">
        <f t="shared" ca="1" si="80"/>
        <v>0.99938386726858408</v>
      </c>
      <c r="AG128" s="16">
        <v>0</v>
      </c>
      <c r="AH128" s="16">
        <f t="shared" ca="1" si="82"/>
        <v>0</v>
      </c>
      <c r="AI128" s="16">
        <f t="shared" ca="1" si="83"/>
        <v>0</v>
      </c>
      <c r="AJ128" s="16">
        <f t="shared" ca="1" si="114"/>
        <v>0</v>
      </c>
      <c r="AK128" s="16">
        <f t="shared" ca="1" si="115"/>
        <v>0</v>
      </c>
      <c r="AL128" s="16">
        <f t="shared" ca="1" si="117"/>
        <v>0</v>
      </c>
      <c r="AM128" s="16">
        <f t="shared" ca="1" si="118"/>
        <v>0</v>
      </c>
    </row>
    <row r="129" spans="1:39" ht="16.5" x14ac:dyDescent="0.3">
      <c r="B129" s="44">
        <f t="shared" si="119"/>
        <v>103</v>
      </c>
      <c r="C129" s="44">
        <f t="shared" si="110"/>
        <v>1186.5999999999997</v>
      </c>
      <c r="D129" s="44">
        <f t="shared" si="65"/>
        <v>3.2</v>
      </c>
      <c r="E129" s="14">
        <f t="shared" ca="1" si="98"/>
        <v>0</v>
      </c>
      <c r="F129" s="14">
        <f t="shared" ca="1" si="99"/>
        <v>0</v>
      </c>
      <c r="G129" s="14">
        <f t="shared" ca="1" si="100"/>
        <v>0</v>
      </c>
      <c r="H129" s="14">
        <f t="shared" ca="1" si="101"/>
        <v>0</v>
      </c>
      <c r="I129" s="14">
        <f t="shared" ca="1" si="102"/>
        <v>0</v>
      </c>
      <c r="J129" s="14">
        <f t="shared" ca="1" si="103"/>
        <v>0</v>
      </c>
      <c r="K129" s="14">
        <f t="shared" ca="1" si="104"/>
        <v>0</v>
      </c>
      <c r="L129" s="14">
        <f t="shared" ca="1" si="105"/>
        <v>0.88537853145436363</v>
      </c>
      <c r="M129" s="14">
        <f t="shared" ca="1" si="106"/>
        <v>6.1170765407839005E-4</v>
      </c>
      <c r="N129" s="14">
        <f t="shared" ca="1" si="107"/>
        <v>1.1185239380528417E-3</v>
      </c>
      <c r="O129" s="14">
        <f t="shared" ca="1" si="108"/>
        <v>1.2434593003010546E-3</v>
      </c>
      <c r="P129" s="14">
        <f t="shared" ca="1" si="109"/>
        <v>0.11164777765320182</v>
      </c>
      <c r="R129" s="44">
        <f t="shared" ca="1" si="113"/>
        <v>0.99999999999999767</v>
      </c>
      <c r="S129" s="16">
        <f t="shared" ca="1" si="78"/>
        <v>0</v>
      </c>
      <c r="T129" s="16">
        <f t="shared" ca="1" si="87"/>
        <v>0</v>
      </c>
      <c r="U129" s="16">
        <f t="shared" ca="1" si="88"/>
        <v>0</v>
      </c>
      <c r="V129" s="16">
        <f t="shared" ca="1" si="89"/>
        <v>0</v>
      </c>
      <c r="W129" s="16">
        <f t="shared" ca="1" si="90"/>
        <v>0</v>
      </c>
      <c r="X129" s="16">
        <f t="shared" ca="1" si="91"/>
        <v>0</v>
      </c>
      <c r="Y129" s="16">
        <f t="shared" ca="1" si="92"/>
        <v>0</v>
      </c>
      <c r="Z129" s="16">
        <f t="shared" ca="1" si="116"/>
        <v>0</v>
      </c>
      <c r="AA129" s="16">
        <f t="shared" ca="1" si="93"/>
        <v>23.565485603888067</v>
      </c>
      <c r="AB129" s="16">
        <f t="shared" ca="1" si="111"/>
        <v>26.381304268605476</v>
      </c>
      <c r="AC129" s="16">
        <f t="shared" ca="1" si="112"/>
        <v>3.2113579889575035</v>
      </c>
      <c r="AD129" s="16">
        <f t="shared" ca="1" si="96"/>
        <v>0</v>
      </c>
      <c r="AF129" s="16">
        <f t="shared" ca="1" si="80"/>
        <v>0.9993882923459193</v>
      </c>
      <c r="AG129" s="16">
        <f t="shared" ref="AG129:AG136" ca="1" si="120">MIN(1,SUM(OFFSET(E129,0,0,-i_Eve_ECG,1)))</f>
        <v>0</v>
      </c>
      <c r="AH129" s="16">
        <f t="shared" ca="1" si="82"/>
        <v>0</v>
      </c>
      <c r="AI129" s="16">
        <f t="shared" ca="1" si="83"/>
        <v>0</v>
      </c>
      <c r="AJ129" s="16">
        <f t="shared" ca="1" si="114"/>
        <v>0</v>
      </c>
      <c r="AK129" s="16">
        <f t="shared" ca="1" si="115"/>
        <v>0</v>
      </c>
      <c r="AL129" s="16">
        <f t="shared" ca="1" si="117"/>
        <v>0</v>
      </c>
      <c r="AM129" s="16">
        <f t="shared" ca="1" si="118"/>
        <v>0</v>
      </c>
    </row>
    <row r="130" spans="1:39" ht="16.5" x14ac:dyDescent="0.3">
      <c r="B130" s="44">
        <f t="shared" si="119"/>
        <v>104</v>
      </c>
      <c r="C130" s="44">
        <f t="shared" si="110"/>
        <v>1277.8999999999996</v>
      </c>
      <c r="D130" s="44">
        <f t="shared" si="65"/>
        <v>3.5</v>
      </c>
      <c r="E130" s="14">
        <f t="shared" ca="1" si="98"/>
        <v>0</v>
      </c>
      <c r="F130" s="14">
        <f t="shared" ca="1" si="99"/>
        <v>0</v>
      </c>
      <c r="G130" s="14">
        <f t="shared" ca="1" si="100"/>
        <v>0</v>
      </c>
      <c r="H130" s="14">
        <f t="shared" ca="1" si="101"/>
        <v>0</v>
      </c>
      <c r="I130" s="14">
        <f t="shared" ca="1" si="102"/>
        <v>0</v>
      </c>
      <c r="J130" s="14">
        <f t="shared" ca="1" si="103"/>
        <v>0</v>
      </c>
      <c r="K130" s="14">
        <f t="shared" ca="1" si="104"/>
        <v>0</v>
      </c>
      <c r="L130" s="14">
        <f t="shared" ca="1" si="105"/>
        <v>0.87901972551368046</v>
      </c>
      <c r="M130" s="14">
        <f t="shared" ca="1" si="106"/>
        <v>6.0731435773504457E-4</v>
      </c>
      <c r="N130" s="14">
        <f t="shared" ca="1" si="107"/>
        <v>1.1104906772390704E-3</v>
      </c>
      <c r="O130" s="14">
        <f t="shared" ca="1" si="108"/>
        <v>1.2345287512705015E-3</v>
      </c>
      <c r="P130" s="14">
        <f t="shared" ca="1" si="109"/>
        <v>0.11802794070007262</v>
      </c>
      <c r="R130" s="44">
        <f t="shared" ca="1" si="113"/>
        <v>0.99999999999999778</v>
      </c>
      <c r="S130" s="16">
        <f t="shared" ca="1" si="78"/>
        <v>0</v>
      </c>
      <c r="T130" s="16">
        <f t="shared" ca="1" si="87"/>
        <v>0</v>
      </c>
      <c r="U130" s="16">
        <f t="shared" ca="1" si="88"/>
        <v>0</v>
      </c>
      <c r="V130" s="16">
        <f t="shared" ca="1" si="89"/>
        <v>0</v>
      </c>
      <c r="W130" s="16">
        <f t="shared" ca="1" si="90"/>
        <v>0</v>
      </c>
      <c r="X130" s="16">
        <f t="shared" ca="1" si="91"/>
        <v>0</v>
      </c>
      <c r="Y130" s="16">
        <f t="shared" ca="1" si="92"/>
        <v>0</v>
      </c>
      <c r="Z130" s="16">
        <f t="shared" ca="1" si="116"/>
        <v>0</v>
      </c>
      <c r="AA130" s="16">
        <f t="shared" ca="1" si="93"/>
        <v>23.396237825079861</v>
      </c>
      <c r="AB130" s="16">
        <f t="shared" ca="1" si="111"/>
        <v>26.19183322503881</v>
      </c>
      <c r="AC130" s="16">
        <f t="shared" ca="1" si="112"/>
        <v>3.1882939530311969</v>
      </c>
      <c r="AD130" s="16">
        <f t="shared" ca="1" si="96"/>
        <v>0</v>
      </c>
      <c r="AF130" s="16">
        <f t="shared" ca="1" si="80"/>
        <v>0.99939268564226269</v>
      </c>
      <c r="AG130" s="16">
        <f t="shared" ca="1" si="120"/>
        <v>0</v>
      </c>
      <c r="AH130" s="16">
        <f t="shared" ca="1" si="82"/>
        <v>0</v>
      </c>
      <c r="AI130" s="16">
        <f t="shared" ca="1" si="83"/>
        <v>0</v>
      </c>
      <c r="AJ130" s="16">
        <f t="shared" ca="1" si="114"/>
        <v>0</v>
      </c>
      <c r="AK130" s="16">
        <f t="shared" ca="1" si="115"/>
        <v>0</v>
      </c>
      <c r="AL130" s="16">
        <f t="shared" ca="1" si="117"/>
        <v>0</v>
      </c>
      <c r="AM130" s="16">
        <f t="shared" ca="1" si="118"/>
        <v>0</v>
      </c>
    </row>
    <row r="131" spans="1:39" ht="16.5" x14ac:dyDescent="0.3">
      <c r="B131" s="44">
        <f t="shared" si="119"/>
        <v>105</v>
      </c>
      <c r="C131" s="44">
        <f t="shared" si="110"/>
        <v>1369.1999999999996</v>
      </c>
      <c r="D131" s="44">
        <f t="shared" si="65"/>
        <v>3.7</v>
      </c>
      <c r="E131" s="14">
        <f t="shared" ca="1" si="98"/>
        <v>0</v>
      </c>
      <c r="F131" s="14">
        <f t="shared" ca="1" si="99"/>
        <v>0</v>
      </c>
      <c r="G131" s="14">
        <f t="shared" ca="1" si="100"/>
        <v>0</v>
      </c>
      <c r="H131" s="14">
        <f t="shared" ca="1" si="101"/>
        <v>0</v>
      </c>
      <c r="I131" s="14">
        <f t="shared" ca="1" si="102"/>
        <v>0</v>
      </c>
      <c r="J131" s="14">
        <f t="shared" ca="1" si="103"/>
        <v>0</v>
      </c>
      <c r="K131" s="14">
        <f t="shared" ca="1" si="104"/>
        <v>0</v>
      </c>
      <c r="L131" s="14">
        <f t="shared" ca="1" si="105"/>
        <v>0.87270658864171169</v>
      </c>
      <c r="M131" s="14">
        <f t="shared" ca="1" si="106"/>
        <v>6.0295261413201837E-4</v>
      </c>
      <c r="N131" s="14">
        <f t="shared" ca="1" si="107"/>
        <v>1.1025151114616826E-3</v>
      </c>
      <c r="O131" s="14">
        <f t="shared" ca="1" si="108"/>
        <v>1.2256623416178663E-3</v>
      </c>
      <c r="P131" s="14">
        <f t="shared" ca="1" si="109"/>
        <v>0.12436228129107438</v>
      </c>
      <c r="R131" s="44">
        <f t="shared" ca="1" si="113"/>
        <v>0.99999999999999767</v>
      </c>
      <c r="S131" s="16">
        <f t="shared" ca="1" si="78"/>
        <v>0</v>
      </c>
      <c r="T131" s="16">
        <f t="shared" ca="1" si="87"/>
        <v>0</v>
      </c>
      <c r="U131" s="16">
        <f t="shared" ca="1" si="88"/>
        <v>0</v>
      </c>
      <c r="V131" s="16">
        <f t="shared" ca="1" si="89"/>
        <v>0</v>
      </c>
      <c r="W131" s="16">
        <f t="shared" ca="1" si="90"/>
        <v>0</v>
      </c>
      <c r="X131" s="16">
        <f t="shared" ca="1" si="91"/>
        <v>0</v>
      </c>
      <c r="Y131" s="16">
        <f t="shared" ca="1" si="92"/>
        <v>0</v>
      </c>
      <c r="Z131" s="16">
        <f t="shared" ca="1" si="116"/>
        <v>0</v>
      </c>
      <c r="AA131" s="16">
        <f t="shared" ca="1" si="93"/>
        <v>23.228205587131448</v>
      </c>
      <c r="AB131" s="16">
        <f t="shared" ca="1" si="111"/>
        <v>26.003722966215182</v>
      </c>
      <c r="AC131" s="16">
        <f t="shared" ca="1" si="112"/>
        <v>3.1653955634623014</v>
      </c>
      <c r="AD131" s="16">
        <f t="shared" ca="1" si="96"/>
        <v>0</v>
      </c>
      <c r="AF131" s="16">
        <f t="shared" ca="1" si="80"/>
        <v>0.99939704738586566</v>
      </c>
      <c r="AG131" s="16">
        <f t="shared" ca="1" si="120"/>
        <v>0</v>
      </c>
      <c r="AH131" s="16">
        <f t="shared" ca="1" si="82"/>
        <v>0</v>
      </c>
      <c r="AI131" s="16">
        <f t="shared" ca="1" si="83"/>
        <v>0</v>
      </c>
      <c r="AJ131" s="16">
        <f t="shared" ca="1" si="114"/>
        <v>0</v>
      </c>
      <c r="AK131" s="16">
        <f t="shared" ca="1" si="115"/>
        <v>0</v>
      </c>
      <c r="AL131" s="16">
        <f t="shared" ca="1" si="117"/>
        <v>0</v>
      </c>
      <c r="AM131" s="16">
        <f t="shared" ca="1" si="118"/>
        <v>0</v>
      </c>
    </row>
    <row r="132" spans="1:39" ht="16.5" x14ac:dyDescent="0.3">
      <c r="B132" s="44">
        <f t="shared" si="119"/>
        <v>106</v>
      </c>
      <c r="C132" s="44">
        <f t="shared" si="110"/>
        <v>1460.4999999999995</v>
      </c>
      <c r="D132" s="44">
        <f t="shared" si="65"/>
        <v>4</v>
      </c>
      <c r="E132" s="14">
        <f t="shared" ca="1" si="98"/>
        <v>0</v>
      </c>
      <c r="F132" s="14">
        <f t="shared" ca="1" si="99"/>
        <v>0</v>
      </c>
      <c r="G132" s="14">
        <f t="shared" ca="1" si="100"/>
        <v>0</v>
      </c>
      <c r="H132" s="14">
        <f t="shared" ca="1" si="101"/>
        <v>0</v>
      </c>
      <c r="I132" s="14">
        <f t="shared" ca="1" si="102"/>
        <v>0</v>
      </c>
      <c r="J132" s="14">
        <f t="shared" ca="1" si="103"/>
        <v>0</v>
      </c>
      <c r="K132" s="14">
        <f t="shared" ca="1" si="104"/>
        <v>0</v>
      </c>
      <c r="L132" s="14">
        <f t="shared" ca="1" si="105"/>
        <v>0.86643879284231207</v>
      </c>
      <c r="M132" s="14">
        <f t="shared" ca="1" si="106"/>
        <v>5.9862219665691302E-4</v>
      </c>
      <c r="N132" s="14">
        <f t="shared" ca="1" si="107"/>
        <v>1.0945968263537983E-3</v>
      </c>
      <c r="O132" s="14">
        <f t="shared" ca="1" si="108"/>
        <v>1.2168596106928809E-3</v>
      </c>
      <c r="P132" s="14">
        <f t="shared" ca="1" si="109"/>
        <v>0.13065112852398195</v>
      </c>
      <c r="R132" s="44">
        <f t="shared" ca="1" si="113"/>
        <v>0.99999999999999767</v>
      </c>
      <c r="S132" s="16">
        <f t="shared" ca="1" si="78"/>
        <v>0</v>
      </c>
      <c r="T132" s="16">
        <f t="shared" ca="1" si="87"/>
        <v>0</v>
      </c>
      <c r="U132" s="16">
        <f t="shared" ca="1" si="88"/>
        <v>0</v>
      </c>
      <c r="V132" s="16">
        <f t="shared" ca="1" si="89"/>
        <v>0</v>
      </c>
      <c r="W132" s="16">
        <f t="shared" ca="1" si="90"/>
        <v>0</v>
      </c>
      <c r="X132" s="16">
        <f t="shared" ca="1" si="91"/>
        <v>0</v>
      </c>
      <c r="Y132" s="16">
        <f t="shared" ca="1" si="92"/>
        <v>0</v>
      </c>
      <c r="Z132" s="16">
        <f t="shared" ca="1" si="116"/>
        <v>0</v>
      </c>
      <c r="AA132" s="16">
        <f t="shared" ca="1" si="93"/>
        <v>23.061380160004553</v>
      </c>
      <c r="AB132" s="16">
        <f t="shared" ca="1" si="111"/>
        <v>25.816963718951943</v>
      </c>
      <c r="AC132" s="16">
        <f t="shared" ca="1" si="112"/>
        <v>3.142661630575434</v>
      </c>
      <c r="AD132" s="16">
        <f t="shared" ca="1" si="96"/>
        <v>0</v>
      </c>
      <c r="AF132" s="16">
        <f t="shared" ca="1" si="80"/>
        <v>0.99940137780334071</v>
      </c>
      <c r="AG132" s="16">
        <f t="shared" ca="1" si="120"/>
        <v>0</v>
      </c>
      <c r="AH132" s="16">
        <f t="shared" ca="1" si="82"/>
        <v>0</v>
      </c>
      <c r="AI132" s="16">
        <f t="shared" ca="1" si="83"/>
        <v>0</v>
      </c>
      <c r="AJ132" s="16">
        <f t="shared" ca="1" si="114"/>
        <v>0</v>
      </c>
      <c r="AK132" s="16">
        <f t="shared" ca="1" si="115"/>
        <v>0</v>
      </c>
      <c r="AL132" s="16">
        <f t="shared" ca="1" si="117"/>
        <v>0</v>
      </c>
      <c r="AM132" s="16">
        <f t="shared" ca="1" si="118"/>
        <v>0</v>
      </c>
    </row>
    <row r="133" spans="1:39" ht="16.5" x14ac:dyDescent="0.3">
      <c r="B133" s="44">
        <f t="shared" si="119"/>
        <v>107</v>
      </c>
      <c r="C133" s="44">
        <f t="shared" si="110"/>
        <v>1551.7999999999995</v>
      </c>
      <c r="D133" s="44">
        <f t="shared" si="65"/>
        <v>4.2</v>
      </c>
      <c r="E133" s="14">
        <f t="shared" ca="1" si="98"/>
        <v>0</v>
      </c>
      <c r="F133" s="14">
        <f t="shared" ca="1" si="99"/>
        <v>0</v>
      </c>
      <c r="G133" s="14">
        <f t="shared" ca="1" si="100"/>
        <v>0</v>
      </c>
      <c r="H133" s="14">
        <f t="shared" ca="1" si="101"/>
        <v>0</v>
      </c>
      <c r="I133" s="14">
        <f t="shared" ca="1" si="102"/>
        <v>0</v>
      </c>
      <c r="J133" s="14">
        <f t="shared" ca="1" si="103"/>
        <v>0</v>
      </c>
      <c r="K133" s="14">
        <f t="shared" ca="1" si="104"/>
        <v>0</v>
      </c>
      <c r="L133" s="14">
        <f t="shared" ca="1" si="105"/>
        <v>0.860216012475011</v>
      </c>
      <c r="M133" s="14">
        <f t="shared" ca="1" si="106"/>
        <v>5.9432288032486443E-4</v>
      </c>
      <c r="N133" s="14">
        <f t="shared" ca="1" si="107"/>
        <v>1.0867354105245281E-3</v>
      </c>
      <c r="O133" s="14">
        <f t="shared" ca="1" si="108"/>
        <v>1.2081201011536775E-3</v>
      </c>
      <c r="P133" s="14">
        <f t="shared" ca="1" si="109"/>
        <v>0.13689480913298349</v>
      </c>
      <c r="R133" s="44">
        <f t="shared" ca="1" si="113"/>
        <v>0.99999999999999756</v>
      </c>
      <c r="S133" s="16">
        <f t="shared" ca="1" si="78"/>
        <v>0</v>
      </c>
      <c r="T133" s="16">
        <f t="shared" ca="1" si="87"/>
        <v>0</v>
      </c>
      <c r="U133" s="16">
        <f t="shared" ca="1" si="88"/>
        <v>0</v>
      </c>
      <c r="V133" s="16">
        <f t="shared" ca="1" si="89"/>
        <v>0</v>
      </c>
      <c r="W133" s="16">
        <f t="shared" ca="1" si="90"/>
        <v>0</v>
      </c>
      <c r="X133" s="16">
        <f t="shared" ca="1" si="91"/>
        <v>0</v>
      </c>
      <c r="Y133" s="16">
        <f t="shared" ca="1" si="92"/>
        <v>0</v>
      </c>
      <c r="Z133" s="16">
        <f t="shared" ca="1" si="116"/>
        <v>0</v>
      </c>
      <c r="AA133" s="16">
        <f t="shared" ca="1" si="93"/>
        <v>22.895752876360223</v>
      </c>
      <c r="AB133" s="16">
        <f t="shared" ca="1" si="111"/>
        <v>25.631545780257625</v>
      </c>
      <c r="AC133" s="16">
        <f t="shared" ca="1" si="112"/>
        <v>3.1200909732394875</v>
      </c>
      <c r="AD133" s="16">
        <f t="shared" ca="1" si="96"/>
        <v>0</v>
      </c>
      <c r="AF133" s="16">
        <f t="shared" ca="1" si="80"/>
        <v>0.99940567711967265</v>
      </c>
      <c r="AG133" s="16">
        <f t="shared" ca="1" si="120"/>
        <v>0</v>
      </c>
      <c r="AH133" s="16">
        <f t="shared" ca="1" si="82"/>
        <v>0</v>
      </c>
      <c r="AI133" s="16">
        <f t="shared" ca="1" si="83"/>
        <v>0</v>
      </c>
      <c r="AJ133" s="16">
        <f t="shared" ca="1" si="114"/>
        <v>0</v>
      </c>
      <c r="AK133" s="16">
        <f t="shared" ca="1" si="115"/>
        <v>0</v>
      </c>
      <c r="AL133" s="16">
        <f t="shared" ca="1" si="117"/>
        <v>0</v>
      </c>
      <c r="AM133" s="16">
        <f t="shared" ca="1" si="118"/>
        <v>0</v>
      </c>
    </row>
    <row r="134" spans="1:39" ht="16.5" x14ac:dyDescent="0.3">
      <c r="B134" s="44">
        <f t="shared" si="119"/>
        <v>108</v>
      </c>
      <c r="C134" s="44">
        <f t="shared" si="110"/>
        <v>1643.0999999999995</v>
      </c>
      <c r="D134" s="44">
        <f t="shared" si="65"/>
        <v>4.5</v>
      </c>
      <c r="E134" s="14">
        <f t="shared" ca="1" si="98"/>
        <v>0</v>
      </c>
      <c r="F134" s="14">
        <f t="shared" ca="1" si="99"/>
        <v>0</v>
      </c>
      <c r="G134" s="14">
        <f t="shared" ca="1" si="100"/>
        <v>0</v>
      </c>
      <c r="H134" s="14">
        <f t="shared" ca="1" si="101"/>
        <v>0</v>
      </c>
      <c r="I134" s="14">
        <f t="shared" ca="1" si="102"/>
        <v>0</v>
      </c>
      <c r="J134" s="14">
        <f t="shared" ca="1" si="103"/>
        <v>0</v>
      </c>
      <c r="K134" s="14">
        <f t="shared" ca="1" si="104"/>
        <v>0</v>
      </c>
      <c r="L134" s="14">
        <f t="shared" ca="1" si="105"/>
        <v>0.8540379242380941</v>
      </c>
      <c r="M134" s="14">
        <f t="shared" ca="1" si="106"/>
        <v>5.9005444176685488E-4</v>
      </c>
      <c r="N134" s="14">
        <f t="shared" ca="1" si="107"/>
        <v>1.0789304555375997E-3</v>
      </c>
      <c r="O134" s="14">
        <f t="shared" ca="1" si="108"/>
        <v>1.1994433589430258E-3</v>
      </c>
      <c r="P134" s="14">
        <f t="shared" ca="1" si="109"/>
        <v>0.14309364750565587</v>
      </c>
      <c r="R134" s="44">
        <f t="shared" ca="1" si="113"/>
        <v>0.99999999999999756</v>
      </c>
      <c r="S134" s="16">
        <f t="shared" ca="1" si="78"/>
        <v>0</v>
      </c>
      <c r="T134" s="16">
        <f t="shared" ca="1" si="87"/>
        <v>0</v>
      </c>
      <c r="U134" s="16">
        <f t="shared" ca="1" si="88"/>
        <v>0</v>
      </c>
      <c r="V134" s="16">
        <f t="shared" ca="1" si="89"/>
        <v>0</v>
      </c>
      <c r="W134" s="16">
        <f t="shared" ca="1" si="90"/>
        <v>0</v>
      </c>
      <c r="X134" s="16">
        <f t="shared" ca="1" si="91"/>
        <v>0</v>
      </c>
      <c r="Y134" s="16">
        <f t="shared" ca="1" si="92"/>
        <v>0</v>
      </c>
      <c r="Z134" s="16">
        <f t="shared" ca="1" si="116"/>
        <v>0</v>
      </c>
      <c r="AA134" s="16">
        <f t="shared" ca="1" si="93"/>
        <v>22.731315131108524</v>
      </c>
      <c r="AB134" s="16">
        <f t="shared" ca="1" si="111"/>
        <v>25.447459516827831</v>
      </c>
      <c r="AC134" s="16">
        <f t="shared" ca="1" si="112"/>
        <v>3.0976824188062584</v>
      </c>
      <c r="AD134" s="16">
        <f t="shared" ca="1" si="96"/>
        <v>0</v>
      </c>
      <c r="AF134" s="16">
        <f t="shared" ca="1" si="80"/>
        <v>0.99940994555823071</v>
      </c>
      <c r="AG134" s="16">
        <f t="shared" ca="1" si="120"/>
        <v>0</v>
      </c>
      <c r="AH134" s="16">
        <f t="shared" ca="1" si="82"/>
        <v>0</v>
      </c>
      <c r="AI134" s="16">
        <f t="shared" ca="1" si="83"/>
        <v>0</v>
      </c>
      <c r="AJ134" s="16">
        <f t="shared" ca="1" si="114"/>
        <v>0</v>
      </c>
      <c r="AK134" s="16">
        <f t="shared" ca="1" si="115"/>
        <v>0</v>
      </c>
      <c r="AL134" s="16">
        <f t="shared" ca="1" si="117"/>
        <v>0</v>
      </c>
      <c r="AM134" s="16">
        <f t="shared" ca="1" si="118"/>
        <v>0</v>
      </c>
    </row>
    <row r="135" spans="1:39" ht="16.5" x14ac:dyDescent="0.3">
      <c r="B135" s="44">
        <f t="shared" si="119"/>
        <v>109</v>
      </c>
      <c r="C135" s="44">
        <f t="shared" si="110"/>
        <v>1734.3999999999994</v>
      </c>
      <c r="D135" s="44">
        <f t="shared" si="65"/>
        <v>4.7</v>
      </c>
      <c r="E135" s="14">
        <f t="shared" ca="1" si="98"/>
        <v>0</v>
      </c>
      <c r="F135" s="14">
        <f t="shared" ca="1" si="99"/>
        <v>0</v>
      </c>
      <c r="G135" s="14">
        <f t="shared" ca="1" si="100"/>
        <v>0</v>
      </c>
      <c r="H135" s="14">
        <f t="shared" ca="1" si="101"/>
        <v>0</v>
      </c>
      <c r="I135" s="14">
        <f t="shared" ca="1" si="102"/>
        <v>0</v>
      </c>
      <c r="J135" s="14">
        <f t="shared" ca="1" si="103"/>
        <v>0</v>
      </c>
      <c r="K135" s="14">
        <f t="shared" ca="1" si="104"/>
        <v>0</v>
      </c>
      <c r="L135" s="14">
        <f t="shared" ca="1" si="105"/>
        <v>0.84790420715180648</v>
      </c>
      <c r="M135" s="14">
        <f t="shared" ca="1" si="106"/>
        <v>5.8581665921810682E-4</v>
      </c>
      <c r="N135" s="14">
        <f t="shared" ca="1" si="107"/>
        <v>1.0711815558901382E-3</v>
      </c>
      <c r="O135" s="14">
        <f t="shared" ca="1" si="108"/>
        <v>1.190828933264744E-3</v>
      </c>
      <c r="P135" s="14">
        <f t="shared" ca="1" si="109"/>
        <v>0.14924796569981799</v>
      </c>
      <c r="R135" s="44">
        <f t="shared" ca="1" si="113"/>
        <v>0.99999999999999745</v>
      </c>
      <c r="S135" s="16">
        <f t="shared" ca="1" si="78"/>
        <v>0</v>
      </c>
      <c r="T135" s="16">
        <f t="shared" ca="1" si="87"/>
        <v>0</v>
      </c>
      <c r="U135" s="16">
        <f t="shared" ca="1" si="88"/>
        <v>0</v>
      </c>
      <c r="V135" s="16">
        <f t="shared" ca="1" si="89"/>
        <v>0</v>
      </c>
      <c r="W135" s="16">
        <f t="shared" ca="1" si="90"/>
        <v>0</v>
      </c>
      <c r="X135" s="16">
        <f t="shared" ca="1" si="91"/>
        <v>0</v>
      </c>
      <c r="Y135" s="16">
        <f t="shared" ca="1" si="92"/>
        <v>0</v>
      </c>
      <c r="Z135" s="16">
        <f t="shared" ca="1" si="116"/>
        <v>0</v>
      </c>
      <c r="AA135" s="16">
        <f t="shared" ca="1" si="93"/>
        <v>22.568058380961446</v>
      </c>
      <c r="AB135" s="16">
        <f t="shared" ca="1" si="111"/>
        <v>25.264695364544739</v>
      </c>
      <c r="AC135" s="16">
        <f t="shared" ca="1" si="112"/>
        <v>3.0754348030495278</v>
      </c>
      <c r="AD135" s="16">
        <f t="shared" ca="1" si="96"/>
        <v>0</v>
      </c>
      <c r="AF135" s="16">
        <f t="shared" ca="1" si="80"/>
        <v>0.99941418334077936</v>
      </c>
      <c r="AG135" s="16">
        <f t="shared" ca="1" si="120"/>
        <v>0</v>
      </c>
      <c r="AH135" s="16">
        <f t="shared" ca="1" si="82"/>
        <v>0</v>
      </c>
      <c r="AI135" s="16">
        <f t="shared" ca="1" si="83"/>
        <v>0</v>
      </c>
      <c r="AJ135" s="16">
        <f t="shared" ca="1" si="114"/>
        <v>0</v>
      </c>
      <c r="AK135" s="16">
        <f t="shared" ca="1" si="115"/>
        <v>0</v>
      </c>
      <c r="AL135" s="16">
        <f t="shared" ca="1" si="117"/>
        <v>0</v>
      </c>
      <c r="AM135" s="16">
        <f t="shared" ca="1" si="118"/>
        <v>0</v>
      </c>
    </row>
    <row r="136" spans="1:39" ht="16.5" x14ac:dyDescent="0.3">
      <c r="B136" s="44">
        <f t="shared" si="119"/>
        <v>110</v>
      </c>
      <c r="C136" s="44">
        <f t="shared" si="110"/>
        <v>1825.6999999999994</v>
      </c>
      <c r="D136" s="44">
        <f t="shared" si="65"/>
        <v>5</v>
      </c>
      <c r="E136" s="14">
        <f t="shared" ca="1" si="98"/>
        <v>0</v>
      </c>
      <c r="F136" s="14">
        <f t="shared" ca="1" si="99"/>
        <v>0</v>
      </c>
      <c r="G136" s="14">
        <f t="shared" ca="1" si="100"/>
        <v>0</v>
      </c>
      <c r="H136" s="14">
        <f t="shared" ca="1" si="101"/>
        <v>0</v>
      </c>
      <c r="I136" s="14">
        <f t="shared" ca="1" si="102"/>
        <v>0</v>
      </c>
      <c r="J136" s="14">
        <f t="shared" ca="1" si="103"/>
        <v>0</v>
      </c>
      <c r="K136" s="14">
        <f t="shared" ca="1" si="104"/>
        <v>0</v>
      </c>
      <c r="L136" s="14">
        <f t="shared" ca="1" si="105"/>
        <v>0.84181454254167565</v>
      </c>
      <c r="M136" s="14">
        <f t="shared" ca="1" si="106"/>
        <v>5.816093125065615E-4</v>
      </c>
      <c r="N136" s="14">
        <f t="shared" ca="1" si="107"/>
        <v>1.063488308991599E-3</v>
      </c>
      <c r="O136" s="14">
        <f t="shared" ca="1" si="108"/>
        <v>1.182276376560277E-3</v>
      </c>
      <c r="P136" s="14">
        <f t="shared" ca="1" si="109"/>
        <v>0.15535808346026325</v>
      </c>
      <c r="R136" s="44">
        <f t="shared" ca="1" si="113"/>
        <v>0.99999999999999745</v>
      </c>
      <c r="S136" s="16">
        <f t="shared" ca="1" si="78"/>
        <v>0</v>
      </c>
      <c r="T136" s="16">
        <f t="shared" ca="1" si="87"/>
        <v>0</v>
      </c>
      <c r="U136" s="16">
        <f t="shared" ca="1" si="88"/>
        <v>0</v>
      </c>
      <c r="V136" s="16">
        <f t="shared" ca="1" si="89"/>
        <v>0</v>
      </c>
      <c r="W136" s="16">
        <f t="shared" ca="1" si="90"/>
        <v>0</v>
      </c>
      <c r="X136" s="16">
        <f t="shared" ca="1" si="91"/>
        <v>0</v>
      </c>
      <c r="Y136" s="16">
        <f t="shared" ca="1" si="92"/>
        <v>0</v>
      </c>
      <c r="Z136" s="16">
        <f t="shared" ca="1" si="116"/>
        <v>0</v>
      </c>
      <c r="AA136" s="16">
        <f t="shared" ca="1" si="93"/>
        <v>22.405974143989024</v>
      </c>
      <c r="AB136" s="16">
        <f t="shared" ca="1" si="111"/>
        <v>25.083243827980237</v>
      </c>
      <c r="AC136" s="16">
        <f t="shared" ca="1" si="112"/>
        <v>3.0533469701045712</v>
      </c>
      <c r="AD136" s="16">
        <f t="shared" ca="1" si="96"/>
        <v>0</v>
      </c>
      <c r="AF136" s="16">
        <f t="shared" ca="1" si="80"/>
        <v>0.99941839068749083</v>
      </c>
      <c r="AG136" s="16">
        <f t="shared" ca="1" si="120"/>
        <v>0</v>
      </c>
      <c r="AH136" s="16">
        <f t="shared" ca="1" si="82"/>
        <v>0</v>
      </c>
      <c r="AI136" s="16">
        <f t="shared" ca="1" si="83"/>
        <v>0</v>
      </c>
      <c r="AJ136" s="16">
        <f t="shared" ca="1" si="114"/>
        <v>0</v>
      </c>
      <c r="AK136" s="16">
        <f t="shared" ca="1" si="115"/>
        <v>0</v>
      </c>
      <c r="AL136" s="16">
        <f t="shared" ca="1" si="117"/>
        <v>0</v>
      </c>
      <c r="AM136" s="16">
        <f t="shared" ca="1" si="118"/>
        <v>0</v>
      </c>
    </row>
    <row r="137" spans="1:39" ht="16.5" x14ac:dyDescent="0.3">
      <c r="A137" s="44"/>
      <c r="B137" s="44"/>
      <c r="C137" s="44"/>
      <c r="D137" s="44"/>
      <c r="E137" s="44"/>
      <c r="F137" s="44"/>
      <c r="G137" s="44"/>
      <c r="H137" s="44"/>
      <c r="I137" s="44"/>
      <c r="J137" s="44"/>
      <c r="K137" s="44"/>
      <c r="L137" s="44"/>
      <c r="M137" s="44"/>
      <c r="N137" s="44"/>
      <c r="O137" s="44"/>
      <c r="P137" s="44"/>
      <c r="AL137"/>
    </row>
    <row r="138" spans="1:39" ht="16.5" x14ac:dyDescent="0.3">
      <c r="A138" s="44"/>
      <c r="B138" s="44"/>
      <c r="C138" s="44"/>
      <c r="D138" s="44"/>
      <c r="E138" s="44"/>
      <c r="F138" s="44"/>
      <c r="G138" s="44"/>
      <c r="H138" s="44"/>
      <c r="I138" s="44"/>
      <c r="J138" s="44"/>
      <c r="K138" s="44"/>
      <c r="L138" s="44"/>
      <c r="M138" s="44"/>
      <c r="N138" s="44"/>
      <c r="O138" s="44"/>
      <c r="P138" s="44"/>
    </row>
    <row r="139" spans="1:39" ht="16.5" x14ac:dyDescent="0.3">
      <c r="A139" s="44"/>
      <c r="B139" s="44"/>
      <c r="C139" s="44"/>
      <c r="D139" s="44"/>
      <c r="E139" s="44"/>
      <c r="F139" s="44"/>
      <c r="G139" s="44"/>
      <c r="H139" s="44"/>
      <c r="I139" s="44"/>
      <c r="J139" s="44"/>
      <c r="K139" s="44"/>
      <c r="L139" s="44"/>
      <c r="M139" s="44"/>
      <c r="N139" s="44"/>
      <c r="O139" s="44"/>
      <c r="P139" s="44"/>
    </row>
    <row r="140" spans="1:39" ht="16.5" x14ac:dyDescent="0.3">
      <c r="A140" s="44"/>
      <c r="B140" s="44"/>
      <c r="C140" s="44"/>
      <c r="D140" s="44"/>
      <c r="E140" s="44"/>
      <c r="F140" s="44"/>
      <c r="G140" s="44"/>
      <c r="H140" s="44"/>
      <c r="I140" s="44"/>
      <c r="J140" s="44"/>
      <c r="K140" s="44"/>
      <c r="L140" s="44"/>
      <c r="M140" s="44"/>
      <c r="N140" s="44"/>
      <c r="O140" s="44"/>
      <c r="P140" s="44"/>
    </row>
    <row r="141" spans="1:39" ht="16.5" x14ac:dyDescent="0.3">
      <c r="A141" s="44"/>
      <c r="B141" s="44"/>
      <c r="C141" s="44"/>
      <c r="D141" s="44"/>
      <c r="E141" s="44"/>
      <c r="F141" s="44"/>
      <c r="G141" s="44"/>
      <c r="H141" s="44"/>
      <c r="I141" s="44"/>
      <c r="J141" s="44"/>
      <c r="K141" s="44"/>
      <c r="L141" s="44"/>
      <c r="M141" s="44"/>
      <c r="N141" s="44"/>
      <c r="O141" s="44"/>
      <c r="P141" s="44"/>
    </row>
    <row r="142" spans="1:39" ht="16.5" x14ac:dyDescent="0.3">
      <c r="A142" s="44"/>
      <c r="B142" s="44"/>
      <c r="C142" s="44"/>
      <c r="D142" s="44" t="s">
        <v>308</v>
      </c>
      <c r="E142" s="44">
        <f ca="1">SUM(E26:E117)</f>
        <v>1.0122445656239749</v>
      </c>
      <c r="F142" s="44">
        <f t="shared" ref="F142:H142" ca="1" si="121">SUM(F26:F117)</f>
        <v>0.89991604272316661</v>
      </c>
      <c r="G142" s="44">
        <f t="shared" ca="1" si="121"/>
        <v>0.28680373056790498</v>
      </c>
      <c r="H142" s="44">
        <f t="shared" ca="1" si="121"/>
        <v>1.0529544015504528</v>
      </c>
      <c r="I142" s="44">
        <f ca="1">SUM(I26:I117)</f>
        <v>0.12059047772102725</v>
      </c>
      <c r="J142" s="44">
        <f t="shared" ref="J142:P142" ca="1" si="122">SUM(J26:J117)</f>
        <v>0.18598977230302247</v>
      </c>
      <c r="K142" s="44">
        <f t="shared" ca="1" si="122"/>
        <v>5.9440409463611612</v>
      </c>
      <c r="L142" s="44">
        <f t="shared" ca="1" si="122"/>
        <v>73.231156372655192</v>
      </c>
      <c r="M142" s="44">
        <f t="shared" ca="1" si="122"/>
        <v>6.4377536169252823</v>
      </c>
      <c r="N142" s="44">
        <f t="shared" ca="1" si="122"/>
        <v>0.2560021661041807</v>
      </c>
      <c r="O142" s="44">
        <f t="shared" ca="1" si="122"/>
        <v>0.20326609311929619</v>
      </c>
      <c r="P142" s="44">
        <f t="shared" ca="1" si="122"/>
        <v>2.3692818143452339</v>
      </c>
    </row>
    <row r="143" spans="1:39" ht="16.5" x14ac:dyDescent="0.3">
      <c r="A143" s="44"/>
      <c r="B143" s="44"/>
      <c r="C143" s="44"/>
      <c r="D143" s="44" t="s">
        <v>309</v>
      </c>
      <c r="E143" s="44">
        <f ca="1">E142/SUM($E$142:$P$142)*100</f>
        <v>1.1002658321999741</v>
      </c>
      <c r="F143" s="44">
        <f t="shared" ref="F143:P143" ca="1" si="123">F142/SUM($E$142:$P$142)*100</f>
        <v>0.978169611655617</v>
      </c>
      <c r="G143" s="44">
        <f t="shared" ca="1" si="123"/>
        <v>0.31174318539989709</v>
      </c>
      <c r="H143" s="44">
        <f t="shared" ca="1" si="123"/>
        <v>1.1445156538591894</v>
      </c>
      <c r="I143" s="44">
        <f t="shared" ca="1" si="123"/>
        <v>0.13107660621850806</v>
      </c>
      <c r="J143" s="44">
        <f t="shared" ca="1" si="123"/>
        <v>0.20216279598154638</v>
      </c>
      <c r="K143" s="44">
        <f t="shared" ca="1" si="123"/>
        <v>6.460914072131704</v>
      </c>
      <c r="L143" s="44">
        <f t="shared" ca="1" si="123"/>
        <v>79.599083013755745</v>
      </c>
      <c r="M143" s="44">
        <f t="shared" ca="1" si="123"/>
        <v>6.9975582792666193</v>
      </c>
      <c r="N143" s="44">
        <f t="shared" ca="1" si="123"/>
        <v>0.27826322402628373</v>
      </c>
      <c r="O143" s="44">
        <f t="shared" ca="1" si="123"/>
        <v>0.22094140556445266</v>
      </c>
      <c r="P143" s="44">
        <f t="shared" ca="1" si="123"/>
        <v>2.5753063199404749</v>
      </c>
    </row>
    <row r="144" spans="1:39" ht="16.5" x14ac:dyDescent="0.3">
      <c r="A144" s="44"/>
      <c r="B144" s="44"/>
      <c r="C144" s="44"/>
      <c r="D144" s="44"/>
      <c r="E144" s="44"/>
      <c r="F144" s="44"/>
      <c r="G144" s="44"/>
      <c r="H144" s="44"/>
      <c r="I144" s="44"/>
      <c r="J144" s="44"/>
      <c r="K144" s="44"/>
      <c r="L144" s="44"/>
      <c r="M144" s="44"/>
      <c r="N144" s="44"/>
      <c r="O144" s="44"/>
      <c r="P144" s="44"/>
    </row>
    <row r="145" spans="1:16" ht="16.5" x14ac:dyDescent="0.3">
      <c r="A145" s="44"/>
      <c r="B145" s="44"/>
      <c r="C145" s="44"/>
      <c r="D145" s="44"/>
      <c r="E145" s="44"/>
      <c r="F145" s="44"/>
      <c r="G145" s="44"/>
      <c r="H145" s="44"/>
      <c r="I145" s="44"/>
      <c r="J145" s="44"/>
      <c r="K145" s="44"/>
      <c r="L145" s="44"/>
      <c r="M145" s="44"/>
      <c r="N145" s="44"/>
      <c r="O145" s="44"/>
      <c r="P145" s="44"/>
    </row>
    <row r="146" spans="1:16" ht="16.5" x14ac:dyDescent="0.3">
      <c r="A146" s="44"/>
      <c r="B146" s="44"/>
      <c r="C146" s="44"/>
      <c r="D146" s="44"/>
      <c r="E146" s="44"/>
      <c r="F146" s="44"/>
      <c r="G146" s="44"/>
      <c r="H146" s="44"/>
      <c r="I146" s="44"/>
      <c r="J146" s="44"/>
      <c r="K146" s="44"/>
      <c r="L146" s="44"/>
      <c r="M146" s="44"/>
      <c r="N146" s="44"/>
      <c r="O146" s="44"/>
      <c r="P146" s="44"/>
    </row>
    <row r="147" spans="1:16" ht="16.5" x14ac:dyDescent="0.3">
      <c r="A147" s="44"/>
      <c r="B147" s="44"/>
      <c r="C147" s="44"/>
      <c r="D147" s="44"/>
      <c r="E147" s="44"/>
      <c r="F147" s="44"/>
      <c r="G147" s="44"/>
      <c r="H147" s="44"/>
      <c r="I147" s="44"/>
      <c r="J147" s="44"/>
      <c r="K147" s="44"/>
      <c r="L147" s="44"/>
      <c r="M147" s="44"/>
      <c r="N147" s="44"/>
      <c r="O147" s="44"/>
      <c r="P147" s="44"/>
    </row>
    <row r="148" spans="1:16" ht="16.5" x14ac:dyDescent="0.3">
      <c r="A148" s="44"/>
      <c r="B148" s="44"/>
      <c r="C148" s="44"/>
      <c r="D148" s="44"/>
      <c r="E148" s="44"/>
      <c r="F148" s="44"/>
      <c r="G148" s="44"/>
      <c r="H148" s="44"/>
      <c r="I148" s="44"/>
      <c r="J148" s="44"/>
      <c r="K148" s="44"/>
      <c r="L148" s="44"/>
      <c r="M148" s="44"/>
      <c r="N148" s="44"/>
      <c r="O148" s="44"/>
      <c r="P148" s="44"/>
    </row>
    <row r="149" spans="1:16" ht="16.5" x14ac:dyDescent="0.3">
      <c r="A149" s="44"/>
      <c r="B149" s="44"/>
      <c r="C149" s="44"/>
      <c r="D149" s="44"/>
      <c r="E149" s="44"/>
      <c r="F149" s="44"/>
      <c r="G149" s="44"/>
      <c r="H149" s="44"/>
      <c r="I149" s="44"/>
      <c r="J149" s="44"/>
      <c r="K149" s="44"/>
      <c r="L149" s="44"/>
      <c r="M149" s="44"/>
      <c r="N149" s="44"/>
      <c r="O149" s="44"/>
      <c r="P149" s="44"/>
    </row>
    <row r="150" spans="1:16" ht="16.5" x14ac:dyDescent="0.3">
      <c r="A150" s="44"/>
      <c r="B150" s="44"/>
      <c r="C150" s="44"/>
      <c r="D150" s="44"/>
      <c r="E150" s="44"/>
      <c r="F150" s="44"/>
      <c r="G150" s="44"/>
      <c r="H150" s="44"/>
      <c r="I150" s="44"/>
      <c r="J150" s="44"/>
      <c r="K150" s="44"/>
      <c r="L150" s="44"/>
      <c r="M150" s="44"/>
      <c r="N150" s="44"/>
      <c r="O150" s="44"/>
      <c r="P150" s="44"/>
    </row>
    <row r="151" spans="1:16" ht="16.5" x14ac:dyDescent="0.3">
      <c r="A151" s="44"/>
      <c r="B151" s="44"/>
      <c r="C151" s="44"/>
      <c r="D151" s="44"/>
      <c r="E151" s="44"/>
      <c r="F151" s="44"/>
      <c r="G151" s="44"/>
      <c r="H151" s="44"/>
      <c r="I151" s="44"/>
      <c r="J151" s="44"/>
      <c r="K151" s="44"/>
      <c r="L151" s="44"/>
      <c r="M151" s="44"/>
      <c r="N151" s="44"/>
      <c r="O151" s="44"/>
      <c r="P151" s="44"/>
    </row>
    <row r="152" spans="1:16" ht="16.5" x14ac:dyDescent="0.3">
      <c r="A152" s="44"/>
      <c r="B152" s="44"/>
      <c r="C152" s="44"/>
      <c r="D152" s="44"/>
      <c r="E152" s="44"/>
      <c r="F152" s="44"/>
      <c r="G152" s="44"/>
      <c r="H152" s="44"/>
      <c r="I152" s="44"/>
      <c r="J152" s="44"/>
      <c r="K152" s="44"/>
      <c r="L152" s="44"/>
      <c r="M152" s="44"/>
      <c r="N152" s="44"/>
      <c r="O152" s="44"/>
      <c r="P152" s="44"/>
    </row>
    <row r="153" spans="1:16" ht="16.5" x14ac:dyDescent="0.3">
      <c r="A153" s="44"/>
      <c r="B153" s="44"/>
      <c r="C153" s="44"/>
      <c r="D153" s="44"/>
      <c r="E153" s="44"/>
      <c r="F153" s="44"/>
      <c r="G153" s="44"/>
      <c r="H153" s="44"/>
      <c r="I153" s="44"/>
      <c r="J153" s="44"/>
      <c r="K153" s="44"/>
      <c r="L153" s="44"/>
      <c r="M153" s="44"/>
      <c r="N153" s="44"/>
      <c r="O153" s="44"/>
      <c r="P153" s="44"/>
    </row>
    <row r="154" spans="1:16" ht="16.5" x14ac:dyDescent="0.3">
      <c r="A154" s="44"/>
      <c r="B154" s="44"/>
      <c r="C154" s="44"/>
      <c r="D154" s="44"/>
      <c r="E154" s="44"/>
      <c r="F154" s="44"/>
      <c r="G154" s="44"/>
      <c r="H154" s="44"/>
      <c r="I154" s="44"/>
      <c r="J154" s="44"/>
      <c r="K154" s="44"/>
      <c r="L154" s="44"/>
      <c r="M154" s="44"/>
      <c r="N154" s="44"/>
      <c r="O154" s="44"/>
      <c r="P154" s="44"/>
    </row>
    <row r="155" spans="1:16" ht="16.5" x14ac:dyDescent="0.3">
      <c r="A155" s="44"/>
      <c r="B155" s="44"/>
      <c r="C155" s="44"/>
      <c r="D155" s="44"/>
      <c r="E155" s="44"/>
      <c r="F155" s="44"/>
      <c r="G155" s="44"/>
      <c r="H155" s="44"/>
      <c r="I155" s="44"/>
      <c r="J155" s="44"/>
      <c r="K155" s="44"/>
      <c r="L155" s="44"/>
      <c r="M155" s="44"/>
      <c r="N155" s="44"/>
      <c r="O155" s="44"/>
      <c r="P155" s="44"/>
    </row>
    <row r="156" spans="1:16" ht="16.5" x14ac:dyDescent="0.3">
      <c r="A156" s="44"/>
      <c r="B156" s="44"/>
      <c r="C156" s="44"/>
      <c r="D156" s="44"/>
      <c r="E156" s="44"/>
      <c r="F156" s="44"/>
      <c r="G156" s="44"/>
      <c r="H156" s="44"/>
      <c r="I156" s="44"/>
      <c r="J156" s="44"/>
      <c r="K156" s="44"/>
      <c r="L156" s="44"/>
      <c r="M156" s="44"/>
      <c r="N156" s="44"/>
      <c r="O156" s="44"/>
      <c r="P156" s="44"/>
    </row>
    <row r="157" spans="1:16" ht="16.5" x14ac:dyDescent="0.3">
      <c r="A157" s="44"/>
      <c r="B157" s="44"/>
      <c r="C157" s="44"/>
      <c r="D157" s="44"/>
      <c r="E157" s="44"/>
      <c r="F157" s="44"/>
      <c r="G157" s="44"/>
      <c r="H157" s="44"/>
      <c r="I157" s="44"/>
      <c r="J157" s="44"/>
      <c r="K157" s="44"/>
      <c r="L157" s="44"/>
      <c r="M157" s="44"/>
      <c r="N157" s="44"/>
      <c r="O157" s="44"/>
      <c r="P157" s="44"/>
    </row>
    <row r="158" spans="1:16" ht="16.5" x14ac:dyDescent="0.3">
      <c r="A158" s="44"/>
      <c r="B158" s="44"/>
      <c r="C158" s="44"/>
      <c r="D158" s="44"/>
      <c r="E158" s="44"/>
      <c r="F158" s="44"/>
      <c r="G158" s="44"/>
      <c r="H158" s="44"/>
      <c r="I158" s="44"/>
      <c r="J158" s="44"/>
      <c r="K158" s="44"/>
      <c r="L158" s="44"/>
      <c r="M158" s="44"/>
      <c r="N158" s="44"/>
      <c r="O158" s="44"/>
      <c r="P158" s="44"/>
    </row>
    <row r="159" spans="1:16" ht="16.5" x14ac:dyDescent="0.3">
      <c r="A159" s="44"/>
      <c r="B159" s="44"/>
      <c r="C159" s="44"/>
      <c r="D159" s="44"/>
      <c r="E159" s="44"/>
      <c r="F159" s="44"/>
      <c r="G159" s="44"/>
      <c r="H159" s="44"/>
      <c r="I159" s="44"/>
      <c r="J159" s="44"/>
      <c r="K159" s="44"/>
      <c r="L159" s="44"/>
      <c r="M159" s="44"/>
      <c r="N159" s="44"/>
      <c r="O159" s="44"/>
      <c r="P159" s="44"/>
    </row>
    <row r="160" spans="1:16" ht="16.5" x14ac:dyDescent="0.3">
      <c r="A160" s="44"/>
      <c r="B160" s="44"/>
      <c r="C160" s="44"/>
      <c r="D160" s="44"/>
      <c r="E160" s="44"/>
      <c r="F160" s="44"/>
      <c r="G160" s="44"/>
      <c r="H160" s="44"/>
      <c r="I160" s="44"/>
      <c r="J160" s="44"/>
      <c r="K160" s="44"/>
      <c r="L160" s="44"/>
      <c r="M160" s="44"/>
      <c r="N160" s="44"/>
      <c r="O160" s="44"/>
      <c r="P160" s="44"/>
    </row>
    <row r="161" spans="1:16" ht="16.5" x14ac:dyDescent="0.3">
      <c r="A161" s="44"/>
      <c r="B161" s="44"/>
      <c r="C161" s="44"/>
      <c r="D161" s="44"/>
      <c r="E161" s="44"/>
      <c r="F161" s="44"/>
      <c r="G161" s="44"/>
      <c r="H161" s="44"/>
      <c r="I161" s="44"/>
      <c r="J161" s="44"/>
      <c r="K161" s="44"/>
      <c r="L161" s="44"/>
      <c r="M161" s="44"/>
      <c r="N161" s="44"/>
      <c r="O161" s="44"/>
      <c r="P161" s="44"/>
    </row>
    <row r="162" spans="1:16" ht="16.5" x14ac:dyDescent="0.3">
      <c r="A162" s="44"/>
      <c r="B162" s="44"/>
      <c r="C162" s="44"/>
      <c r="D162" s="44"/>
      <c r="E162" s="44"/>
      <c r="F162" s="44"/>
      <c r="G162" s="44"/>
      <c r="H162" s="44"/>
      <c r="I162" s="44"/>
      <c r="J162" s="44"/>
      <c r="K162" s="44"/>
      <c r="L162" s="44"/>
      <c r="M162" s="44"/>
      <c r="N162" s="44"/>
      <c r="O162" s="44"/>
      <c r="P162" s="44"/>
    </row>
    <row r="163" spans="1:16" ht="16.5" x14ac:dyDescent="0.3">
      <c r="A163" s="44"/>
      <c r="B163" s="44"/>
      <c r="C163" s="44"/>
      <c r="D163" s="44"/>
      <c r="E163" s="44"/>
      <c r="F163" s="44"/>
      <c r="G163" s="44"/>
      <c r="H163" s="44"/>
      <c r="I163" s="44"/>
      <c r="J163" s="44"/>
      <c r="K163" s="44"/>
      <c r="L163" s="44"/>
      <c r="M163" s="44"/>
      <c r="N163" s="44"/>
      <c r="O163" s="44"/>
      <c r="P163" s="44"/>
    </row>
    <row r="164" spans="1:16" ht="16.5" x14ac:dyDescent="0.3">
      <c r="A164" s="44"/>
      <c r="B164" s="44"/>
      <c r="C164" s="44"/>
      <c r="D164" s="44"/>
      <c r="E164" s="44"/>
      <c r="F164" s="44"/>
      <c r="G164" s="44"/>
      <c r="H164" s="44"/>
      <c r="I164" s="44"/>
      <c r="J164" s="44"/>
      <c r="K164" s="44"/>
      <c r="L164" s="44"/>
      <c r="M164" s="44"/>
      <c r="N164" s="44"/>
      <c r="O164" s="44"/>
      <c r="P164" s="44"/>
    </row>
    <row r="165" spans="1:16" ht="16.5" x14ac:dyDescent="0.3">
      <c r="A165" s="44"/>
      <c r="B165" s="44"/>
      <c r="C165" s="44"/>
      <c r="D165" s="44"/>
      <c r="E165" s="44"/>
      <c r="F165" s="44"/>
      <c r="G165" s="44"/>
      <c r="H165" s="44"/>
      <c r="I165" s="44"/>
      <c r="J165" s="44"/>
      <c r="K165" s="44"/>
      <c r="L165" s="44"/>
      <c r="M165" s="44"/>
      <c r="N165" s="44"/>
      <c r="O165" s="44"/>
      <c r="P165" s="44"/>
    </row>
    <row r="166" spans="1:16" ht="16.5" x14ac:dyDescent="0.3">
      <c r="A166" s="44"/>
      <c r="B166" s="44"/>
      <c r="C166" s="44"/>
      <c r="D166" s="44"/>
      <c r="E166" s="44"/>
      <c r="F166" s="44"/>
      <c r="G166" s="44"/>
      <c r="H166" s="44"/>
      <c r="I166" s="44"/>
      <c r="J166" s="44"/>
      <c r="K166" s="44"/>
      <c r="L166" s="44"/>
      <c r="M166" s="44"/>
      <c r="N166" s="44"/>
      <c r="O166" s="44"/>
      <c r="P166" s="44"/>
    </row>
    <row r="167" spans="1:16" ht="16.5" x14ac:dyDescent="0.3">
      <c r="A167" s="44"/>
      <c r="B167" s="44"/>
      <c r="C167" s="44"/>
      <c r="D167" s="44"/>
      <c r="E167" s="44"/>
      <c r="F167" s="44"/>
      <c r="G167" s="44"/>
      <c r="H167" s="44"/>
      <c r="I167" s="44"/>
      <c r="J167" s="44"/>
      <c r="K167" s="44"/>
      <c r="L167" s="44"/>
      <c r="M167" s="44"/>
      <c r="N167" s="44"/>
      <c r="O167" s="44"/>
      <c r="P167" s="44"/>
    </row>
    <row r="168" spans="1:16" ht="16.5" x14ac:dyDescent="0.3">
      <c r="A168" s="44"/>
      <c r="B168" s="44"/>
      <c r="C168" s="44"/>
      <c r="D168" s="44"/>
      <c r="E168" s="44"/>
      <c r="F168" s="44"/>
      <c r="G168" s="44"/>
      <c r="H168" s="44"/>
      <c r="I168" s="44"/>
      <c r="J168" s="44"/>
      <c r="K168" s="44"/>
      <c r="L168" s="44"/>
      <c r="M168" s="44"/>
      <c r="N168" s="44"/>
      <c r="O168" s="44"/>
      <c r="P168" s="44"/>
    </row>
    <row r="169" spans="1:16" ht="16.5" x14ac:dyDescent="0.3">
      <c r="A169" s="44"/>
      <c r="B169" s="44"/>
      <c r="C169" s="44"/>
      <c r="D169" s="44"/>
      <c r="E169" s="44"/>
      <c r="F169" s="44"/>
      <c r="G169" s="44"/>
      <c r="H169" s="44"/>
      <c r="I169" s="44"/>
      <c r="J169" s="44"/>
      <c r="K169" s="44"/>
      <c r="L169" s="44"/>
      <c r="M169" s="44"/>
      <c r="N169" s="44"/>
      <c r="O169" s="44"/>
      <c r="P169" s="44"/>
    </row>
    <row r="170" spans="1:16" ht="16.5" x14ac:dyDescent="0.3">
      <c r="A170" s="44"/>
      <c r="B170" s="44"/>
      <c r="C170" s="44"/>
      <c r="D170" s="44"/>
      <c r="E170" s="44"/>
      <c r="F170" s="44"/>
      <c r="G170" s="44"/>
      <c r="H170" s="44"/>
      <c r="I170" s="44"/>
      <c r="J170" s="44"/>
      <c r="K170" s="44"/>
      <c r="L170" s="44"/>
      <c r="M170" s="44"/>
      <c r="N170" s="44"/>
      <c r="O170" s="44"/>
      <c r="P170" s="44"/>
    </row>
    <row r="171" spans="1:16" ht="16.5" x14ac:dyDescent="0.3">
      <c r="A171" s="44"/>
      <c r="B171" s="44"/>
      <c r="C171" s="44"/>
      <c r="D171" s="44"/>
      <c r="E171" s="44"/>
      <c r="F171" s="44"/>
      <c r="G171" s="44"/>
      <c r="H171" s="44"/>
      <c r="I171" s="44"/>
      <c r="J171" s="44"/>
      <c r="K171" s="44"/>
      <c r="L171" s="44"/>
      <c r="M171" s="44"/>
      <c r="N171" s="44"/>
      <c r="O171" s="44"/>
      <c r="P171" s="44"/>
    </row>
    <row r="172" spans="1:16" ht="16.5" x14ac:dyDescent="0.3">
      <c r="A172" s="44"/>
      <c r="B172" s="44"/>
      <c r="C172" s="44"/>
      <c r="D172" s="44"/>
      <c r="E172" s="44"/>
      <c r="F172" s="44"/>
      <c r="G172" s="44"/>
      <c r="H172" s="44"/>
      <c r="I172" s="44"/>
      <c r="J172" s="44"/>
      <c r="K172" s="44"/>
      <c r="L172" s="44"/>
      <c r="M172" s="44"/>
      <c r="N172" s="44"/>
      <c r="O172" s="44"/>
      <c r="P172" s="44"/>
    </row>
    <row r="173" spans="1:16" ht="16.5" x14ac:dyDescent="0.3">
      <c r="A173" s="44"/>
      <c r="B173" s="44"/>
      <c r="C173" s="44"/>
      <c r="D173" s="44"/>
      <c r="E173" s="44"/>
      <c r="F173" s="44"/>
      <c r="G173" s="44"/>
      <c r="H173" s="44"/>
      <c r="I173" s="44"/>
      <c r="J173" s="44"/>
      <c r="K173" s="44"/>
      <c r="L173" s="44"/>
      <c r="M173" s="44"/>
      <c r="N173" s="44"/>
      <c r="O173" s="44"/>
      <c r="P173" s="44"/>
    </row>
    <row r="174" spans="1:16" ht="16.5" x14ac:dyDescent="0.3">
      <c r="A174" s="44"/>
      <c r="B174" s="44"/>
      <c r="C174" s="44"/>
      <c r="D174" s="44"/>
      <c r="E174" s="44"/>
      <c r="F174" s="44"/>
      <c r="G174" s="44"/>
      <c r="H174" s="44"/>
      <c r="I174" s="44"/>
      <c r="J174" s="44"/>
      <c r="K174" s="44"/>
      <c r="L174" s="44"/>
      <c r="M174" s="44"/>
      <c r="N174" s="44"/>
      <c r="O174" s="44"/>
      <c r="P174" s="44"/>
    </row>
    <row r="175" spans="1:16" ht="16.5" x14ac:dyDescent="0.3">
      <c r="A175" s="44"/>
      <c r="B175" s="44"/>
      <c r="C175" s="44"/>
      <c r="D175" s="44"/>
      <c r="E175" s="44"/>
      <c r="F175" s="44"/>
      <c r="G175" s="44"/>
      <c r="H175" s="44"/>
      <c r="I175" s="44"/>
      <c r="J175" s="44"/>
      <c r="K175" s="44"/>
      <c r="L175" s="44"/>
      <c r="M175" s="44"/>
      <c r="N175" s="44"/>
      <c r="O175" s="44"/>
      <c r="P175" s="44"/>
    </row>
    <row r="176" spans="1:16" ht="16.5" x14ac:dyDescent="0.3">
      <c r="A176" s="44"/>
      <c r="B176" s="44"/>
      <c r="C176" s="44"/>
      <c r="D176" s="44"/>
      <c r="E176" s="44"/>
      <c r="F176" s="44"/>
      <c r="G176" s="44"/>
      <c r="H176" s="44"/>
      <c r="I176" s="44"/>
      <c r="J176" s="44"/>
      <c r="K176" s="44"/>
      <c r="L176" s="44"/>
      <c r="M176" s="44"/>
      <c r="N176" s="44"/>
      <c r="O176" s="44"/>
      <c r="P176" s="44"/>
    </row>
    <row r="177" spans="1:16" ht="16.5" x14ac:dyDescent="0.3">
      <c r="A177" s="44"/>
      <c r="B177" s="44"/>
      <c r="C177" s="44"/>
      <c r="D177" s="44"/>
      <c r="E177" s="44"/>
      <c r="F177" s="44"/>
      <c r="G177" s="44"/>
      <c r="H177" s="44"/>
      <c r="I177" s="44"/>
      <c r="J177" s="44"/>
      <c r="K177" s="44"/>
      <c r="L177" s="44"/>
      <c r="M177" s="44"/>
      <c r="N177" s="44"/>
      <c r="O177" s="44"/>
      <c r="P177" s="44"/>
    </row>
    <row r="178" spans="1:16" ht="16.5" x14ac:dyDescent="0.3">
      <c r="A178" s="44"/>
      <c r="B178" s="44"/>
      <c r="C178" s="44"/>
      <c r="D178" s="44"/>
      <c r="E178" s="44"/>
      <c r="F178" s="44"/>
      <c r="G178" s="44"/>
      <c r="H178" s="44"/>
      <c r="I178" s="44"/>
      <c r="J178" s="44"/>
      <c r="K178" s="44"/>
      <c r="L178" s="44"/>
      <c r="M178" s="44"/>
      <c r="N178" s="44"/>
      <c r="O178" s="44"/>
      <c r="P178" s="44"/>
    </row>
    <row r="179" spans="1:16" ht="16.5" x14ac:dyDescent="0.3">
      <c r="A179" s="44"/>
      <c r="B179" s="44"/>
      <c r="C179" s="44"/>
      <c r="D179" s="44"/>
      <c r="E179" s="44"/>
      <c r="F179" s="44"/>
      <c r="G179" s="44"/>
      <c r="H179" s="44"/>
      <c r="I179" s="44"/>
      <c r="J179" s="44"/>
      <c r="K179" s="44"/>
      <c r="L179" s="44"/>
      <c r="M179" s="44"/>
      <c r="N179" s="44"/>
      <c r="O179" s="44"/>
      <c r="P179" s="44"/>
    </row>
    <row r="180" spans="1:16" ht="16.5" x14ac:dyDescent="0.3">
      <c r="A180" s="44"/>
      <c r="B180" s="44"/>
      <c r="C180" s="44"/>
      <c r="D180" s="44"/>
      <c r="E180" s="44"/>
      <c r="F180" s="44"/>
      <c r="G180" s="44"/>
      <c r="H180" s="44"/>
      <c r="I180" s="44"/>
      <c r="J180" s="44"/>
      <c r="K180" s="44"/>
      <c r="L180" s="44"/>
      <c r="M180" s="44"/>
      <c r="N180" s="44"/>
      <c r="O180" s="44"/>
      <c r="P180" s="44"/>
    </row>
    <row r="181" spans="1:16" ht="16.5" x14ac:dyDescent="0.3">
      <c r="A181" s="44"/>
      <c r="B181" s="44"/>
      <c r="C181" s="44"/>
      <c r="D181" s="44"/>
      <c r="E181" s="44"/>
      <c r="F181" s="44"/>
      <c r="G181" s="44"/>
      <c r="H181" s="44"/>
      <c r="I181" s="44"/>
      <c r="J181" s="44"/>
      <c r="K181" s="44"/>
      <c r="L181" s="44"/>
      <c r="M181" s="44"/>
      <c r="N181" s="44"/>
      <c r="O181" s="44"/>
      <c r="P181" s="44"/>
    </row>
    <row r="182" spans="1:16" ht="16.5" x14ac:dyDescent="0.3">
      <c r="A182" s="44"/>
      <c r="B182" s="44"/>
      <c r="C182" s="44"/>
      <c r="D182" s="44"/>
      <c r="E182" s="44"/>
      <c r="F182" s="44"/>
      <c r="G182" s="44"/>
      <c r="H182" s="44"/>
      <c r="I182" s="44"/>
      <c r="J182" s="44"/>
      <c r="K182" s="44"/>
      <c r="L182" s="44"/>
      <c r="M182" s="44"/>
      <c r="N182" s="44"/>
      <c r="O182" s="44"/>
      <c r="P182" s="44"/>
    </row>
    <row r="183" spans="1:16" ht="16.5" x14ac:dyDescent="0.3">
      <c r="A183" s="44"/>
      <c r="B183" s="44"/>
      <c r="C183" s="44"/>
      <c r="D183" s="44"/>
      <c r="E183" s="44"/>
      <c r="F183" s="44"/>
      <c r="G183" s="44"/>
      <c r="H183" s="44"/>
      <c r="I183" s="44"/>
      <c r="J183" s="44"/>
      <c r="K183" s="44"/>
      <c r="L183" s="44"/>
      <c r="M183" s="44"/>
      <c r="N183" s="44"/>
      <c r="O183" s="44"/>
      <c r="P183" s="44"/>
    </row>
    <row r="184" spans="1:16" ht="16.5" x14ac:dyDescent="0.3">
      <c r="A184" s="44"/>
      <c r="B184" s="44"/>
      <c r="C184" s="44"/>
      <c r="D184" s="44"/>
      <c r="E184" s="44"/>
      <c r="F184" s="44"/>
      <c r="G184" s="44"/>
      <c r="H184" s="44"/>
      <c r="I184" s="44"/>
      <c r="J184" s="44"/>
      <c r="K184" s="44"/>
      <c r="L184" s="44"/>
      <c r="M184" s="44"/>
      <c r="N184" s="44"/>
      <c r="O184" s="44"/>
      <c r="P184" s="44"/>
    </row>
    <row r="185" spans="1:16" ht="16.5" x14ac:dyDescent="0.3">
      <c r="A185" s="44"/>
      <c r="B185" s="44"/>
      <c r="C185" s="44"/>
      <c r="D185" s="44"/>
      <c r="E185" s="44"/>
      <c r="F185" s="44"/>
      <c r="G185" s="44"/>
      <c r="H185" s="44"/>
      <c r="I185" s="44"/>
      <c r="J185" s="44"/>
      <c r="K185" s="44"/>
      <c r="L185" s="44"/>
      <c r="M185" s="44"/>
      <c r="N185" s="44"/>
      <c r="O185" s="44"/>
      <c r="P185" s="44"/>
    </row>
    <row r="186" spans="1:16" ht="16.5" x14ac:dyDescent="0.3">
      <c r="A186" s="44"/>
      <c r="B186" s="44"/>
      <c r="C186" s="44"/>
      <c r="D186" s="44"/>
      <c r="E186" s="44"/>
      <c r="F186" s="44"/>
      <c r="G186" s="44"/>
      <c r="H186" s="44"/>
      <c r="I186" s="44"/>
      <c r="J186" s="44"/>
      <c r="K186" s="44"/>
      <c r="L186" s="44"/>
      <c r="M186" s="44"/>
      <c r="N186" s="44"/>
      <c r="O186" s="44"/>
      <c r="P186" s="44"/>
    </row>
    <row r="187" spans="1:16" ht="16.5" x14ac:dyDescent="0.3">
      <c r="A187" s="44"/>
      <c r="B187" s="44"/>
      <c r="C187" s="44"/>
      <c r="D187" s="44"/>
      <c r="E187" s="44"/>
      <c r="F187" s="44"/>
      <c r="G187" s="44"/>
      <c r="H187" s="44"/>
      <c r="I187" s="44"/>
      <c r="J187" s="44"/>
      <c r="K187" s="44"/>
      <c r="L187" s="44"/>
      <c r="M187" s="44"/>
      <c r="N187" s="44"/>
      <c r="O187" s="44"/>
      <c r="P187" s="44"/>
    </row>
    <row r="188" spans="1:16" ht="16.5" x14ac:dyDescent="0.3">
      <c r="A188" s="44"/>
      <c r="B188" s="44"/>
      <c r="C188" s="44"/>
      <c r="D188" s="44"/>
      <c r="E188" s="44"/>
      <c r="F188" s="44"/>
      <c r="G188" s="44"/>
      <c r="H188" s="44"/>
      <c r="I188" s="44"/>
      <c r="J188" s="44"/>
      <c r="K188" s="44"/>
      <c r="L188" s="44"/>
      <c r="M188" s="44"/>
      <c r="N188" s="44"/>
      <c r="O188" s="44"/>
      <c r="P188" s="44"/>
    </row>
    <row r="189" spans="1:16" ht="16.5" x14ac:dyDescent="0.3">
      <c r="A189" s="44"/>
      <c r="B189" s="44"/>
      <c r="C189" s="44"/>
      <c r="D189" s="44"/>
      <c r="E189" s="44"/>
      <c r="F189" s="44"/>
      <c r="G189" s="44"/>
      <c r="H189" s="44"/>
      <c r="I189" s="44"/>
      <c r="J189" s="44"/>
      <c r="K189" s="44"/>
      <c r="L189" s="44"/>
      <c r="M189" s="44"/>
      <c r="N189" s="44"/>
      <c r="O189" s="44"/>
      <c r="P189" s="44"/>
    </row>
    <row r="190" spans="1:16" ht="16.5" x14ac:dyDescent="0.3">
      <c r="A190" s="44"/>
      <c r="B190" s="44"/>
      <c r="C190" s="44"/>
      <c r="D190" s="44"/>
      <c r="E190" s="44"/>
      <c r="F190" s="44"/>
      <c r="G190" s="44"/>
      <c r="H190" s="44"/>
      <c r="I190" s="44"/>
      <c r="J190" s="44"/>
      <c r="K190" s="44"/>
      <c r="L190" s="44"/>
      <c r="M190" s="44"/>
      <c r="N190" s="44"/>
      <c r="O190" s="44"/>
      <c r="P190" s="44"/>
    </row>
    <row r="191" spans="1:16" ht="16.5" x14ac:dyDescent="0.3">
      <c r="A191" s="44"/>
      <c r="B191" s="44"/>
      <c r="C191" s="44"/>
      <c r="D191" s="44"/>
      <c r="E191" s="44"/>
      <c r="F191" s="44"/>
      <c r="G191" s="44"/>
      <c r="H191" s="44"/>
      <c r="I191" s="44"/>
      <c r="J191" s="44"/>
      <c r="K191" s="44"/>
      <c r="L191" s="44"/>
      <c r="M191" s="44"/>
      <c r="N191" s="44"/>
      <c r="O191" s="44"/>
      <c r="P191" s="44"/>
    </row>
    <row r="192" spans="1:16" ht="16.5" x14ac:dyDescent="0.3">
      <c r="A192" s="44"/>
      <c r="B192" s="44"/>
      <c r="C192" s="44"/>
      <c r="D192" s="44"/>
      <c r="E192" s="44"/>
      <c r="F192" s="44"/>
      <c r="G192" s="44"/>
      <c r="H192" s="44"/>
      <c r="I192" s="44"/>
      <c r="J192" s="44"/>
      <c r="K192" s="44"/>
      <c r="L192" s="44"/>
      <c r="M192" s="44"/>
      <c r="N192" s="44"/>
      <c r="O192" s="44"/>
      <c r="P192" s="44"/>
    </row>
    <row r="193" spans="1:16" ht="16.5" x14ac:dyDescent="0.3">
      <c r="A193" s="44"/>
      <c r="B193" s="44"/>
      <c r="C193" s="44"/>
      <c r="D193" s="44"/>
      <c r="E193" s="44"/>
      <c r="F193" s="44"/>
      <c r="G193" s="44"/>
      <c r="H193" s="44"/>
      <c r="I193" s="44"/>
      <c r="J193" s="44"/>
      <c r="K193" s="44"/>
      <c r="L193" s="44"/>
      <c r="M193" s="44"/>
      <c r="N193" s="44"/>
      <c r="O193" s="44"/>
      <c r="P193" s="44"/>
    </row>
    <row r="194" spans="1:16" ht="16.5" x14ac:dyDescent="0.3">
      <c r="A194" s="44"/>
      <c r="B194" s="44"/>
      <c r="C194" s="44"/>
      <c r="D194" s="44"/>
      <c r="E194" s="44"/>
      <c r="F194" s="44"/>
      <c r="G194" s="44"/>
      <c r="H194" s="44"/>
      <c r="I194" s="44"/>
      <c r="J194" s="44"/>
      <c r="K194" s="44"/>
      <c r="L194" s="44"/>
      <c r="M194" s="44"/>
      <c r="N194" s="44"/>
      <c r="O194" s="44"/>
      <c r="P194" s="44"/>
    </row>
    <row r="195" spans="1:16" ht="16.5" x14ac:dyDescent="0.3">
      <c r="A195" s="44"/>
      <c r="B195" s="44"/>
      <c r="C195" s="44"/>
      <c r="D195" s="44"/>
      <c r="E195" s="44"/>
      <c r="F195" s="44"/>
      <c r="G195" s="44"/>
      <c r="H195" s="44"/>
      <c r="I195" s="44"/>
      <c r="J195" s="44"/>
      <c r="K195" s="44"/>
      <c r="L195" s="44"/>
      <c r="M195" s="44"/>
      <c r="N195" s="44"/>
      <c r="O195" s="44"/>
      <c r="P195" s="44"/>
    </row>
    <row r="196" spans="1:16" ht="16.5" x14ac:dyDescent="0.3">
      <c r="A196" s="44"/>
      <c r="B196" s="44"/>
      <c r="C196" s="44"/>
      <c r="D196" s="44"/>
      <c r="E196" s="44"/>
      <c r="F196" s="44"/>
      <c r="G196" s="44"/>
      <c r="H196" s="44"/>
      <c r="I196" s="44"/>
      <c r="J196" s="44"/>
      <c r="K196" s="44"/>
      <c r="L196" s="44"/>
      <c r="M196" s="44"/>
      <c r="N196" s="44"/>
      <c r="O196" s="44"/>
      <c r="P196" s="44"/>
    </row>
    <row r="197" spans="1:16" ht="16.5" x14ac:dyDescent="0.3">
      <c r="A197" s="44"/>
      <c r="B197" s="44"/>
      <c r="C197" s="44"/>
      <c r="D197" s="44"/>
      <c r="E197" s="44"/>
      <c r="F197" s="44"/>
      <c r="G197" s="44"/>
      <c r="H197" s="44"/>
      <c r="I197" s="44"/>
      <c r="J197" s="44"/>
      <c r="K197" s="44"/>
      <c r="L197" s="44"/>
      <c r="M197" s="44"/>
      <c r="N197" s="44"/>
      <c r="O197" s="44"/>
      <c r="P197" s="44"/>
    </row>
    <row r="198" spans="1:16" ht="16.5" x14ac:dyDescent="0.3">
      <c r="A198" s="44"/>
      <c r="B198" s="44"/>
      <c r="C198" s="44"/>
      <c r="D198" s="44"/>
      <c r="E198" s="44"/>
      <c r="F198" s="44"/>
      <c r="G198" s="44"/>
      <c r="H198" s="44"/>
      <c r="I198" s="44"/>
      <c r="J198" s="44"/>
      <c r="K198" s="44"/>
      <c r="L198" s="44"/>
      <c r="M198" s="44"/>
      <c r="N198" s="44"/>
      <c r="O198" s="44"/>
      <c r="P198" s="44"/>
    </row>
    <row r="199" spans="1:16" ht="16.5" x14ac:dyDescent="0.3">
      <c r="A199" s="44"/>
      <c r="B199" s="44"/>
      <c r="C199" s="44"/>
      <c r="D199" s="44"/>
      <c r="E199" s="44"/>
      <c r="F199" s="44"/>
      <c r="G199" s="44"/>
      <c r="H199" s="44"/>
      <c r="I199" s="44"/>
      <c r="J199" s="44"/>
      <c r="K199" s="44"/>
      <c r="L199" s="44"/>
      <c r="M199" s="44"/>
      <c r="N199" s="44"/>
      <c r="O199" s="44"/>
      <c r="P199" s="44"/>
    </row>
    <row r="200" spans="1:16" ht="16.5" x14ac:dyDescent="0.3">
      <c r="A200" s="44"/>
      <c r="B200" s="44"/>
      <c r="C200" s="44"/>
      <c r="D200" s="44"/>
      <c r="E200" s="44"/>
      <c r="F200" s="44"/>
      <c r="G200" s="44"/>
      <c r="H200" s="44"/>
      <c r="I200" s="44"/>
      <c r="J200" s="44"/>
      <c r="K200" s="44"/>
      <c r="L200" s="44"/>
      <c r="M200" s="44"/>
      <c r="N200" s="44"/>
      <c r="O200" s="44"/>
      <c r="P200" s="44"/>
    </row>
    <row r="201" spans="1:16" ht="16.5" x14ac:dyDescent="0.3">
      <c r="A201" s="44"/>
      <c r="B201" s="44"/>
      <c r="C201" s="44"/>
      <c r="D201" s="44"/>
      <c r="E201" s="44"/>
      <c r="F201" s="44"/>
      <c r="G201" s="44"/>
      <c r="H201" s="44"/>
      <c r="I201" s="44"/>
      <c r="J201" s="44"/>
      <c r="K201" s="44"/>
      <c r="L201" s="44"/>
      <c r="M201" s="44"/>
      <c r="N201" s="44"/>
      <c r="O201" s="44"/>
      <c r="P201" s="44"/>
    </row>
    <row r="202" spans="1:16" ht="16.5" x14ac:dyDescent="0.3">
      <c r="A202" s="44"/>
      <c r="B202" s="44"/>
      <c r="C202" s="44"/>
      <c r="D202" s="44"/>
      <c r="E202" s="44"/>
      <c r="F202" s="44"/>
      <c r="G202" s="44"/>
      <c r="H202" s="44"/>
      <c r="I202" s="44"/>
      <c r="J202" s="44"/>
      <c r="K202" s="44"/>
      <c r="L202" s="44"/>
      <c r="M202" s="44"/>
      <c r="N202" s="44"/>
      <c r="O202" s="44"/>
      <c r="P202" s="44"/>
    </row>
    <row r="203" spans="1:16" ht="16.5" x14ac:dyDescent="0.3">
      <c r="A203" s="44"/>
      <c r="B203" s="44"/>
      <c r="C203" s="44"/>
      <c r="D203" s="44"/>
      <c r="E203" s="44"/>
      <c r="F203" s="44"/>
      <c r="G203" s="44"/>
      <c r="H203" s="44"/>
      <c r="I203" s="44"/>
      <c r="J203" s="44"/>
      <c r="K203" s="44"/>
      <c r="L203" s="44"/>
      <c r="M203" s="44"/>
      <c r="N203" s="44"/>
      <c r="O203" s="44"/>
      <c r="P203" s="44"/>
    </row>
    <row r="204" spans="1:16" ht="16.5" x14ac:dyDescent="0.3">
      <c r="A204" s="44"/>
      <c r="B204" s="44"/>
      <c r="C204" s="44"/>
      <c r="D204" s="44"/>
      <c r="E204" s="44"/>
      <c r="F204" s="44"/>
      <c r="G204" s="44"/>
      <c r="H204" s="44"/>
      <c r="I204" s="44"/>
      <c r="J204" s="44"/>
      <c r="K204" s="44"/>
      <c r="L204" s="44"/>
      <c r="M204" s="44"/>
      <c r="N204" s="44"/>
      <c r="O204" s="44"/>
      <c r="P204" s="44"/>
    </row>
    <row r="205" spans="1:16" ht="16.5" x14ac:dyDescent="0.3">
      <c r="A205" s="44"/>
      <c r="B205" s="44"/>
      <c r="C205" s="44"/>
      <c r="D205" s="44"/>
      <c r="E205" s="44"/>
      <c r="F205" s="44"/>
      <c r="G205" s="44"/>
      <c r="H205" s="44"/>
      <c r="I205" s="44"/>
      <c r="J205" s="44"/>
      <c r="K205" s="44"/>
      <c r="L205" s="44"/>
      <c r="M205" s="44"/>
      <c r="N205" s="44"/>
      <c r="O205" s="44"/>
      <c r="P205" s="44"/>
    </row>
    <row r="206" spans="1:16" ht="16.5" x14ac:dyDescent="0.3">
      <c r="A206" s="44"/>
      <c r="B206" s="44"/>
      <c r="C206" s="44"/>
      <c r="D206" s="44"/>
      <c r="E206" s="44"/>
      <c r="F206" s="44"/>
      <c r="G206" s="44"/>
      <c r="H206" s="44"/>
      <c r="I206" s="44"/>
      <c r="J206" s="44"/>
      <c r="K206" s="44"/>
      <c r="L206" s="44"/>
      <c r="M206" s="44"/>
      <c r="N206" s="44"/>
      <c r="O206" s="44"/>
      <c r="P206" s="44"/>
    </row>
    <row r="207" spans="1:16" ht="16.5" x14ac:dyDescent="0.3">
      <c r="A207" s="44"/>
      <c r="B207" s="44"/>
      <c r="C207" s="44"/>
      <c r="D207" s="44"/>
      <c r="E207" s="44"/>
      <c r="F207" s="44"/>
      <c r="G207" s="44"/>
      <c r="H207" s="44"/>
      <c r="I207" s="44"/>
      <c r="J207" s="44"/>
      <c r="K207" s="44"/>
      <c r="L207" s="44"/>
      <c r="M207" s="44"/>
      <c r="N207" s="44"/>
      <c r="O207" s="44"/>
      <c r="P207" s="44"/>
    </row>
    <row r="208" spans="1:16" ht="16.5" x14ac:dyDescent="0.3">
      <c r="A208" s="44"/>
      <c r="B208" s="44"/>
      <c r="C208" s="44"/>
      <c r="D208" s="44"/>
      <c r="E208" s="44"/>
      <c r="F208" s="44"/>
      <c r="G208" s="44"/>
      <c r="H208" s="44"/>
      <c r="I208" s="44"/>
      <c r="J208" s="44"/>
      <c r="K208" s="44"/>
      <c r="L208" s="44"/>
      <c r="M208" s="44"/>
      <c r="N208" s="44"/>
      <c r="O208" s="44"/>
      <c r="P208" s="44"/>
    </row>
    <row r="209" spans="1:16" ht="16.5" x14ac:dyDescent="0.3">
      <c r="A209" s="44"/>
      <c r="B209" s="44"/>
      <c r="C209" s="44"/>
      <c r="D209" s="44"/>
      <c r="E209" s="44"/>
      <c r="F209" s="44"/>
      <c r="G209" s="44"/>
      <c r="H209" s="44"/>
      <c r="I209" s="44"/>
      <c r="J209" s="44"/>
      <c r="K209" s="44"/>
      <c r="L209" s="44"/>
      <c r="M209" s="44"/>
      <c r="N209" s="44"/>
      <c r="O209" s="44"/>
      <c r="P209" s="44"/>
    </row>
    <row r="210" spans="1:16" ht="16.5" x14ac:dyDescent="0.3">
      <c r="A210" s="44"/>
      <c r="B210" s="44"/>
      <c r="C210" s="44"/>
      <c r="D210" s="44"/>
      <c r="E210" s="44"/>
      <c r="F210" s="44"/>
      <c r="G210" s="44"/>
      <c r="H210" s="44"/>
      <c r="I210" s="44"/>
      <c r="J210" s="44"/>
      <c r="K210" s="44"/>
      <c r="L210" s="44"/>
      <c r="M210" s="44"/>
      <c r="N210" s="44"/>
      <c r="O210" s="44"/>
      <c r="P210" s="44"/>
    </row>
    <row r="211" spans="1:16" ht="16.5" x14ac:dyDescent="0.3">
      <c r="A211" s="44"/>
      <c r="B211" s="44"/>
      <c r="C211" s="44"/>
      <c r="D211" s="44"/>
      <c r="E211" s="44"/>
      <c r="F211" s="44"/>
      <c r="G211" s="44"/>
      <c r="H211" s="44"/>
      <c r="I211" s="44"/>
      <c r="J211" s="44"/>
      <c r="K211" s="44"/>
      <c r="L211" s="44"/>
      <c r="M211" s="44"/>
      <c r="N211" s="44"/>
      <c r="O211" s="44"/>
      <c r="P211" s="44"/>
    </row>
    <row r="212" spans="1:16" ht="16.5" x14ac:dyDescent="0.3">
      <c r="A212" s="44"/>
      <c r="B212" s="44"/>
      <c r="C212" s="44"/>
      <c r="D212" s="44"/>
      <c r="E212" s="44"/>
      <c r="F212" s="44"/>
      <c r="G212" s="44"/>
      <c r="H212" s="44"/>
      <c r="I212" s="44"/>
      <c r="J212" s="44"/>
      <c r="K212" s="44"/>
      <c r="L212" s="44"/>
      <c r="M212" s="44"/>
      <c r="N212" s="44"/>
      <c r="O212" s="44"/>
      <c r="P212" s="44"/>
    </row>
    <row r="213" spans="1:16" ht="16.5" x14ac:dyDescent="0.3">
      <c r="A213" s="44"/>
      <c r="B213" s="44"/>
      <c r="C213" s="44"/>
      <c r="D213" s="44"/>
      <c r="E213" s="44"/>
      <c r="F213" s="44"/>
      <c r="G213" s="44"/>
      <c r="H213" s="44"/>
      <c r="I213" s="44"/>
      <c r="J213" s="44"/>
      <c r="K213" s="44"/>
      <c r="L213" s="44"/>
      <c r="M213" s="44"/>
      <c r="N213" s="44"/>
      <c r="O213" s="44"/>
      <c r="P213" s="44"/>
    </row>
    <row r="214" spans="1:16" ht="16.5" x14ac:dyDescent="0.3">
      <c r="A214" s="44"/>
      <c r="B214" s="44"/>
      <c r="C214" s="44"/>
      <c r="D214" s="44"/>
      <c r="E214" s="44"/>
      <c r="F214" s="44"/>
      <c r="G214" s="44"/>
      <c r="H214" s="44"/>
      <c r="I214" s="44"/>
      <c r="J214" s="44"/>
      <c r="K214" s="44"/>
      <c r="L214" s="44"/>
      <c r="M214" s="44"/>
      <c r="N214" s="44"/>
      <c r="O214" s="44"/>
      <c r="P214" s="44"/>
    </row>
    <row r="215" spans="1:16" ht="16.5" x14ac:dyDescent="0.3">
      <c r="A215" s="44"/>
      <c r="B215" s="44"/>
      <c r="C215" s="44"/>
      <c r="D215" s="44"/>
      <c r="E215" s="44"/>
      <c r="F215" s="44"/>
      <c r="G215" s="44"/>
      <c r="H215" s="44"/>
      <c r="I215" s="44"/>
      <c r="J215" s="44"/>
      <c r="K215" s="44"/>
      <c r="L215" s="44"/>
      <c r="M215" s="44"/>
      <c r="N215" s="44"/>
      <c r="O215" s="44"/>
      <c r="P215" s="44"/>
    </row>
    <row r="216" spans="1:16" ht="16.5" x14ac:dyDescent="0.3">
      <c r="A216" s="44"/>
      <c r="B216" s="44"/>
      <c r="C216" s="44"/>
      <c r="D216" s="44"/>
      <c r="E216" s="44"/>
      <c r="F216" s="44"/>
      <c r="G216" s="44"/>
      <c r="H216" s="44"/>
      <c r="I216" s="44"/>
      <c r="J216" s="44"/>
      <c r="K216" s="44"/>
      <c r="L216" s="44"/>
      <c r="M216" s="44"/>
      <c r="N216" s="44"/>
      <c r="O216" s="44"/>
      <c r="P216" s="44"/>
    </row>
    <row r="217" spans="1:16" ht="16.5" x14ac:dyDescent="0.3">
      <c r="A217" s="44"/>
      <c r="B217" s="44"/>
      <c r="C217" s="44"/>
      <c r="D217" s="44"/>
      <c r="E217" s="44"/>
      <c r="F217" s="44"/>
      <c r="G217" s="44"/>
      <c r="H217" s="44"/>
      <c r="I217" s="44"/>
      <c r="J217" s="44"/>
      <c r="K217" s="44"/>
      <c r="L217" s="44"/>
      <c r="M217" s="44"/>
      <c r="N217" s="44"/>
      <c r="O217" s="44"/>
      <c r="P217" s="44"/>
    </row>
    <row r="218" spans="1:16" ht="16.5" x14ac:dyDescent="0.3">
      <c r="A218" s="44"/>
      <c r="B218" s="44"/>
      <c r="C218" s="44"/>
      <c r="D218" s="44"/>
      <c r="E218" s="44"/>
      <c r="F218" s="44"/>
      <c r="G218" s="44"/>
      <c r="H218" s="44"/>
      <c r="I218" s="44"/>
      <c r="J218" s="44"/>
      <c r="K218" s="44"/>
      <c r="L218" s="44"/>
      <c r="M218" s="44"/>
      <c r="N218" s="44"/>
      <c r="O218" s="44"/>
      <c r="P218" s="44"/>
    </row>
    <row r="219" spans="1:16" ht="16.5" x14ac:dyDescent="0.3">
      <c r="A219" s="44"/>
      <c r="B219" s="44"/>
      <c r="C219" s="44"/>
      <c r="D219" s="44"/>
      <c r="E219" s="44"/>
      <c r="F219" s="44"/>
      <c r="G219" s="44"/>
      <c r="H219" s="44"/>
      <c r="I219" s="44"/>
      <c r="J219" s="44"/>
      <c r="K219" s="44"/>
      <c r="L219" s="44"/>
      <c r="M219" s="44"/>
      <c r="N219" s="44"/>
      <c r="O219" s="44"/>
      <c r="P219" s="44"/>
    </row>
    <row r="220" spans="1:16" ht="16.5" x14ac:dyDescent="0.3">
      <c r="A220" s="44"/>
      <c r="B220" s="44"/>
      <c r="C220" s="44"/>
      <c r="D220" s="44"/>
      <c r="E220" s="44"/>
      <c r="F220" s="44"/>
      <c r="G220" s="44"/>
      <c r="H220" s="44"/>
      <c r="I220" s="44"/>
      <c r="J220" s="44"/>
      <c r="K220" s="44"/>
      <c r="L220" s="44"/>
      <c r="M220" s="44"/>
      <c r="N220" s="44"/>
      <c r="O220" s="44"/>
      <c r="P220" s="44"/>
    </row>
    <row r="221" spans="1:16" ht="16.5" x14ac:dyDescent="0.3">
      <c r="A221" s="44"/>
      <c r="B221" s="44"/>
      <c r="C221" s="44"/>
      <c r="D221" s="44"/>
      <c r="E221" s="44"/>
      <c r="F221" s="44"/>
      <c r="G221" s="44"/>
      <c r="H221" s="44"/>
      <c r="I221" s="44"/>
      <c r="J221" s="44"/>
      <c r="K221" s="44"/>
      <c r="L221" s="44"/>
      <c r="M221" s="44"/>
      <c r="N221" s="44"/>
      <c r="O221" s="44"/>
      <c r="P221" s="44"/>
    </row>
    <row r="222" spans="1:16" ht="16.5" x14ac:dyDescent="0.3">
      <c r="A222" s="44"/>
      <c r="B222" s="44"/>
      <c r="C222" s="44"/>
      <c r="D222" s="44"/>
      <c r="E222" s="44"/>
      <c r="F222" s="44"/>
      <c r="G222" s="44"/>
      <c r="H222" s="44"/>
      <c r="I222" s="44"/>
      <c r="J222" s="44"/>
      <c r="K222" s="44"/>
      <c r="L222" s="44"/>
      <c r="M222" s="44"/>
      <c r="N222" s="44"/>
      <c r="O222" s="44"/>
      <c r="P222" s="44"/>
    </row>
    <row r="223" spans="1:16" ht="16.5" x14ac:dyDescent="0.3">
      <c r="A223" s="44"/>
      <c r="B223" s="44"/>
      <c r="C223" s="44"/>
      <c r="D223" s="44"/>
      <c r="E223" s="44"/>
      <c r="F223" s="44"/>
      <c r="G223" s="44"/>
      <c r="H223" s="44"/>
      <c r="I223" s="44"/>
      <c r="J223" s="44"/>
      <c r="K223" s="44"/>
      <c r="L223" s="44"/>
      <c r="M223" s="44"/>
      <c r="N223" s="44"/>
      <c r="O223" s="44"/>
      <c r="P223" s="44"/>
    </row>
    <row r="224" spans="1:16" ht="16.5" x14ac:dyDescent="0.3">
      <c r="A224" s="44"/>
      <c r="B224" s="44"/>
      <c r="C224" s="44"/>
      <c r="D224" s="44"/>
      <c r="E224" s="44"/>
      <c r="F224" s="44"/>
      <c r="G224" s="44"/>
      <c r="H224" s="44"/>
      <c r="I224" s="44"/>
      <c r="J224" s="44"/>
      <c r="K224" s="44"/>
      <c r="L224" s="44"/>
      <c r="M224" s="44"/>
      <c r="N224" s="44"/>
      <c r="O224" s="44"/>
      <c r="P224" s="44"/>
    </row>
    <row r="225" spans="1:16" ht="16.5" x14ac:dyDescent="0.3">
      <c r="A225" s="44"/>
      <c r="B225" s="44"/>
      <c r="C225" s="44"/>
      <c r="D225" s="44"/>
      <c r="E225" s="44"/>
      <c r="F225" s="44"/>
      <c r="G225" s="44"/>
      <c r="H225" s="44"/>
      <c r="I225" s="44"/>
      <c r="J225" s="44"/>
      <c r="K225" s="44"/>
      <c r="L225" s="44"/>
      <c r="M225" s="44"/>
      <c r="N225" s="44"/>
      <c r="O225" s="44"/>
      <c r="P225" s="44"/>
    </row>
    <row r="226" spans="1:16" ht="16.5" x14ac:dyDescent="0.3">
      <c r="A226" s="44"/>
      <c r="B226" s="44"/>
      <c r="C226" s="44"/>
      <c r="D226" s="44"/>
      <c r="E226" s="44"/>
      <c r="F226" s="44"/>
      <c r="G226" s="44"/>
      <c r="H226" s="44"/>
      <c r="I226" s="44"/>
      <c r="J226" s="44"/>
      <c r="K226" s="44"/>
      <c r="L226" s="44"/>
      <c r="M226" s="44"/>
      <c r="N226" s="44"/>
      <c r="O226" s="44"/>
      <c r="P226" s="44"/>
    </row>
    <row r="227" spans="1:16" ht="16.5" x14ac:dyDescent="0.3">
      <c r="A227" s="44"/>
      <c r="B227" s="44"/>
      <c r="C227" s="44"/>
      <c r="D227" s="44"/>
      <c r="E227" s="44"/>
      <c r="F227" s="44"/>
      <c r="G227" s="44"/>
      <c r="H227" s="44"/>
      <c r="I227" s="44"/>
      <c r="J227" s="44"/>
      <c r="K227" s="44"/>
      <c r="L227" s="44"/>
      <c r="M227" s="44"/>
      <c r="N227" s="44"/>
      <c r="O227" s="44"/>
      <c r="P227" s="44"/>
    </row>
    <row r="228" spans="1:16" ht="16.5" x14ac:dyDescent="0.3">
      <c r="A228" s="44"/>
      <c r="B228" s="44"/>
      <c r="C228" s="44"/>
      <c r="D228" s="44"/>
      <c r="E228" s="44"/>
      <c r="F228" s="44"/>
      <c r="G228" s="44"/>
      <c r="H228" s="44"/>
      <c r="I228" s="44"/>
      <c r="J228" s="44"/>
      <c r="K228" s="44"/>
      <c r="L228" s="44"/>
      <c r="M228" s="44"/>
      <c r="N228" s="44"/>
      <c r="O228" s="44"/>
      <c r="P228" s="44"/>
    </row>
    <row r="229" spans="1:16" ht="16.5" x14ac:dyDescent="0.3">
      <c r="A229" s="44"/>
      <c r="B229" s="44"/>
      <c r="C229" s="44"/>
      <c r="D229" s="44"/>
      <c r="E229" s="44"/>
      <c r="F229" s="44"/>
      <c r="G229" s="44"/>
      <c r="H229" s="44"/>
      <c r="I229" s="44"/>
      <c r="J229" s="44"/>
      <c r="K229" s="44"/>
      <c r="L229" s="44"/>
      <c r="M229" s="44"/>
      <c r="N229" s="44"/>
      <c r="O229" s="44"/>
      <c r="P229" s="44"/>
    </row>
    <row r="230" spans="1:16" ht="16.5" x14ac:dyDescent="0.3">
      <c r="A230" s="44"/>
      <c r="B230" s="44"/>
      <c r="C230" s="44"/>
      <c r="D230" s="44"/>
      <c r="E230" s="44"/>
      <c r="F230" s="44"/>
      <c r="G230" s="44"/>
      <c r="H230" s="44"/>
      <c r="I230" s="44"/>
      <c r="J230" s="44"/>
      <c r="K230" s="44"/>
      <c r="L230" s="44"/>
      <c r="M230" s="44"/>
      <c r="N230" s="44"/>
      <c r="O230" s="44"/>
      <c r="P230" s="44"/>
    </row>
    <row r="231" spans="1:16" ht="16.5" x14ac:dyDescent="0.3">
      <c r="A231" s="44"/>
      <c r="B231" s="44"/>
      <c r="C231" s="44"/>
      <c r="D231" s="44"/>
      <c r="E231" s="44"/>
      <c r="F231" s="44"/>
      <c r="G231" s="44"/>
      <c r="H231" s="44"/>
      <c r="I231" s="44"/>
      <c r="J231" s="44"/>
      <c r="K231" s="44"/>
      <c r="L231" s="44"/>
      <c r="M231" s="44"/>
      <c r="N231" s="44"/>
      <c r="O231" s="44"/>
      <c r="P231" s="44"/>
    </row>
    <row r="232" spans="1:16" ht="16.5" x14ac:dyDescent="0.3">
      <c r="A232" s="44"/>
      <c r="B232" s="44"/>
      <c r="C232" s="44"/>
      <c r="D232" s="44"/>
      <c r="E232" s="44"/>
      <c r="F232" s="44"/>
      <c r="G232" s="44"/>
      <c r="H232" s="44"/>
      <c r="I232" s="44"/>
      <c r="J232" s="44"/>
      <c r="K232" s="44"/>
      <c r="L232" s="44"/>
      <c r="M232" s="44"/>
      <c r="N232" s="44"/>
      <c r="O232" s="44"/>
      <c r="P232" s="44"/>
    </row>
    <row r="233" spans="1:16" ht="16.5" x14ac:dyDescent="0.3">
      <c r="A233" s="44"/>
      <c r="B233" s="44"/>
      <c r="C233" s="44"/>
      <c r="D233" s="44"/>
      <c r="E233" s="44"/>
      <c r="F233" s="44"/>
      <c r="G233" s="44"/>
      <c r="H233" s="44"/>
      <c r="I233" s="44"/>
      <c r="J233" s="44"/>
      <c r="K233" s="44"/>
      <c r="L233" s="44"/>
      <c r="M233" s="44"/>
      <c r="N233" s="44"/>
      <c r="O233" s="44"/>
      <c r="P233" s="44"/>
    </row>
    <row r="234" spans="1:16" ht="16.5" x14ac:dyDescent="0.3">
      <c r="A234" s="44"/>
      <c r="B234" s="44"/>
      <c r="C234" s="44"/>
      <c r="D234" s="44"/>
      <c r="E234" s="44"/>
      <c r="F234" s="44"/>
      <c r="G234" s="44"/>
      <c r="H234" s="44"/>
      <c r="I234" s="44"/>
      <c r="J234" s="44"/>
      <c r="K234" s="44"/>
      <c r="L234" s="44"/>
      <c r="M234" s="44"/>
      <c r="N234" s="44"/>
      <c r="O234" s="44"/>
      <c r="P234" s="44"/>
    </row>
    <row r="235" spans="1:16" ht="16.5" x14ac:dyDescent="0.3">
      <c r="A235" s="44"/>
      <c r="B235" s="44"/>
      <c r="C235" s="44"/>
      <c r="D235" s="44"/>
      <c r="E235" s="44"/>
      <c r="F235" s="44"/>
      <c r="G235" s="44"/>
      <c r="H235" s="44"/>
      <c r="I235" s="44"/>
      <c r="J235" s="44"/>
      <c r="K235" s="44"/>
      <c r="L235" s="44"/>
      <c r="M235" s="44"/>
      <c r="N235" s="44"/>
      <c r="O235" s="44"/>
      <c r="P235" s="44"/>
    </row>
    <row r="236" spans="1:16" ht="16.5" x14ac:dyDescent="0.3">
      <c r="A236" s="44"/>
      <c r="B236" s="44"/>
      <c r="C236" s="44"/>
      <c r="D236" s="44"/>
      <c r="E236" s="44"/>
      <c r="F236" s="44"/>
      <c r="G236" s="44"/>
      <c r="H236" s="44"/>
      <c r="I236" s="44"/>
      <c r="J236" s="44"/>
      <c r="K236" s="44"/>
      <c r="L236" s="44"/>
      <c r="M236" s="44"/>
      <c r="N236" s="44"/>
      <c r="O236" s="44"/>
      <c r="P236" s="44"/>
    </row>
    <row r="237" spans="1:16" ht="16.5" x14ac:dyDescent="0.3">
      <c r="A237" s="44"/>
      <c r="B237" s="44"/>
      <c r="C237" s="44"/>
      <c r="D237" s="44"/>
      <c r="E237" s="44"/>
      <c r="F237" s="44"/>
      <c r="G237" s="44"/>
      <c r="H237" s="44"/>
      <c r="I237" s="44"/>
      <c r="J237" s="44"/>
      <c r="K237" s="44"/>
      <c r="L237" s="44"/>
      <c r="M237" s="44"/>
      <c r="N237" s="44"/>
      <c r="O237" s="44"/>
      <c r="P237" s="44"/>
    </row>
    <row r="238" spans="1:16" ht="16.5" x14ac:dyDescent="0.3">
      <c r="A238" s="44"/>
      <c r="B238" s="44"/>
      <c r="C238" s="44"/>
      <c r="D238" s="44"/>
      <c r="E238" s="44"/>
      <c r="F238" s="44"/>
      <c r="G238" s="44"/>
      <c r="H238" s="44"/>
      <c r="I238" s="44"/>
      <c r="J238" s="44"/>
      <c r="K238" s="44"/>
      <c r="L238" s="44"/>
      <c r="M238" s="44"/>
      <c r="N238" s="44"/>
      <c r="O238" s="44"/>
      <c r="P238" s="44"/>
    </row>
    <row r="239" spans="1:16" ht="16.5" x14ac:dyDescent="0.3">
      <c r="A239" s="44"/>
      <c r="B239" s="44"/>
      <c r="C239" s="44"/>
      <c r="D239" s="44"/>
      <c r="E239" s="44"/>
      <c r="F239" s="44"/>
      <c r="G239" s="44"/>
      <c r="H239" s="44"/>
      <c r="I239" s="44"/>
      <c r="J239" s="44"/>
      <c r="K239" s="44"/>
      <c r="L239" s="44"/>
      <c r="M239" s="44"/>
      <c r="N239" s="44"/>
      <c r="O239" s="44"/>
      <c r="P239" s="44"/>
    </row>
    <row r="240" spans="1:16" ht="16.5" x14ac:dyDescent="0.3">
      <c r="A240" s="44"/>
      <c r="B240" s="44"/>
      <c r="C240" s="44"/>
      <c r="D240" s="44"/>
      <c r="E240" s="44"/>
      <c r="F240" s="44"/>
      <c r="G240" s="44"/>
      <c r="H240" s="44"/>
      <c r="I240" s="44"/>
      <c r="J240" s="44"/>
      <c r="K240" s="44"/>
      <c r="L240" s="44"/>
      <c r="M240" s="44"/>
      <c r="N240" s="44"/>
      <c r="O240" s="44"/>
      <c r="P240" s="44"/>
    </row>
    <row r="241" spans="1:16" ht="16.5" x14ac:dyDescent="0.3">
      <c r="A241" s="44"/>
      <c r="B241" s="44"/>
      <c r="C241" s="44"/>
      <c r="D241" s="44"/>
      <c r="E241" s="44"/>
      <c r="F241" s="44"/>
      <c r="G241" s="44"/>
      <c r="H241" s="44"/>
      <c r="I241" s="44"/>
      <c r="J241" s="44"/>
      <c r="K241" s="44"/>
      <c r="L241" s="44"/>
      <c r="M241" s="44"/>
      <c r="N241" s="44"/>
      <c r="O241" s="44"/>
      <c r="P241" s="44"/>
    </row>
    <row r="242" spans="1:16" ht="16.5" x14ac:dyDescent="0.3">
      <c r="A242" s="44"/>
      <c r="B242" s="44"/>
      <c r="C242" s="44"/>
      <c r="D242" s="44"/>
      <c r="E242" s="44"/>
      <c r="F242" s="44"/>
      <c r="G242" s="44"/>
      <c r="H242" s="44"/>
      <c r="I242" s="44"/>
      <c r="J242" s="44"/>
      <c r="K242" s="44"/>
      <c r="L242" s="44"/>
      <c r="M242" s="44"/>
      <c r="N242" s="44"/>
      <c r="O242" s="44"/>
      <c r="P242" s="44"/>
    </row>
    <row r="243" spans="1:16" ht="16.5" x14ac:dyDescent="0.3">
      <c r="A243" s="44"/>
      <c r="B243" s="44"/>
      <c r="C243" s="44"/>
      <c r="D243" s="44"/>
      <c r="E243" s="44"/>
      <c r="F243" s="44"/>
      <c r="G243" s="44"/>
      <c r="H243" s="44"/>
      <c r="I243" s="44"/>
      <c r="J243" s="44"/>
      <c r="K243" s="44"/>
      <c r="L243" s="44"/>
      <c r="M243" s="44"/>
      <c r="N243" s="44"/>
      <c r="O243" s="44"/>
      <c r="P243" s="44"/>
    </row>
    <row r="244" spans="1:16" ht="16.5" x14ac:dyDescent="0.3">
      <c r="A244" s="44"/>
      <c r="B244" s="44"/>
      <c r="C244" s="44"/>
      <c r="D244" s="44"/>
      <c r="E244" s="44"/>
      <c r="F244" s="44"/>
      <c r="G244" s="44"/>
      <c r="H244" s="44"/>
      <c r="I244" s="44"/>
      <c r="J244" s="44"/>
      <c r="K244" s="44"/>
      <c r="L244" s="44"/>
      <c r="M244" s="44"/>
      <c r="N244" s="44"/>
      <c r="O244" s="44"/>
      <c r="P244" s="44"/>
    </row>
    <row r="245" spans="1:16" ht="16.5" x14ac:dyDescent="0.3">
      <c r="A245" s="44"/>
      <c r="B245" s="44"/>
      <c r="C245" s="44"/>
      <c r="D245" s="44"/>
      <c r="E245" s="44"/>
      <c r="F245" s="44"/>
      <c r="G245" s="44"/>
      <c r="H245" s="44"/>
      <c r="I245" s="44"/>
      <c r="J245" s="44"/>
      <c r="K245" s="44"/>
      <c r="L245" s="44"/>
      <c r="M245" s="44"/>
      <c r="N245" s="44"/>
      <c r="O245" s="44"/>
      <c r="P245" s="44"/>
    </row>
    <row r="246" spans="1:16" ht="16.5" x14ac:dyDescent="0.3">
      <c r="A246" s="44"/>
      <c r="B246" s="44"/>
      <c r="C246" s="44"/>
      <c r="D246" s="44"/>
      <c r="E246" s="44"/>
      <c r="F246" s="44"/>
      <c r="G246" s="44"/>
      <c r="H246" s="44"/>
      <c r="I246" s="44"/>
      <c r="J246" s="44"/>
      <c r="K246" s="44"/>
      <c r="L246" s="44"/>
      <c r="M246" s="44"/>
      <c r="N246" s="44"/>
      <c r="O246" s="44"/>
      <c r="P246" s="44"/>
    </row>
    <row r="247" spans="1:16" ht="16.5" x14ac:dyDescent="0.3">
      <c r="A247" s="44"/>
      <c r="B247" s="44"/>
      <c r="C247" s="44"/>
      <c r="D247" s="44"/>
      <c r="E247" s="44"/>
      <c r="F247" s="44"/>
      <c r="G247" s="44"/>
      <c r="H247" s="44"/>
      <c r="I247" s="44"/>
      <c r="J247" s="44"/>
      <c r="K247" s="44"/>
      <c r="L247" s="44"/>
      <c r="M247" s="44"/>
      <c r="N247" s="44"/>
      <c r="O247" s="44"/>
      <c r="P247" s="44"/>
    </row>
    <row r="248" spans="1:16" ht="16.5" x14ac:dyDescent="0.3">
      <c r="A248" s="44"/>
      <c r="B248" s="44"/>
      <c r="C248" s="44"/>
      <c r="D248" s="44"/>
      <c r="E248" s="44"/>
      <c r="F248" s="44"/>
      <c r="G248" s="44"/>
      <c r="H248" s="44"/>
      <c r="I248" s="44"/>
      <c r="J248" s="44"/>
      <c r="K248" s="44"/>
      <c r="L248" s="44"/>
      <c r="M248" s="44"/>
      <c r="N248" s="44"/>
      <c r="O248" s="44"/>
      <c r="P248" s="44"/>
    </row>
    <row r="249" spans="1:16" ht="16.5" x14ac:dyDescent="0.3">
      <c r="A249" s="44"/>
      <c r="B249" s="44"/>
      <c r="C249" s="44"/>
      <c r="D249" s="44"/>
      <c r="E249" s="44"/>
      <c r="F249" s="44"/>
      <c r="G249" s="44"/>
      <c r="H249" s="44"/>
      <c r="I249" s="44"/>
      <c r="J249" s="44"/>
      <c r="K249" s="44"/>
      <c r="L249" s="44"/>
      <c r="M249" s="44"/>
      <c r="N249" s="44"/>
      <c r="O249" s="44"/>
      <c r="P249" s="44"/>
    </row>
    <row r="250" spans="1:16" ht="16.5" x14ac:dyDescent="0.3">
      <c r="A250" s="44"/>
      <c r="B250" s="44"/>
      <c r="C250" s="44"/>
      <c r="D250" s="44"/>
      <c r="E250" s="44"/>
      <c r="F250" s="44"/>
      <c r="G250" s="44"/>
      <c r="H250" s="44"/>
      <c r="I250" s="44"/>
      <c r="J250" s="44"/>
      <c r="K250" s="44"/>
      <c r="L250" s="44"/>
      <c r="M250" s="44"/>
      <c r="N250" s="44"/>
      <c r="O250" s="44"/>
      <c r="P250" s="44"/>
    </row>
    <row r="251" spans="1:16" ht="16.5" x14ac:dyDescent="0.3">
      <c r="A251" s="44"/>
      <c r="B251" s="44"/>
      <c r="C251" s="44"/>
      <c r="D251" s="44"/>
      <c r="E251" s="44"/>
      <c r="F251" s="44"/>
      <c r="G251" s="44"/>
      <c r="H251" s="44"/>
      <c r="I251" s="44"/>
      <c r="J251" s="44"/>
      <c r="K251" s="44"/>
      <c r="L251" s="44"/>
      <c r="M251" s="44"/>
      <c r="N251" s="44"/>
      <c r="O251" s="44"/>
      <c r="P251" s="44"/>
    </row>
    <row r="252" spans="1:16" ht="16.5" x14ac:dyDescent="0.3">
      <c r="A252" s="44"/>
      <c r="B252" s="44"/>
      <c r="C252" s="44"/>
      <c r="D252" s="44"/>
      <c r="E252" s="44"/>
      <c r="F252" s="44"/>
      <c r="G252" s="44"/>
      <c r="H252" s="44"/>
      <c r="I252" s="44"/>
      <c r="J252" s="44"/>
      <c r="K252" s="44"/>
      <c r="L252" s="44"/>
      <c r="M252" s="44"/>
      <c r="N252" s="44"/>
      <c r="O252" s="44"/>
      <c r="P252" s="44"/>
    </row>
    <row r="253" spans="1:16" ht="16.5" x14ac:dyDescent="0.3">
      <c r="A253" s="44"/>
      <c r="B253" s="44"/>
      <c r="C253" s="44"/>
      <c r="D253" s="44"/>
      <c r="E253" s="44"/>
      <c r="F253" s="44"/>
      <c r="G253" s="44"/>
      <c r="H253" s="44"/>
      <c r="I253" s="44"/>
      <c r="J253" s="44"/>
      <c r="K253" s="44"/>
      <c r="L253" s="44"/>
      <c r="M253" s="44"/>
      <c r="N253" s="44"/>
      <c r="O253" s="44"/>
      <c r="P253" s="44"/>
    </row>
    <row r="254" spans="1:16" ht="16.5" x14ac:dyDescent="0.3">
      <c r="A254" s="44"/>
      <c r="B254" s="44"/>
      <c r="C254" s="44"/>
      <c r="D254" s="44"/>
      <c r="E254" s="44"/>
      <c r="F254" s="44"/>
      <c r="G254" s="44"/>
      <c r="H254" s="44"/>
      <c r="I254" s="44"/>
      <c r="J254" s="44"/>
      <c r="K254" s="44"/>
      <c r="L254" s="44"/>
      <c r="M254" s="44"/>
      <c r="N254" s="44"/>
      <c r="O254" s="44"/>
      <c r="P254" s="44"/>
    </row>
    <row r="255" spans="1:16" ht="16.5" x14ac:dyDescent="0.3">
      <c r="A255" s="44"/>
      <c r="B255" s="44"/>
      <c r="C255" s="44"/>
      <c r="D255" s="44"/>
      <c r="E255" s="44"/>
      <c r="F255" s="44"/>
      <c r="G255" s="44"/>
      <c r="H255" s="44"/>
      <c r="I255" s="44"/>
      <c r="J255" s="44"/>
      <c r="K255" s="44"/>
      <c r="L255" s="44"/>
      <c r="M255" s="44"/>
      <c r="N255" s="44"/>
      <c r="O255" s="44"/>
      <c r="P255" s="44"/>
    </row>
    <row r="256" spans="1:16" ht="16.5" x14ac:dyDescent="0.3">
      <c r="A256" s="44"/>
      <c r="B256" s="44"/>
      <c r="C256" s="44"/>
      <c r="D256" s="44"/>
      <c r="E256" s="44"/>
      <c r="F256" s="44"/>
      <c r="G256" s="44"/>
      <c r="H256" s="44"/>
      <c r="I256" s="44"/>
      <c r="J256" s="44"/>
      <c r="K256" s="44"/>
      <c r="L256" s="44"/>
      <c r="M256" s="44"/>
      <c r="N256" s="44"/>
      <c r="O256" s="44"/>
      <c r="P256" s="44"/>
    </row>
    <row r="257" spans="1:16" ht="16.5" x14ac:dyDescent="0.3">
      <c r="A257" s="44"/>
      <c r="B257" s="44"/>
      <c r="C257" s="44"/>
      <c r="D257" s="44"/>
      <c r="E257" s="44"/>
      <c r="F257" s="44"/>
      <c r="G257" s="44"/>
      <c r="H257" s="44"/>
      <c r="I257" s="44"/>
      <c r="J257" s="44"/>
      <c r="K257" s="44"/>
      <c r="L257" s="44"/>
      <c r="M257" s="44"/>
      <c r="N257" s="44"/>
      <c r="O257" s="44"/>
      <c r="P257" s="44"/>
    </row>
    <row r="258" spans="1:16" ht="16.5" x14ac:dyDescent="0.3">
      <c r="A258" s="44"/>
      <c r="B258" s="44"/>
      <c r="C258" s="44"/>
      <c r="D258" s="44"/>
      <c r="E258" s="44"/>
      <c r="F258" s="44"/>
      <c r="G258" s="44"/>
      <c r="H258" s="44"/>
      <c r="I258" s="44"/>
      <c r="J258" s="44"/>
      <c r="K258" s="44"/>
      <c r="L258" s="44"/>
      <c r="M258" s="44"/>
      <c r="N258" s="44"/>
      <c r="O258" s="44"/>
      <c r="P258" s="44"/>
    </row>
    <row r="259" spans="1:16" ht="16.5" x14ac:dyDescent="0.3">
      <c r="A259" s="44"/>
      <c r="B259" s="44"/>
      <c r="C259" s="44"/>
      <c r="D259" s="44"/>
      <c r="E259" s="44"/>
      <c r="F259" s="44"/>
      <c r="G259" s="44"/>
      <c r="H259" s="44"/>
      <c r="I259" s="44"/>
      <c r="J259" s="44"/>
      <c r="K259" s="44"/>
      <c r="L259" s="44"/>
      <c r="M259" s="44"/>
      <c r="N259" s="44"/>
      <c r="O259" s="44"/>
      <c r="P259" s="44"/>
    </row>
    <row r="260" spans="1:16" ht="16.5" x14ac:dyDescent="0.3">
      <c r="A260" s="44"/>
      <c r="B260" s="44"/>
      <c r="C260" s="44"/>
      <c r="D260" s="44"/>
      <c r="E260" s="44"/>
      <c r="F260" s="44"/>
      <c r="G260" s="44"/>
      <c r="H260" s="44"/>
      <c r="I260" s="44"/>
      <c r="J260" s="44"/>
      <c r="K260" s="44"/>
      <c r="L260" s="44"/>
      <c r="M260" s="44"/>
      <c r="N260" s="44"/>
      <c r="O260" s="44"/>
      <c r="P260" s="44"/>
    </row>
    <row r="261" spans="1:16" ht="16.5" x14ac:dyDescent="0.3">
      <c r="A261" s="44"/>
      <c r="B261" s="44"/>
      <c r="C261" s="44"/>
      <c r="D261" s="44"/>
      <c r="E261" s="44"/>
      <c r="F261" s="44"/>
      <c r="G261" s="44"/>
      <c r="H261" s="44"/>
      <c r="I261" s="44"/>
      <c r="J261" s="44"/>
      <c r="K261" s="44"/>
      <c r="L261" s="44"/>
      <c r="M261" s="44"/>
      <c r="N261" s="44"/>
      <c r="O261" s="44"/>
      <c r="P261" s="44"/>
    </row>
    <row r="262" spans="1:16" ht="16.5" x14ac:dyDescent="0.3">
      <c r="A262" s="44"/>
      <c r="B262" s="44"/>
      <c r="C262" s="44"/>
      <c r="D262" s="44"/>
      <c r="E262" s="44"/>
      <c r="F262" s="44"/>
      <c r="G262" s="44"/>
      <c r="H262" s="44"/>
      <c r="I262" s="44"/>
      <c r="J262" s="44"/>
      <c r="K262" s="44"/>
      <c r="L262" s="44"/>
      <c r="M262" s="44"/>
      <c r="N262" s="44"/>
      <c r="O262" s="44"/>
      <c r="P262" s="44"/>
    </row>
    <row r="263" spans="1:16" ht="16.5" x14ac:dyDescent="0.3">
      <c r="A263" s="44"/>
      <c r="B263" s="44"/>
      <c r="C263" s="44"/>
      <c r="D263" s="44"/>
      <c r="E263" s="44"/>
      <c r="F263" s="44"/>
      <c r="G263" s="44"/>
      <c r="H263" s="44"/>
      <c r="I263" s="44"/>
      <c r="J263" s="44"/>
      <c r="K263" s="44"/>
      <c r="L263" s="44"/>
      <c r="M263" s="44"/>
      <c r="N263" s="44"/>
      <c r="O263" s="44"/>
      <c r="P263" s="44"/>
    </row>
    <row r="264" spans="1:16" ht="16.5" x14ac:dyDescent="0.3">
      <c r="A264" s="44"/>
      <c r="B264" s="44"/>
      <c r="C264" s="44"/>
      <c r="D264" s="44"/>
      <c r="E264" s="44"/>
      <c r="F264" s="44"/>
      <c r="G264" s="44"/>
      <c r="H264" s="44"/>
      <c r="I264" s="44"/>
      <c r="J264" s="44"/>
      <c r="K264" s="44"/>
      <c r="L264" s="44"/>
      <c r="M264" s="44"/>
      <c r="N264" s="44"/>
      <c r="O264" s="44"/>
      <c r="P264" s="44"/>
    </row>
    <row r="265" spans="1:16" ht="16.5" x14ac:dyDescent="0.3">
      <c r="A265" s="44"/>
      <c r="B265" s="44"/>
      <c r="C265" s="44"/>
      <c r="D265" s="44"/>
      <c r="E265" s="44"/>
      <c r="F265" s="44"/>
      <c r="G265" s="44"/>
      <c r="H265" s="44"/>
      <c r="I265" s="44"/>
      <c r="J265" s="44"/>
      <c r="K265" s="44"/>
      <c r="L265" s="44"/>
      <c r="M265" s="44"/>
      <c r="N265" s="44"/>
      <c r="O265" s="44"/>
      <c r="P265" s="44"/>
    </row>
    <row r="266" spans="1:16" ht="16.5" x14ac:dyDescent="0.3">
      <c r="A266" s="44"/>
      <c r="B266" s="44"/>
      <c r="C266" s="44"/>
      <c r="D266" s="44"/>
      <c r="E266" s="44"/>
      <c r="F266" s="44"/>
      <c r="G266" s="44"/>
      <c r="H266" s="44"/>
      <c r="I266" s="44"/>
      <c r="J266" s="44"/>
      <c r="K266" s="44"/>
      <c r="L266" s="44"/>
      <c r="M266" s="44"/>
      <c r="N266" s="44"/>
      <c r="O266" s="44"/>
      <c r="P266" s="44"/>
    </row>
    <row r="267" spans="1:16" ht="16.5" x14ac:dyDescent="0.3">
      <c r="A267" s="44"/>
      <c r="B267" s="44"/>
      <c r="C267" s="44"/>
      <c r="D267" s="44"/>
      <c r="E267" s="44"/>
      <c r="F267" s="44"/>
      <c r="G267" s="44"/>
      <c r="H267" s="44"/>
      <c r="I267" s="44"/>
      <c r="J267" s="44"/>
      <c r="K267" s="44"/>
      <c r="L267" s="44"/>
      <c r="M267" s="44"/>
      <c r="N267" s="44"/>
      <c r="O267" s="44"/>
      <c r="P267" s="44"/>
    </row>
    <row r="268" spans="1:16" ht="16.5" x14ac:dyDescent="0.3">
      <c r="A268" s="44"/>
      <c r="B268" s="44"/>
      <c r="C268" s="44"/>
      <c r="D268" s="44"/>
      <c r="E268" s="44"/>
      <c r="F268" s="44"/>
      <c r="G268" s="44"/>
      <c r="H268" s="44"/>
      <c r="I268" s="44"/>
      <c r="J268" s="44"/>
      <c r="K268" s="44"/>
      <c r="L268" s="44"/>
      <c r="M268" s="44"/>
      <c r="N268" s="44"/>
      <c r="O268" s="44"/>
      <c r="P268" s="44"/>
    </row>
    <row r="269" spans="1:16" ht="16.5" x14ac:dyDescent="0.3">
      <c r="A269" s="44"/>
      <c r="B269" s="44"/>
      <c r="C269" s="44"/>
      <c r="D269" s="44"/>
      <c r="E269" s="44"/>
      <c r="F269" s="44"/>
      <c r="G269" s="44"/>
      <c r="H269" s="44"/>
      <c r="I269" s="44"/>
      <c r="J269" s="44"/>
      <c r="K269" s="44"/>
      <c r="L269" s="44"/>
      <c r="M269" s="44"/>
      <c r="N269" s="44"/>
      <c r="O269" s="44"/>
      <c r="P269" s="44"/>
    </row>
    <row r="270" spans="1:16" ht="16.5" x14ac:dyDescent="0.3">
      <c r="A270" s="44"/>
      <c r="B270" s="44"/>
      <c r="C270" s="44"/>
      <c r="D270" s="44"/>
      <c r="E270" s="44"/>
      <c r="F270" s="44"/>
      <c r="G270" s="44"/>
      <c r="H270" s="44"/>
      <c r="I270" s="44"/>
      <c r="J270" s="44"/>
      <c r="K270" s="44"/>
      <c r="L270" s="44"/>
      <c r="M270" s="44"/>
      <c r="N270" s="44"/>
      <c r="O270" s="44"/>
      <c r="P270" s="44"/>
    </row>
    <row r="271" spans="1:16" ht="16.5" x14ac:dyDescent="0.3">
      <c r="A271" s="44"/>
      <c r="B271" s="44"/>
      <c r="C271" s="44"/>
      <c r="D271" s="44"/>
      <c r="E271" s="44"/>
      <c r="F271" s="44"/>
      <c r="G271" s="44"/>
      <c r="H271" s="44"/>
      <c r="I271" s="44"/>
      <c r="J271" s="44"/>
      <c r="K271" s="44"/>
      <c r="L271" s="44"/>
      <c r="M271" s="44"/>
      <c r="N271" s="44"/>
      <c r="O271" s="44"/>
      <c r="P271" s="44"/>
    </row>
    <row r="272" spans="1:16" ht="16.5" x14ac:dyDescent="0.3">
      <c r="A272" s="44"/>
      <c r="B272" s="44"/>
      <c r="C272" s="44"/>
      <c r="D272" s="44"/>
      <c r="E272" s="44"/>
      <c r="F272" s="44"/>
      <c r="G272" s="44"/>
      <c r="H272" s="44"/>
      <c r="I272" s="44"/>
      <c r="J272" s="44"/>
      <c r="K272" s="44"/>
      <c r="L272" s="44"/>
      <c r="M272" s="44"/>
      <c r="N272" s="44"/>
      <c r="O272" s="44"/>
      <c r="P272" s="44"/>
    </row>
    <row r="273" spans="1:16" ht="16.5" x14ac:dyDescent="0.3">
      <c r="A273" s="44"/>
      <c r="B273" s="44"/>
      <c r="C273" s="44"/>
      <c r="D273" s="44"/>
      <c r="E273" s="44"/>
      <c r="F273" s="44"/>
      <c r="G273" s="44"/>
      <c r="H273" s="44"/>
      <c r="I273" s="44"/>
      <c r="J273" s="44"/>
      <c r="K273" s="44"/>
      <c r="L273" s="44"/>
      <c r="M273" s="44"/>
      <c r="N273" s="44"/>
      <c r="O273" s="44"/>
      <c r="P273" s="44"/>
    </row>
    <row r="274" spans="1:16" ht="16.5" x14ac:dyDescent="0.3">
      <c r="A274" s="44"/>
      <c r="B274" s="44"/>
      <c r="C274" s="44"/>
      <c r="D274" s="44"/>
      <c r="E274" s="44"/>
      <c r="F274" s="44"/>
      <c r="G274" s="44"/>
      <c r="H274" s="44"/>
      <c r="I274" s="44"/>
      <c r="J274" s="44"/>
      <c r="K274" s="44"/>
      <c r="L274" s="44"/>
      <c r="M274" s="44"/>
      <c r="N274" s="44"/>
      <c r="O274" s="44"/>
      <c r="P274" s="44"/>
    </row>
    <row r="275" spans="1:16" ht="16.5" x14ac:dyDescent="0.3">
      <c r="A275" s="44"/>
      <c r="B275" s="44"/>
      <c r="C275" s="44"/>
      <c r="D275" s="44"/>
      <c r="E275" s="44"/>
      <c r="F275" s="44"/>
      <c r="G275" s="44"/>
      <c r="H275" s="44"/>
      <c r="I275" s="44"/>
      <c r="J275" s="44"/>
      <c r="K275" s="44"/>
      <c r="L275" s="44"/>
      <c r="M275" s="44"/>
      <c r="N275" s="44"/>
      <c r="O275" s="44"/>
      <c r="P275" s="44"/>
    </row>
    <row r="276" spans="1:16" ht="16.5" x14ac:dyDescent="0.3">
      <c r="A276" s="44"/>
      <c r="B276" s="44"/>
      <c r="C276" s="44"/>
      <c r="D276" s="44"/>
      <c r="E276" s="44"/>
      <c r="F276" s="44"/>
      <c r="G276" s="44"/>
      <c r="H276" s="44"/>
      <c r="I276" s="44"/>
      <c r="J276" s="44"/>
      <c r="K276" s="44"/>
      <c r="L276" s="44"/>
      <c r="M276" s="44"/>
      <c r="N276" s="44"/>
      <c r="O276" s="44"/>
      <c r="P276" s="44"/>
    </row>
    <row r="277" spans="1:16" ht="16.5" x14ac:dyDescent="0.3">
      <c r="A277" s="44"/>
      <c r="B277" s="44"/>
      <c r="C277" s="44"/>
      <c r="D277" s="44"/>
      <c r="E277" s="44"/>
      <c r="F277" s="44"/>
      <c r="G277" s="44"/>
      <c r="H277" s="44"/>
      <c r="I277" s="44"/>
      <c r="J277" s="44"/>
      <c r="K277" s="44"/>
      <c r="L277" s="44"/>
      <c r="M277" s="44"/>
      <c r="N277" s="44"/>
      <c r="O277" s="44"/>
      <c r="P277" s="44"/>
    </row>
    <row r="278" spans="1:16" ht="16.5" x14ac:dyDescent="0.3">
      <c r="A278" s="44"/>
      <c r="B278" s="44"/>
      <c r="C278" s="44"/>
      <c r="D278" s="44"/>
      <c r="E278" s="44"/>
      <c r="F278" s="44"/>
      <c r="G278" s="44"/>
      <c r="H278" s="44"/>
      <c r="I278" s="44"/>
      <c r="J278" s="44"/>
      <c r="K278" s="44"/>
      <c r="L278" s="44"/>
      <c r="M278" s="44"/>
      <c r="N278" s="44"/>
      <c r="O278" s="44"/>
      <c r="P278" s="44"/>
    </row>
    <row r="279" spans="1:16" ht="16.5" x14ac:dyDescent="0.3">
      <c r="A279" s="44"/>
      <c r="B279" s="44"/>
      <c r="C279" s="44"/>
      <c r="D279" s="44"/>
      <c r="E279" s="44"/>
      <c r="F279" s="44"/>
      <c r="G279" s="44"/>
      <c r="H279" s="44"/>
      <c r="I279" s="44"/>
      <c r="J279" s="44"/>
      <c r="K279" s="44"/>
      <c r="L279" s="44"/>
      <c r="M279" s="44"/>
      <c r="N279" s="44"/>
      <c r="O279" s="44"/>
      <c r="P279" s="44"/>
    </row>
    <row r="280" spans="1:16" ht="16.5" x14ac:dyDescent="0.3">
      <c r="A280" s="44"/>
      <c r="B280" s="44"/>
      <c r="C280" s="44"/>
      <c r="D280" s="44"/>
      <c r="E280" s="44"/>
      <c r="F280" s="44"/>
      <c r="G280" s="44"/>
      <c r="H280" s="44"/>
      <c r="I280" s="44"/>
      <c r="J280" s="44"/>
      <c r="K280" s="44"/>
      <c r="L280" s="44"/>
      <c r="M280" s="44"/>
      <c r="N280" s="44"/>
      <c r="O280" s="44"/>
      <c r="P280" s="44"/>
    </row>
    <row r="281" spans="1:16" ht="16.5" x14ac:dyDescent="0.3">
      <c r="A281" s="44"/>
      <c r="B281" s="44"/>
      <c r="C281" s="44"/>
      <c r="D281" s="44"/>
      <c r="E281" s="44"/>
      <c r="F281" s="44"/>
      <c r="G281" s="44"/>
      <c r="H281" s="44"/>
      <c r="I281" s="44"/>
      <c r="J281" s="44"/>
      <c r="K281" s="44"/>
      <c r="L281" s="44"/>
      <c r="M281" s="44"/>
      <c r="N281" s="44"/>
      <c r="O281" s="44"/>
      <c r="P281" s="44"/>
    </row>
    <row r="282" spans="1:16" ht="16.5" x14ac:dyDescent="0.3">
      <c r="A282" s="44"/>
      <c r="B282" s="44"/>
      <c r="C282" s="44"/>
      <c r="D282" s="44"/>
      <c r="E282" s="44"/>
      <c r="F282" s="44"/>
      <c r="G282" s="44"/>
      <c r="H282" s="44"/>
      <c r="I282" s="44"/>
      <c r="J282" s="44"/>
      <c r="K282" s="44"/>
      <c r="L282" s="44"/>
      <c r="M282" s="44"/>
      <c r="N282" s="44"/>
      <c r="O282" s="44"/>
      <c r="P282" s="44"/>
    </row>
    <row r="283" spans="1:16" ht="16.5" x14ac:dyDescent="0.3">
      <c r="A283" s="44"/>
      <c r="B283" s="44"/>
      <c r="C283" s="44"/>
      <c r="D283" s="44"/>
      <c r="E283" s="44"/>
      <c r="F283" s="44"/>
      <c r="G283" s="44"/>
      <c r="H283" s="44"/>
      <c r="I283" s="44"/>
      <c r="J283" s="44"/>
      <c r="K283" s="44"/>
      <c r="L283" s="44"/>
      <c r="M283" s="44"/>
      <c r="N283" s="44"/>
      <c r="O283" s="44"/>
      <c r="P283" s="44"/>
    </row>
    <row r="284" spans="1:16" ht="16.5" x14ac:dyDescent="0.3">
      <c r="A284" s="44"/>
      <c r="B284" s="44"/>
      <c r="C284" s="44"/>
      <c r="D284" s="44"/>
      <c r="E284" s="44"/>
      <c r="F284" s="44"/>
      <c r="G284" s="44"/>
      <c r="H284" s="44"/>
      <c r="I284" s="44"/>
      <c r="J284" s="44"/>
      <c r="K284" s="44"/>
      <c r="L284" s="44"/>
      <c r="M284" s="44"/>
      <c r="N284" s="44"/>
      <c r="O284" s="44"/>
      <c r="P284" s="44"/>
    </row>
    <row r="285" spans="1:16" ht="16.5" x14ac:dyDescent="0.3">
      <c r="A285" s="44"/>
      <c r="B285" s="44"/>
      <c r="C285" s="44"/>
      <c r="D285" s="44"/>
      <c r="E285" s="44"/>
      <c r="F285" s="44"/>
      <c r="G285" s="44"/>
      <c r="H285" s="44"/>
      <c r="I285" s="44"/>
      <c r="J285" s="44"/>
      <c r="K285" s="44"/>
      <c r="L285" s="44"/>
      <c r="M285" s="44"/>
      <c r="N285" s="44"/>
      <c r="O285" s="44"/>
      <c r="P285" s="44"/>
    </row>
    <row r="286" spans="1:16" ht="16.5" x14ac:dyDescent="0.3">
      <c r="A286" s="44"/>
      <c r="B286" s="44"/>
      <c r="C286" s="44"/>
      <c r="D286" s="44"/>
      <c r="E286" s="44"/>
      <c r="F286" s="44"/>
      <c r="G286" s="44"/>
      <c r="H286" s="44"/>
      <c r="I286" s="44"/>
      <c r="J286" s="44"/>
      <c r="K286" s="44"/>
      <c r="L286" s="44"/>
      <c r="M286" s="44"/>
      <c r="N286" s="44"/>
      <c r="O286" s="44"/>
      <c r="P286" s="44"/>
    </row>
    <row r="287" spans="1:16" ht="16.5" x14ac:dyDescent="0.3">
      <c r="A287" s="44"/>
      <c r="B287" s="44"/>
      <c r="C287" s="44"/>
      <c r="D287" s="44"/>
      <c r="E287" s="44"/>
      <c r="F287" s="44"/>
      <c r="G287" s="44"/>
      <c r="H287" s="44"/>
      <c r="I287" s="44"/>
      <c r="J287" s="44"/>
      <c r="K287" s="44"/>
      <c r="L287" s="44"/>
      <c r="M287" s="44"/>
      <c r="N287" s="44"/>
      <c r="O287" s="44"/>
      <c r="P287" s="44"/>
    </row>
    <row r="288" spans="1:16" ht="16.5" x14ac:dyDescent="0.3">
      <c r="A288" s="44"/>
      <c r="B288" s="44"/>
      <c r="C288" s="44"/>
      <c r="D288" s="44"/>
      <c r="E288" s="44"/>
      <c r="F288" s="44"/>
      <c r="G288" s="44"/>
      <c r="H288" s="44"/>
      <c r="I288" s="44"/>
      <c r="J288" s="44"/>
      <c r="K288" s="44"/>
      <c r="L288" s="44"/>
      <c r="M288" s="44"/>
      <c r="N288" s="44"/>
      <c r="O288" s="44"/>
      <c r="P288" s="44"/>
    </row>
    <row r="289" spans="1:16" ht="16.5" x14ac:dyDescent="0.3">
      <c r="A289" s="44"/>
      <c r="B289" s="44"/>
      <c r="C289" s="44"/>
      <c r="D289" s="44"/>
      <c r="E289" s="44"/>
      <c r="F289" s="44"/>
      <c r="G289" s="44"/>
      <c r="H289" s="44"/>
      <c r="I289" s="44"/>
      <c r="J289" s="44"/>
      <c r="K289" s="44"/>
      <c r="L289" s="44"/>
      <c r="M289" s="44"/>
      <c r="N289" s="44"/>
      <c r="O289" s="44"/>
      <c r="P289" s="44"/>
    </row>
    <row r="290" spans="1:16" ht="16.5" x14ac:dyDescent="0.3">
      <c r="A290" s="44"/>
      <c r="B290" s="44"/>
      <c r="C290" s="44"/>
      <c r="D290" s="44"/>
      <c r="E290" s="44"/>
      <c r="F290" s="44"/>
      <c r="G290" s="44"/>
      <c r="H290" s="44"/>
      <c r="I290" s="44"/>
      <c r="J290" s="44"/>
      <c r="K290" s="44"/>
      <c r="L290" s="44"/>
      <c r="M290" s="44"/>
      <c r="N290" s="44"/>
      <c r="O290" s="44"/>
      <c r="P290" s="44"/>
    </row>
    <row r="291" spans="1:16" ht="16.5" x14ac:dyDescent="0.3">
      <c r="A291" s="44"/>
      <c r="B291" s="44"/>
      <c r="C291" s="44"/>
      <c r="D291" s="44"/>
      <c r="E291" s="44"/>
      <c r="F291" s="44"/>
      <c r="G291" s="44"/>
      <c r="H291" s="44"/>
      <c r="I291" s="44"/>
      <c r="J291" s="44"/>
      <c r="K291" s="44"/>
      <c r="L291" s="44"/>
      <c r="M291" s="44"/>
      <c r="N291" s="44"/>
      <c r="O291" s="44"/>
      <c r="P291" s="44"/>
    </row>
    <row r="292" spans="1:16" ht="16.5" x14ac:dyDescent="0.3">
      <c r="A292" s="44"/>
      <c r="B292" s="44"/>
      <c r="C292" s="44"/>
      <c r="D292" s="44"/>
      <c r="E292" s="44"/>
      <c r="F292" s="44"/>
      <c r="G292" s="44"/>
      <c r="H292" s="44"/>
      <c r="I292" s="44"/>
      <c r="J292" s="44"/>
      <c r="K292" s="44"/>
      <c r="L292" s="44"/>
      <c r="M292" s="44"/>
      <c r="N292" s="44"/>
      <c r="O292" s="44"/>
      <c r="P292" s="44"/>
    </row>
    <row r="293" spans="1:16" ht="16.5" x14ac:dyDescent="0.3">
      <c r="A293" s="44"/>
      <c r="B293" s="44"/>
      <c r="C293" s="44"/>
      <c r="D293" s="44"/>
      <c r="E293" s="44"/>
      <c r="F293" s="44"/>
      <c r="G293" s="44"/>
      <c r="H293" s="44"/>
      <c r="I293" s="44"/>
      <c r="J293" s="44"/>
      <c r="K293" s="44"/>
      <c r="L293" s="44"/>
      <c r="M293" s="44"/>
      <c r="N293" s="44"/>
      <c r="O293" s="44"/>
      <c r="P293" s="44"/>
    </row>
    <row r="294" spans="1:16" ht="16.5" x14ac:dyDescent="0.3">
      <c r="A294" s="44"/>
      <c r="B294" s="44"/>
      <c r="C294" s="44"/>
      <c r="D294" s="44"/>
      <c r="E294" s="44"/>
      <c r="F294" s="44"/>
      <c r="G294" s="44"/>
      <c r="H294" s="44"/>
      <c r="I294" s="44"/>
      <c r="J294" s="44"/>
      <c r="K294" s="44"/>
      <c r="L294" s="44"/>
      <c r="M294" s="44"/>
      <c r="N294" s="44"/>
      <c r="O294" s="44"/>
      <c r="P294" s="44"/>
    </row>
    <row r="295" spans="1:16" ht="16.5" x14ac:dyDescent="0.3">
      <c r="A295" s="44"/>
      <c r="B295" s="44"/>
      <c r="C295" s="44"/>
      <c r="D295" s="44"/>
      <c r="E295" s="44"/>
      <c r="F295" s="44"/>
      <c r="G295" s="44"/>
      <c r="H295" s="44"/>
      <c r="I295" s="44"/>
      <c r="J295" s="44"/>
      <c r="K295" s="44"/>
      <c r="L295" s="44"/>
      <c r="M295" s="44"/>
      <c r="N295" s="44"/>
      <c r="O295" s="44"/>
      <c r="P295" s="44"/>
    </row>
    <row r="296" spans="1:16" ht="16.5" x14ac:dyDescent="0.3">
      <c r="A296" s="44"/>
      <c r="B296" s="44"/>
      <c r="C296" s="44"/>
      <c r="D296" s="44"/>
      <c r="E296" s="44"/>
      <c r="F296" s="44"/>
      <c r="G296" s="44"/>
      <c r="H296" s="44"/>
      <c r="I296" s="44"/>
      <c r="J296" s="44"/>
      <c r="K296" s="44"/>
      <c r="L296" s="44"/>
      <c r="M296" s="44"/>
      <c r="N296" s="44"/>
      <c r="O296" s="44"/>
      <c r="P296" s="44"/>
    </row>
    <row r="297" spans="1:16" ht="16.5" x14ac:dyDescent="0.3">
      <c r="A297" s="44"/>
      <c r="B297" s="44"/>
      <c r="C297" s="44"/>
      <c r="D297" s="44"/>
      <c r="E297" s="44"/>
      <c r="F297" s="44"/>
      <c r="G297" s="44"/>
      <c r="H297" s="44"/>
      <c r="I297" s="44"/>
      <c r="J297" s="44"/>
      <c r="K297" s="44"/>
      <c r="L297" s="44"/>
      <c r="M297" s="44"/>
      <c r="N297" s="44"/>
      <c r="O297" s="44"/>
      <c r="P297" s="44"/>
    </row>
    <row r="298" spans="1:16" ht="16.5" x14ac:dyDescent="0.3">
      <c r="A298" s="44"/>
      <c r="B298" s="44"/>
      <c r="C298" s="44"/>
      <c r="D298" s="44"/>
      <c r="E298" s="44"/>
      <c r="F298" s="44"/>
      <c r="G298" s="44"/>
      <c r="H298" s="44"/>
      <c r="I298" s="44"/>
      <c r="J298" s="44"/>
      <c r="K298" s="44"/>
      <c r="L298" s="44"/>
      <c r="M298" s="44"/>
      <c r="N298" s="44"/>
      <c r="O298" s="44"/>
      <c r="P298" s="44"/>
    </row>
    <row r="299" spans="1:16" ht="16.5" x14ac:dyDescent="0.3">
      <c r="A299" s="44"/>
      <c r="B299" s="44"/>
      <c r="C299" s="44"/>
      <c r="D299" s="44"/>
      <c r="E299" s="44"/>
      <c r="F299" s="44"/>
      <c r="G299" s="44"/>
      <c r="H299" s="44"/>
      <c r="I299" s="44"/>
      <c r="J299" s="44"/>
      <c r="K299" s="44"/>
      <c r="L299" s="44"/>
      <c r="M299" s="44"/>
      <c r="N299" s="44"/>
      <c r="O299" s="44"/>
      <c r="P299" s="44"/>
    </row>
    <row r="300" spans="1:16" ht="16.5" x14ac:dyDescent="0.3">
      <c r="A300" s="44"/>
      <c r="B300" s="44"/>
      <c r="C300" s="44"/>
      <c r="D300" s="44"/>
      <c r="E300" s="44"/>
      <c r="F300" s="44"/>
      <c r="G300" s="44"/>
      <c r="H300" s="44"/>
      <c r="I300" s="44"/>
      <c r="J300" s="44"/>
      <c r="K300" s="44"/>
      <c r="L300" s="44"/>
      <c r="M300" s="44"/>
      <c r="N300" s="44"/>
      <c r="O300" s="44"/>
      <c r="P300" s="44"/>
    </row>
    <row r="301" spans="1:16" ht="16.5" x14ac:dyDescent="0.3">
      <c r="A301" s="44"/>
      <c r="B301" s="44"/>
      <c r="C301" s="44"/>
      <c r="D301" s="44"/>
      <c r="E301" s="44"/>
      <c r="F301" s="44"/>
      <c r="G301" s="44"/>
      <c r="H301" s="44"/>
      <c r="I301" s="44"/>
      <c r="J301" s="44"/>
      <c r="K301" s="44"/>
      <c r="L301" s="44"/>
      <c r="M301" s="44"/>
      <c r="N301" s="44"/>
      <c r="O301" s="44"/>
      <c r="P301" s="44"/>
    </row>
    <row r="302" spans="1:16" ht="16.5" x14ac:dyDescent="0.3">
      <c r="A302" s="44"/>
      <c r="B302" s="44"/>
      <c r="C302" s="44"/>
      <c r="D302" s="44"/>
      <c r="E302" s="44"/>
      <c r="F302" s="44"/>
      <c r="G302" s="44"/>
      <c r="H302" s="44"/>
      <c r="I302" s="44"/>
      <c r="J302" s="44"/>
      <c r="K302" s="44"/>
      <c r="L302" s="44"/>
      <c r="M302" s="44"/>
      <c r="N302" s="44"/>
      <c r="O302" s="44"/>
      <c r="P302" s="44"/>
    </row>
    <row r="303" spans="1:16" ht="16.5" x14ac:dyDescent="0.3">
      <c r="A303" s="44"/>
      <c r="B303" s="44"/>
      <c r="C303" s="44"/>
      <c r="D303" s="44"/>
      <c r="E303" s="44"/>
      <c r="F303" s="44"/>
      <c r="G303" s="44"/>
      <c r="H303" s="44"/>
      <c r="I303" s="44"/>
      <c r="J303" s="44"/>
      <c r="K303" s="44"/>
      <c r="L303" s="44"/>
      <c r="M303" s="44"/>
      <c r="N303" s="44"/>
      <c r="O303" s="44"/>
      <c r="P303" s="44"/>
    </row>
    <row r="304" spans="1:16" ht="16.5" x14ac:dyDescent="0.3">
      <c r="A304" s="44"/>
      <c r="B304" s="44"/>
      <c r="C304" s="44"/>
      <c r="D304" s="44"/>
      <c r="E304" s="44"/>
      <c r="F304" s="44"/>
      <c r="G304" s="44"/>
      <c r="H304" s="44"/>
      <c r="I304" s="44"/>
      <c r="J304" s="44"/>
      <c r="K304" s="44"/>
      <c r="L304" s="44"/>
      <c r="M304" s="44"/>
      <c r="N304" s="44"/>
      <c r="O304" s="44"/>
      <c r="P304" s="44"/>
    </row>
    <row r="305" spans="1:16" ht="16.5" x14ac:dyDescent="0.3">
      <c r="A305" s="44"/>
      <c r="B305" s="44"/>
      <c r="C305" s="44"/>
      <c r="D305" s="44"/>
      <c r="E305" s="44"/>
      <c r="F305" s="44"/>
      <c r="G305" s="44"/>
      <c r="H305" s="44"/>
      <c r="I305" s="44"/>
      <c r="J305" s="44"/>
      <c r="K305" s="44"/>
      <c r="L305" s="44"/>
      <c r="M305" s="44"/>
      <c r="N305" s="44"/>
      <c r="O305" s="44"/>
      <c r="P305" s="44"/>
    </row>
    <row r="306" spans="1:16" ht="16.5" x14ac:dyDescent="0.3">
      <c r="A306" s="44"/>
      <c r="B306" s="44"/>
      <c r="C306" s="44"/>
      <c r="D306" s="44"/>
      <c r="E306" s="44"/>
      <c r="F306" s="44"/>
      <c r="G306" s="44"/>
      <c r="H306" s="44"/>
      <c r="I306" s="44"/>
      <c r="J306" s="44"/>
      <c r="K306" s="44"/>
      <c r="L306" s="44"/>
      <c r="M306" s="44"/>
      <c r="N306" s="44"/>
      <c r="O306" s="44"/>
      <c r="P306" s="44"/>
    </row>
    <row r="307" spans="1:16" ht="16.5" x14ac:dyDescent="0.3">
      <c r="A307" s="44"/>
      <c r="B307" s="44"/>
      <c r="C307" s="44"/>
      <c r="D307" s="44"/>
      <c r="E307" s="44"/>
      <c r="F307" s="44"/>
      <c r="G307" s="44"/>
      <c r="H307" s="44"/>
      <c r="I307" s="44"/>
      <c r="J307" s="44"/>
      <c r="K307" s="44"/>
      <c r="L307" s="44"/>
      <c r="M307" s="44"/>
      <c r="N307" s="44"/>
      <c r="O307" s="44"/>
      <c r="P307" s="44"/>
    </row>
    <row r="308" spans="1:16" ht="16.5" x14ac:dyDescent="0.3">
      <c r="A308" s="44"/>
      <c r="B308" s="44"/>
      <c r="C308" s="44"/>
      <c r="D308" s="44"/>
      <c r="E308" s="44"/>
      <c r="F308" s="44"/>
      <c r="G308" s="44"/>
      <c r="H308" s="44"/>
      <c r="I308" s="44"/>
      <c r="J308" s="44"/>
      <c r="K308" s="44"/>
      <c r="L308" s="44"/>
      <c r="M308" s="44"/>
      <c r="N308" s="44"/>
      <c r="O308" s="44"/>
      <c r="P308" s="44"/>
    </row>
    <row r="309" spans="1:16" ht="16.5" x14ac:dyDescent="0.3">
      <c r="A309" s="44"/>
      <c r="B309" s="44"/>
      <c r="C309" s="44"/>
      <c r="D309" s="44"/>
      <c r="E309" s="44"/>
      <c r="F309" s="44"/>
      <c r="G309" s="44"/>
      <c r="H309" s="44"/>
      <c r="I309" s="44"/>
      <c r="J309" s="44"/>
      <c r="K309" s="44"/>
      <c r="L309" s="44"/>
      <c r="M309" s="44"/>
      <c r="N309" s="44"/>
      <c r="O309" s="44"/>
      <c r="P309" s="44"/>
    </row>
    <row r="310" spans="1:16" ht="16.5" x14ac:dyDescent="0.3">
      <c r="A310" s="44"/>
      <c r="B310" s="44"/>
      <c r="C310" s="44"/>
      <c r="D310" s="44"/>
      <c r="E310" s="44"/>
      <c r="F310" s="44"/>
      <c r="G310" s="44"/>
      <c r="H310" s="44"/>
      <c r="I310" s="44"/>
      <c r="J310" s="44"/>
      <c r="K310" s="44"/>
      <c r="L310" s="44"/>
      <c r="M310" s="44"/>
      <c r="N310" s="44"/>
      <c r="O310" s="44"/>
      <c r="P310" s="44"/>
    </row>
    <row r="311" spans="1:16" ht="16.5" x14ac:dyDescent="0.3">
      <c r="A311" s="44"/>
      <c r="B311" s="44"/>
      <c r="C311" s="44"/>
      <c r="D311" s="44"/>
      <c r="E311" s="44"/>
      <c r="F311" s="44"/>
      <c r="G311" s="44"/>
      <c r="H311" s="44"/>
      <c r="I311" s="44"/>
      <c r="J311" s="44"/>
      <c r="K311" s="44"/>
      <c r="L311" s="44"/>
      <c r="M311" s="44"/>
      <c r="N311" s="44"/>
      <c r="O311" s="44"/>
      <c r="P311" s="44"/>
    </row>
    <row r="312" spans="1:16" ht="16.5" x14ac:dyDescent="0.3">
      <c r="A312" s="44"/>
      <c r="B312" s="44"/>
      <c r="C312" s="44"/>
      <c r="D312" s="44"/>
      <c r="E312" s="44"/>
      <c r="F312" s="44"/>
      <c r="G312" s="44"/>
      <c r="H312" s="44"/>
      <c r="I312" s="44"/>
      <c r="J312" s="44"/>
      <c r="K312" s="44"/>
      <c r="L312" s="44"/>
      <c r="M312" s="44"/>
      <c r="N312" s="44"/>
      <c r="O312" s="44"/>
      <c r="P312" s="44"/>
    </row>
    <row r="313" spans="1:16" ht="16.5" x14ac:dyDescent="0.3">
      <c r="A313" s="44"/>
      <c r="B313" s="44"/>
      <c r="C313" s="44"/>
      <c r="D313" s="44"/>
      <c r="E313" s="44"/>
      <c r="F313" s="44"/>
      <c r="G313" s="44"/>
      <c r="H313" s="44"/>
      <c r="I313" s="44"/>
      <c r="J313" s="44"/>
      <c r="K313" s="44"/>
      <c r="L313" s="44"/>
      <c r="M313" s="44"/>
      <c r="N313" s="44"/>
      <c r="O313" s="44"/>
      <c r="P313" s="44"/>
    </row>
    <row r="314" spans="1:16" ht="16.5" x14ac:dyDescent="0.3">
      <c r="A314" s="44"/>
      <c r="B314" s="44"/>
      <c r="C314" s="44"/>
      <c r="D314" s="44"/>
      <c r="E314" s="44"/>
      <c r="F314" s="44"/>
      <c r="G314" s="44"/>
      <c r="H314" s="44"/>
      <c r="I314" s="44"/>
      <c r="J314" s="44"/>
      <c r="K314" s="44"/>
      <c r="L314" s="44"/>
      <c r="M314" s="44"/>
      <c r="N314" s="44"/>
      <c r="O314" s="44"/>
      <c r="P314" s="44"/>
    </row>
    <row r="315" spans="1:16" ht="16.5" x14ac:dyDescent="0.3">
      <c r="A315" s="44"/>
      <c r="B315" s="44"/>
      <c r="C315" s="44"/>
      <c r="D315" s="44"/>
      <c r="E315" s="44"/>
      <c r="F315" s="44"/>
      <c r="G315" s="44"/>
      <c r="H315" s="44"/>
      <c r="I315" s="44"/>
      <c r="J315" s="44"/>
      <c r="K315" s="44"/>
      <c r="L315" s="44"/>
      <c r="M315" s="44"/>
      <c r="N315" s="44"/>
      <c r="O315" s="44"/>
      <c r="P315" s="44"/>
    </row>
  </sheetData>
  <mergeCells count="3">
    <mergeCell ref="C1:V1"/>
    <mergeCell ref="C2:V2"/>
    <mergeCell ref="G4:W4"/>
  </mergeCells>
  <conditionalFormatting sqref="S22:AD22">
    <cfRule type="colorScale" priority="1">
      <colorScale>
        <cfvo type="min"/>
        <cfvo type="percentile" val="50"/>
        <cfvo type="max"/>
        <color rgb="FFF8696B"/>
        <color rgb="FFFFEB84"/>
        <color rgb="FF63BE7B"/>
      </colorScale>
    </cfRule>
  </conditionalFormatting>
  <hyperlinks>
    <hyperlink ref="A6" location="Home!A1" display="Home" xr:uid="{00000000-0004-0000-1100-000000000000}"/>
    <hyperlink ref="A8" location="Setup!A1" display="Model set up" xr:uid="{00000000-0004-0000-1100-000001000000}"/>
    <hyperlink ref="A10" location="Population!A1" display="Population" xr:uid="{00000000-0004-0000-1100-000002000000}"/>
  </hyperlinks>
  <pageMargins left="0.7" right="0.7" top="0.75" bottom="0.75" header="0.3" footer="0.3"/>
  <pageSetup paperSize="9" orientation="portrait" horizontalDpi="4294967293" verticalDpi="300"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BD0CEE7C-E332-4917-941B-9B3C3F57CCDB}">
            <xm:f>NOT(ISERROR(SEARCH($C$4,A6)))</xm:f>
            <xm:f>$C$4</xm:f>
            <x14:dxf>
              <font>
                <b val="0"/>
                <i val="0"/>
                <strike val="0"/>
                <color theme="0"/>
              </font>
              <fill>
                <patternFill>
                  <bgColor theme="5"/>
                </patternFill>
              </fill>
            </x14:dxf>
          </x14:cfRule>
          <xm:sqref>A6:A11 A17:A41</xm:sqref>
        </x14:conditionalFormatting>
        <x14:conditionalFormatting xmlns:xm="http://schemas.microsoft.com/office/excel/2006/main">
          <x14:cfRule type="containsText" priority="2" operator="containsText" id="{F5599C48-0F19-486A-B94E-5C1AAC18E5C6}">
            <xm:f>NOT(ISERROR(SEARCH($C$4,A12)))</xm:f>
            <xm:f>$C$4</xm:f>
            <x14:dxf>
              <font>
                <b val="0"/>
                <i val="0"/>
                <strike val="0"/>
                <color theme="0"/>
              </font>
              <fill>
                <patternFill>
                  <bgColor theme="5"/>
                </patternFill>
              </fill>
            </x14:dxf>
          </x14:cfRule>
          <xm:sqref>A12:A16</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C00000"/>
  </sheetPr>
  <dimension ref="A1:Z200"/>
  <sheetViews>
    <sheetView workbookViewId="0">
      <selection activeCell="F27" sqref="F27"/>
    </sheetView>
  </sheetViews>
  <sheetFormatPr defaultColWidth="8.625" defaultRowHeight="15" x14ac:dyDescent="0.3"/>
  <cols>
    <col min="1" max="1" width="21" style="1" customWidth="1"/>
    <col min="2" max="2" width="8.625" style="1"/>
    <col min="3" max="3" width="15.875" style="1" bestFit="1" customWidth="1"/>
    <col min="4" max="4" width="15.875" style="1" customWidth="1"/>
    <col min="5" max="9" width="19.875" style="1" customWidth="1"/>
    <col min="10" max="10" width="8.625" style="1"/>
    <col min="11" max="11" width="15" style="1" bestFit="1" customWidth="1"/>
    <col min="12" max="13" width="8.625" style="1"/>
    <col min="14" max="14" width="10.375" style="1" bestFit="1" customWidth="1"/>
    <col min="15" max="15" width="13.5" style="1" bestFit="1" customWidth="1"/>
    <col min="16" max="16" width="8.625" style="1"/>
    <col min="17" max="17" width="14.5" style="1" bestFit="1" customWidth="1"/>
    <col min="18" max="18" width="11.625" style="1" bestFit="1" customWidth="1"/>
    <col min="19"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s="15"/>
      <c r="C3" s="15"/>
      <c r="D3" s="15"/>
      <c r="E3" s="15"/>
      <c r="F3" s="15"/>
      <c r="G3" s="15"/>
      <c r="H3" s="15"/>
      <c r="I3" s="15"/>
      <c r="J3" s="15"/>
      <c r="K3" s="15"/>
      <c r="L3" s="15"/>
      <c r="M3" s="15"/>
      <c r="N3" s="15"/>
      <c r="O3" s="15"/>
      <c r="P3" s="15"/>
      <c r="Q3" s="15"/>
      <c r="R3" s="15"/>
      <c r="S3" s="15"/>
      <c r="T3" s="15"/>
      <c r="U3" s="15"/>
      <c r="V3" s="15"/>
      <c r="W3" s="15"/>
      <c r="X3" s="15"/>
      <c r="Y3" s="15"/>
      <c r="Z3" s="15"/>
    </row>
    <row r="4" spans="1:26" ht="21" customHeight="1" x14ac:dyDescent="0.3">
      <c r="A4" s="7" t="s">
        <v>0</v>
      </c>
      <c r="B4" s="8"/>
      <c r="C4" s="10" t="s">
        <v>43</v>
      </c>
      <c r="D4" s="10"/>
      <c r="E4" s="10"/>
      <c r="F4" s="145" t="s">
        <v>46</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s="15"/>
      <c r="C5" s="15"/>
      <c r="D5" s="15" t="s">
        <v>24</v>
      </c>
      <c r="E5" s="12" t="s">
        <v>48</v>
      </c>
      <c r="F5" s="15"/>
      <c r="G5" s="15"/>
      <c r="H5" s="15"/>
      <c r="I5" s="15"/>
      <c r="J5" s="15"/>
      <c r="K5" s="15"/>
      <c r="L5" s="15"/>
      <c r="M5" s="15"/>
      <c r="N5" s="15"/>
      <c r="O5" s="15"/>
      <c r="P5" s="15"/>
      <c r="Q5" s="15"/>
      <c r="R5" s="15"/>
      <c r="S5" s="15"/>
      <c r="T5" s="15"/>
      <c r="U5" s="15"/>
      <c r="V5" s="15"/>
      <c r="W5" s="15"/>
      <c r="X5" s="15"/>
      <c r="Y5" s="15"/>
      <c r="Z5" s="15"/>
    </row>
    <row r="6" spans="1:26" ht="18" thickTop="1" thickBot="1" x14ac:dyDescent="0.35">
      <c r="A6" s="17" t="s">
        <v>1</v>
      </c>
      <c r="C6" s="12" t="s">
        <v>49</v>
      </c>
      <c r="D6" s="15" t="s">
        <v>120</v>
      </c>
      <c r="E6" s="1">
        <v>1</v>
      </c>
      <c r="F6" s="21">
        <v>2</v>
      </c>
      <c r="G6" s="44">
        <v>3</v>
      </c>
      <c r="H6" s="21">
        <v>4</v>
      </c>
      <c r="I6" s="44">
        <v>5</v>
      </c>
      <c r="J6" s="15"/>
      <c r="M6" s="1" t="s">
        <v>49</v>
      </c>
      <c r="N6" s="1" t="s">
        <v>327</v>
      </c>
      <c r="O6" s="1" t="s">
        <v>328</v>
      </c>
    </row>
    <row r="7" spans="1:26" ht="18" thickTop="1" thickBot="1" x14ac:dyDescent="0.35">
      <c r="A7" s="2"/>
      <c r="C7" s="1">
        <v>0.5</v>
      </c>
      <c r="D7" s="15">
        <f t="shared" ref="D7:D12" si="0">i_Int_Kend_MS</f>
        <v>0</v>
      </c>
      <c r="E7" s="81">
        <f ca="1">Markov!$AQ25*(1-('Results summary'!D7/100))+MarkovKendall!$AQ25*('Results summary'!D7/100)</f>
        <v>7163548.7538941465</v>
      </c>
      <c r="F7" s="76"/>
      <c r="G7" s="76"/>
      <c r="H7" s="76"/>
      <c r="I7" s="76"/>
      <c r="J7" s="15"/>
      <c r="K7" s="15"/>
      <c r="L7" s="15" t="s">
        <v>24</v>
      </c>
      <c r="M7" s="1">
        <f>i_Set_Time</f>
        <v>1</v>
      </c>
      <c r="N7" s="76">
        <f ca="1">SUM(OFFSET(E7,0,0,ROUNDDOWN(1+M7,0),ROUNDDOWN(1+M7-0.5,0)))</f>
        <v>7233558.4253824744</v>
      </c>
      <c r="O7" s="76">
        <f ca="1">SUM(OFFSET(E17,0,0,ROUNDDOWN(1+M7,0),ROUNDDOWN(1+M7-0.5,0)))</f>
        <v>7133020.3871021532</v>
      </c>
      <c r="P7" s="15"/>
      <c r="Q7" s="22"/>
      <c r="R7" s="23"/>
    </row>
    <row r="8" spans="1:26" ht="18" thickTop="1" thickBot="1" x14ac:dyDescent="0.35">
      <c r="A8" s="17" t="s">
        <v>12</v>
      </c>
      <c r="C8" s="15">
        <v>1</v>
      </c>
      <c r="D8" s="44">
        <f t="shared" si="0"/>
        <v>0</v>
      </c>
      <c r="E8" s="81">
        <f ca="1">Markov!$AQ26*(1-('Results summary'!D8/100))+MarkovKendall!$AQ26*('Results summary'!D8/100)</f>
        <v>70009.671488328007</v>
      </c>
      <c r="J8" s="15"/>
      <c r="K8" s="21"/>
      <c r="L8" s="24" t="s">
        <v>329</v>
      </c>
      <c r="M8" s="24"/>
      <c r="N8" s="80">
        <f ca="1">OFFSET(E30,ROUNDDOWN(i_Set_Time,0),0)</f>
        <v>471.75552778229024</v>
      </c>
      <c r="O8" s="75">
        <f ca="1">OFFSET(E40,ROUNDDOWN(i_Set_Time,0),0)</f>
        <v>467.56008752364585</v>
      </c>
    </row>
    <row r="9" spans="1:26" ht="18" thickTop="1" thickBot="1" x14ac:dyDescent="0.35">
      <c r="A9" s="2"/>
      <c r="C9" s="15">
        <v>2</v>
      </c>
      <c r="D9" s="44">
        <f t="shared" si="0"/>
        <v>0</v>
      </c>
      <c r="E9" s="81">
        <f ca="1">Markov!$AQ27*(1-('Results summary'!D9/100))+MarkovKendall!$AQ27*('Results summary'!D9/100)</f>
        <v>58139.656160578677</v>
      </c>
      <c r="F9" s="76">
        <f ca="1">Markov!AR25*(1-('Results summary'!$D7/100))+MarkovKendall!AR25*('Results summary'!$D7/100)+Markov!AR26*(1-('Results summary'!$D8/100))+MarkovKendall!AR26*('Results summary'!$D8/100)</f>
        <v>6980383.8804940879</v>
      </c>
      <c r="I9" s="76"/>
      <c r="J9" s="15"/>
      <c r="K9" s="21"/>
      <c r="L9" s="24" t="s">
        <v>330</v>
      </c>
      <c r="M9" s="24"/>
      <c r="N9" s="107">
        <f ca="1">SUM(OFFSET(I30,0,0,ROUNDDOWN(1+M7,0),ROUNDDOWN(1+M7-0.5,0)))</f>
        <v>4.9201831902345736</v>
      </c>
      <c r="O9" s="107">
        <f ca="1">SUM(OFFSET(I40,0,0,ROUNDDOWN(1+M7,0),ROUNDDOWN(1+M7-0.5,0)))</f>
        <v>3.6532227806235968</v>
      </c>
    </row>
    <row r="10" spans="1:26" ht="18" thickTop="1" thickBot="1" x14ac:dyDescent="0.35">
      <c r="A10" s="17" t="s">
        <v>13</v>
      </c>
      <c r="C10" s="15">
        <v>3</v>
      </c>
      <c r="D10" s="44">
        <f t="shared" si="0"/>
        <v>0</v>
      </c>
      <c r="E10" s="81">
        <f ca="1">Markov!$AQ28*(1-('Results summary'!D10/100))+MarkovKendall!$AQ28*('Results summary'!D10/100)</f>
        <v>54367.595613684003</v>
      </c>
      <c r="F10" s="76">
        <f ca="1">Markov!AR27*(1-('Results summary'!$D9/100))+MarkovKendall!AR27*('Results summary'!$D9/100)</f>
        <v>56104.768194958422</v>
      </c>
      <c r="G10" s="76">
        <f ca="1">Markov!AS25*(1-('Results summary'!$D7/100))+MarkovKendall!AS25*('Results summary'!$D7/100)+Markov!AS26*(1-('Results summary'!$D8/100))+MarkovKendall!AS26*('Results summary'!$D8/100)</f>
        <v>6736070.444676795</v>
      </c>
      <c r="H10" s="76"/>
      <c r="I10" s="76"/>
      <c r="J10" s="15"/>
      <c r="K10" s="21"/>
      <c r="L10" s="24" t="s">
        <v>464</v>
      </c>
      <c r="M10" s="24"/>
      <c r="N10" s="139">
        <f ca="1">OFFSET(E50,ROUNDDOWN(i_Set_Time,0),0)</f>
        <v>2061.6297560228932</v>
      </c>
      <c r="O10" s="1">
        <f ca="1">OFFSET(E60,ROUNDDOWN(i_Set_Time,0),0)</f>
        <v>2036.0093913495689</v>
      </c>
    </row>
    <row r="11" spans="1:26" ht="18" thickTop="1" thickBot="1" x14ac:dyDescent="0.35">
      <c r="A11" s="2"/>
      <c r="C11" s="15">
        <v>4</v>
      </c>
      <c r="D11" s="44">
        <f t="shared" si="0"/>
        <v>0</v>
      </c>
      <c r="E11" s="81">
        <f ca="1">Markov!$AQ29*(1-('Results summary'!D11/100))+MarkovKendall!$AQ29*('Results summary'!D11/100)</f>
        <v>50973.678502529678</v>
      </c>
      <c r="F11" s="76">
        <f ca="1">Markov!AR28*(1-('Results summary'!$D10/100))+MarkovKendall!AR28*('Results summary'!$D10/100)</f>
        <v>52464.729767205055</v>
      </c>
      <c r="G11" s="76">
        <f ca="1">Markov!AS27*(1-('Results summary'!$D9/100))+MarkovKendall!AS27*('Results summary'!$D9/100)</f>
        <v>54141.101308134872</v>
      </c>
      <c r="H11" s="76">
        <f ca="1">Markov!AT25*(1-('Results summary'!$D7/100))+MarkovKendall!AT25*('Results summary'!$D7/100)+Markov!AT26*(1-('Results summary'!$D8/100))+MarkovKendall!AT26*('Results summary'!$D8/100)</f>
        <v>6500307.9791131066</v>
      </c>
      <c r="I11" s="76"/>
      <c r="J11" s="15"/>
      <c r="K11" s="21"/>
      <c r="L11" s="24"/>
      <c r="M11" s="24"/>
      <c r="N11" s="15"/>
    </row>
    <row r="12" spans="1:26" ht="18" thickTop="1" thickBot="1" x14ac:dyDescent="0.35">
      <c r="A12" s="17" t="s">
        <v>22</v>
      </c>
      <c r="C12" s="15">
        <v>5</v>
      </c>
      <c r="D12" s="44">
        <f t="shared" si="0"/>
        <v>0</v>
      </c>
      <c r="E12" s="81">
        <f ca="1">Markov!$AQ30*(1-('Results summary'!D12/100))+MarkovKendall!$AQ30*('Results summary'!D12/100)</f>
        <v>47791.62793447321</v>
      </c>
      <c r="F12" s="76">
        <f ca="1">Markov!AR29*(1-('Results summary'!$D11/100))+MarkovKendall!AR29*('Results summary'!$D11/100)</f>
        <v>49189.59975494114</v>
      </c>
      <c r="G12" s="76">
        <f ca="1">Markov!AS28*(1-('Results summary'!$D10/100))+MarkovKendall!AS28*('Results summary'!$D10/100)</f>
        <v>50628.46422535288</v>
      </c>
      <c r="H12" s="76">
        <f ca="1">Markov!AT27*(1-('Results summary'!$D9/100))+MarkovKendall!AT27*('Results summary'!$D9/100)</f>
        <v>52246.162762350155</v>
      </c>
      <c r="I12" s="76">
        <f ca="1">Markov!AU25*(1-('Results summary'!$D7/100))+MarkovKendall!AU25*('Results summary'!$D7/100)+Markov!AU26*(1-('Results summary'!$D8/100))+MarkovKendall!AU26*('Results summary'!$D8/100)</f>
        <v>6272797.1998441471</v>
      </c>
      <c r="J12" s="15"/>
      <c r="K12" s="21"/>
      <c r="L12" s="24"/>
      <c r="M12" s="24"/>
      <c r="N12" s="15"/>
    </row>
    <row r="13" spans="1:26" ht="18" thickTop="1" thickBot="1" x14ac:dyDescent="0.35">
      <c r="A13" s="2"/>
      <c r="C13" s="15"/>
      <c r="D13" s="15"/>
      <c r="E13" s="81"/>
      <c r="F13" s="81"/>
      <c r="G13" s="81"/>
      <c r="H13" s="81"/>
      <c r="I13" s="81"/>
      <c r="J13" s="15"/>
      <c r="K13" s="21"/>
      <c r="L13" s="24"/>
      <c r="M13" s="24"/>
      <c r="N13" s="15"/>
    </row>
    <row r="14" spans="1:26" ht="18" thickTop="1" thickBot="1" x14ac:dyDescent="0.35">
      <c r="A14" s="17" t="s">
        <v>23</v>
      </c>
      <c r="C14" s="15"/>
      <c r="D14" s="15"/>
      <c r="E14" s="81"/>
      <c r="F14" s="81"/>
      <c r="G14" s="81"/>
      <c r="H14" s="81"/>
      <c r="I14" s="81"/>
      <c r="J14" s="15"/>
      <c r="K14" s="21"/>
      <c r="L14" s="24"/>
      <c r="M14" s="24"/>
      <c r="N14" s="15"/>
    </row>
    <row r="15" spans="1:26" ht="18" thickTop="1" thickBot="1" x14ac:dyDescent="0.35">
      <c r="A15" s="2"/>
      <c r="C15" s="1" t="s">
        <v>24</v>
      </c>
      <c r="D15" s="81" t="s">
        <v>54</v>
      </c>
      <c r="E15" s="44">
        <f>MIN(100,i_Int_Kend_MS+(i_Int_Kend_MS_inc*ROUNDUP(E16,0)))</f>
        <v>100</v>
      </c>
      <c r="F15" s="44">
        <f>MIN(100,i_Int_Kend_MS+(i_Int_Kend_MS_inc*ROUNDUP(F16,0)))</f>
        <v>100</v>
      </c>
      <c r="G15" s="44">
        <f>MIN(100,i_Int_Kend_MS+(i_Int_Kend_MS_inc*ROUNDUP(G16,0)))</f>
        <v>100</v>
      </c>
      <c r="H15" s="44">
        <f>MIN(100,i_Int_Kend_MS+(i_Int_Kend_MS_inc*ROUNDUP(H16,0)))</f>
        <v>100</v>
      </c>
      <c r="I15" s="44">
        <f>MIN(100,i_Int_Kend_MS+(i_Int_Kend_MS_inc*ROUNDUP(I16,0)))</f>
        <v>100</v>
      </c>
      <c r="J15" s="15"/>
      <c r="K15" s="21"/>
      <c r="L15" s="24"/>
      <c r="M15" s="24"/>
      <c r="N15" s="15"/>
    </row>
    <row r="16" spans="1:26" ht="18" thickTop="1" thickBot="1" x14ac:dyDescent="0.35">
      <c r="A16" s="17" t="s">
        <v>24</v>
      </c>
      <c r="D16" s="44" t="s">
        <v>120</v>
      </c>
      <c r="E16" s="76">
        <v>1</v>
      </c>
      <c r="F16" s="81">
        <v>2</v>
      </c>
      <c r="G16" s="81">
        <v>3</v>
      </c>
      <c r="H16" s="81">
        <v>4</v>
      </c>
      <c r="I16" s="81">
        <v>5</v>
      </c>
      <c r="J16" s="15"/>
      <c r="K16" s="21"/>
      <c r="L16" s="24"/>
      <c r="M16" s="24"/>
      <c r="N16" s="15"/>
    </row>
    <row r="17" spans="1:14" ht="18" thickTop="1" thickBot="1" x14ac:dyDescent="0.35">
      <c r="A17" s="2"/>
      <c r="C17" s="1">
        <v>0.5</v>
      </c>
      <c r="E17" s="81">
        <f ca="1">Markov!AQ25*(1-('Results summary'!E$15/100))+MarkovKendall!AQ25*('Results summary'!E$15/100)</f>
        <v>7075914.9581727684</v>
      </c>
      <c r="F17" s="81"/>
      <c r="G17" s="81"/>
      <c r="H17" s="81"/>
      <c r="I17" s="81"/>
      <c r="J17" s="15"/>
      <c r="K17" s="21"/>
      <c r="L17" s="24"/>
      <c r="M17" s="24"/>
      <c r="N17" s="15"/>
    </row>
    <row r="18" spans="1:14" ht="18" thickTop="1" thickBot="1" x14ac:dyDescent="0.35">
      <c r="A18" s="17" t="s">
        <v>2</v>
      </c>
      <c r="C18" s="44">
        <v>1</v>
      </c>
      <c r="D18" s="44"/>
      <c r="E18" s="81">
        <f ca="1">Markov!AQ26*(1-('Results summary'!E$15/100))+MarkovKendall!AQ26*('Results summary'!E$15/100)</f>
        <v>57105.428929384849</v>
      </c>
      <c r="J18" s="15"/>
      <c r="K18" s="21"/>
      <c r="L18" s="24"/>
      <c r="M18" s="24"/>
      <c r="N18" s="15"/>
    </row>
    <row r="19" spans="1:14" ht="18" thickTop="1" thickBot="1" x14ac:dyDescent="0.35">
      <c r="A19" s="2"/>
      <c r="C19" s="44">
        <v>2</v>
      </c>
      <c r="D19" s="44"/>
      <c r="E19" s="81">
        <f ca="1">Markov!AQ27*(1-('Results summary'!E$15/100))+MarkovKendall!AQ27*('Results summary'!E$15/100)</f>
        <v>43159.48149445263</v>
      </c>
      <c r="F19" s="81">
        <f ca="1">Markov!AR25*(1-('Results summary'!F$15/100))+MarkovKendall!AR25*('Results summary'!F$15/100)+Markov!AR26*(1-('Results summary'!F$15/100))+MarkovKendall!AR26*('Results summary'!F$15/100)</f>
        <v>6883364.6735535776</v>
      </c>
      <c r="I19" s="81"/>
      <c r="J19" s="15"/>
      <c r="K19" s="21"/>
      <c r="L19" s="24"/>
      <c r="M19" s="24"/>
      <c r="N19" s="15"/>
    </row>
    <row r="20" spans="1:14" ht="18" thickTop="1" thickBot="1" x14ac:dyDescent="0.35">
      <c r="A20" s="17" t="s">
        <v>3</v>
      </c>
      <c r="C20" s="44">
        <v>3</v>
      </c>
      <c r="D20" s="44"/>
      <c r="E20" s="81">
        <f ca="1">Markov!AQ28*(1-('Results summary'!E$15/100))+MarkovKendall!AQ28*('Results summary'!E$15/100)</f>
        <v>40323.151941005344</v>
      </c>
      <c r="F20" s="81">
        <f ca="1">Markov!AR27*(1-('Results summary'!F$15/100))+MarkovKendall!AR27*('Results summary'!F$15/100)</f>
        <v>41648.899642146782</v>
      </c>
      <c r="G20" s="81">
        <f ca="1">Markov!AS25*(1-('Results summary'!G$15/100))+MarkovKendall!AS25*('Results summary'!G$15/100)+Markov!AS26*(1-('Results summary'!G$15/100))+MarkovKendall!AS26*('Results summary'!G$15/100)</f>
        <v>6642446.9099792019</v>
      </c>
      <c r="H20" s="81"/>
      <c r="I20" s="81"/>
      <c r="J20" s="15"/>
      <c r="K20" s="21"/>
      <c r="L20" s="24"/>
      <c r="M20" s="24"/>
      <c r="N20" s="15"/>
    </row>
    <row r="21" spans="1:14" ht="17.25" thickTop="1" x14ac:dyDescent="0.3">
      <c r="A21" s="2"/>
      <c r="C21" s="44">
        <v>4</v>
      </c>
      <c r="D21" s="44"/>
      <c r="E21" s="81">
        <f ca="1">Markov!AQ29*(1-('Results summary'!E$15/100))+MarkovKendall!AQ29*('Results summary'!E$15/100)</f>
        <v>37805.964369485053</v>
      </c>
      <c r="F21" s="81">
        <f ca="1">Markov!AR28*(1-('Results summary'!F$15/100))+MarkovKendall!AR28*('Results summary'!F$15/100)</f>
        <v>38911.841623070155</v>
      </c>
      <c r="G21" s="81">
        <f ca="1">Markov!AS27*(1-('Results summary'!G$15/100))+MarkovKendall!AS27*('Results summary'!G$15/100)</f>
        <v>40191.188154671647</v>
      </c>
      <c r="H21" s="81">
        <f ca="1">Markov!AT25*(1-('Results summary'!$H15/100))+MarkovKendall!AT25*('Results summary'!$H15/100)+Markov!AT26*(1-('Results summary'!$H15/100))+MarkovKendall!AT26*('Results summary'!$H15/100)</f>
        <v>6409961.2681299299</v>
      </c>
      <c r="I21" s="81"/>
      <c r="J21" s="15"/>
      <c r="K21" s="21"/>
      <c r="L21" s="24"/>
      <c r="M21" s="24"/>
      <c r="N21" s="15"/>
    </row>
    <row r="22" spans="1:14" ht="16.5" x14ac:dyDescent="0.3">
      <c r="A22" s="2"/>
      <c r="C22" s="44">
        <v>5</v>
      </c>
      <c r="D22" s="44"/>
      <c r="E22" s="81">
        <f ca="1">Markov!AQ30*(1-('Results summary'!E$15/100))+MarkovKendall!AQ30*('Results summary'!E$15/100)</f>
        <v>35445.913183619152</v>
      </c>
      <c r="F22" s="81">
        <f ca="1">Markov!AR29*(1-('Results summary'!F$15/100))+MarkovKendall!AR29*('Results summary'!F$15/100)</f>
        <v>36482.755616553077</v>
      </c>
      <c r="G22" s="81">
        <f ca="1">Markov!AS28*(1-('Results summary'!G$15/100))+MarkovKendall!AS28*('Results summary'!G$15/100)</f>
        <v>37549.9271662627</v>
      </c>
      <c r="H22" s="81">
        <f ca="1">Markov!AT27*(1-('Results summary'!H$15/100))+MarkovKendall!AT27*('Results summary'!H$15/100)</f>
        <v>38784.496569258139</v>
      </c>
      <c r="I22" s="81">
        <f ca="1">Markov!AU25*(1-('Results summary'!$I15/100))+MarkovKendall!AU25*('Results summary'!$I15/100)+Markov!AU26*(1-('Results summary'!$I15/100))+MarkovKendall!AU26*('Results summary'!$I15/100)</f>
        <v>6185612.6237453818</v>
      </c>
      <c r="J22" s="15"/>
      <c r="K22" s="21"/>
      <c r="L22" s="24"/>
      <c r="M22" s="24"/>
      <c r="N22" s="15"/>
    </row>
    <row r="23" spans="1:14" ht="16.5" x14ac:dyDescent="0.3">
      <c r="A23" s="2"/>
      <c r="C23" s="15"/>
      <c r="D23" s="15"/>
      <c r="E23" s="15"/>
      <c r="F23" s="21"/>
      <c r="G23" s="15"/>
      <c r="H23" s="21"/>
      <c r="I23" s="15"/>
      <c r="J23" s="15"/>
      <c r="K23" s="21"/>
      <c r="L23" s="24"/>
      <c r="M23" s="24"/>
      <c r="N23" s="15"/>
    </row>
    <row r="24" spans="1:14" ht="16.5" x14ac:dyDescent="0.3">
      <c r="A24" s="2"/>
      <c r="F24" s="21"/>
      <c r="G24" s="15"/>
      <c r="H24" s="21"/>
      <c r="K24" s="21"/>
      <c r="L24" s="24"/>
      <c r="M24" s="24"/>
    </row>
    <row r="25" spans="1:14" ht="16.5" x14ac:dyDescent="0.3">
      <c r="A25" s="2"/>
      <c r="F25" s="21"/>
      <c r="G25" s="15"/>
      <c r="H25" s="21"/>
      <c r="K25" s="21"/>
      <c r="L25" s="24"/>
      <c r="M25" s="24"/>
    </row>
    <row r="26" spans="1:14" ht="16.5" x14ac:dyDescent="0.3">
      <c r="A26" s="2"/>
      <c r="F26" s="21"/>
      <c r="G26" s="15"/>
      <c r="H26" s="21"/>
      <c r="K26" s="21"/>
      <c r="L26" s="24"/>
      <c r="M26" s="24"/>
    </row>
    <row r="27" spans="1:14" ht="17.25" thickBot="1" x14ac:dyDescent="0.35">
      <c r="A27" s="2"/>
      <c r="F27" s="21"/>
      <c r="G27" s="15"/>
      <c r="H27" s="21"/>
      <c r="K27" s="21"/>
      <c r="L27" s="24"/>
      <c r="M27" s="24"/>
    </row>
    <row r="28" spans="1:14" ht="16.5" x14ac:dyDescent="0.3">
      <c r="A28" s="2"/>
      <c r="C28" s="85"/>
      <c r="D28" s="86" t="s">
        <v>329</v>
      </c>
      <c r="E28" s="87" t="s">
        <v>48</v>
      </c>
      <c r="F28" s="44"/>
      <c r="G28" s="85"/>
      <c r="H28" s="86" t="s">
        <v>24</v>
      </c>
      <c r="I28" s="100" t="s">
        <v>48</v>
      </c>
      <c r="J28" s="86"/>
      <c r="K28" s="86"/>
      <c r="L28" s="86"/>
      <c r="M28" s="86"/>
      <c r="N28" s="101"/>
    </row>
    <row r="29" spans="1:14" ht="16.5" x14ac:dyDescent="0.3">
      <c r="A29" s="2"/>
      <c r="C29" s="88" t="s">
        <v>49</v>
      </c>
      <c r="D29" s="32" t="s">
        <v>120</v>
      </c>
      <c r="E29" s="89">
        <v>1</v>
      </c>
      <c r="F29"/>
      <c r="G29" s="88" t="s">
        <v>49</v>
      </c>
      <c r="H29" s="32" t="s">
        <v>120</v>
      </c>
      <c r="I29" s="34">
        <v>1</v>
      </c>
      <c r="J29" s="102">
        <v>2</v>
      </c>
      <c r="K29" s="32">
        <v>3</v>
      </c>
      <c r="L29" s="102">
        <v>4</v>
      </c>
      <c r="M29" s="32">
        <v>5</v>
      </c>
      <c r="N29" s="89"/>
    </row>
    <row r="30" spans="1:14" ht="16.5" x14ac:dyDescent="0.3">
      <c r="A30" s="2"/>
      <c r="C30" s="90">
        <v>0.5</v>
      </c>
      <c r="D30" s="32">
        <f t="shared" ref="D30:D35" si="1">i_Int_Kend_MS</f>
        <v>0</v>
      </c>
      <c r="E30" s="96">
        <f ca="1">(MarkovKendall!$AO$35*('Results summary'!D30/100))+(Markov!$AO$35*(1-('Results summary'!D30/100)))</f>
        <v>471.75552778229024</v>
      </c>
      <c r="F30"/>
      <c r="G30" s="90">
        <v>0.5</v>
      </c>
      <c r="H30" s="32">
        <f t="shared" ref="H30:H35" si="2">i_Int_Kend_MS</f>
        <v>0</v>
      </c>
      <c r="I30" s="93">
        <f ca="1">(MarkovKendall!AP37*('Results summary'!H30/100))+(Markov!AP37*(1-('Results summary'!H30/100)))</f>
        <v>4.2742512391039753</v>
      </c>
      <c r="J30" s="103"/>
      <c r="K30" s="103"/>
      <c r="L30" s="103"/>
      <c r="M30" s="103"/>
      <c r="N30" s="89"/>
    </row>
    <row r="31" spans="1:14" ht="16.5" x14ac:dyDescent="0.3">
      <c r="A31" s="2"/>
      <c r="C31" s="91">
        <v>1</v>
      </c>
      <c r="D31" s="32">
        <f t="shared" si="1"/>
        <v>0</v>
      </c>
      <c r="E31" s="96">
        <f ca="1">(MarkovKendall!$AO$35*('Results summary'!D31/100))+(Markov!$AO$35*(1-('Results summary'!D31/100)))</f>
        <v>471.75552778229024</v>
      </c>
      <c r="F31"/>
      <c r="G31" s="91">
        <v>1</v>
      </c>
      <c r="H31" s="32">
        <f t="shared" si="2"/>
        <v>0</v>
      </c>
      <c r="I31" s="93">
        <f ca="1">(MarkovKendall!AP38*('Results summary'!H30/100))+(Markov!AP38*(1-('Results summary'!H30/100)))</f>
        <v>0.64593195113059831</v>
      </c>
      <c r="J31" s="34"/>
      <c r="K31" s="34"/>
      <c r="L31" s="34"/>
      <c r="M31" s="34"/>
      <c r="N31" s="89"/>
    </row>
    <row r="32" spans="1:14" ht="16.5" x14ac:dyDescent="0.3">
      <c r="A32" s="2"/>
      <c r="C32" s="91">
        <v>2</v>
      </c>
      <c r="D32" s="32">
        <f t="shared" si="1"/>
        <v>0</v>
      </c>
      <c r="E32" s="96">
        <f ca="1">(MarkovKendall!$AO$35*('Results summary'!D32/100))+(Markov!$AO$35*(1-('Results summary'!D32/100)))+E31</f>
        <v>943.51105556458049</v>
      </c>
      <c r="F32"/>
      <c r="G32" s="91">
        <v>2</v>
      </c>
      <c r="H32" s="32">
        <f t="shared" si="2"/>
        <v>0</v>
      </c>
      <c r="I32" s="93">
        <f ca="1">(MarkovKendall!AP39*('Results summary'!H30/100))+(Markov!AP39*(1-('Results summary'!H30/100)))</f>
        <v>1.2648632115090721</v>
      </c>
      <c r="J32" s="103">
        <f ca="1">((MarkovKendall!AP37+MarkovKendall!AP38)*('Results summary'!H32/100))+((Markov!AP37+Markov!AP38)*(1-('Results summary'!H32/100)))</f>
        <v>4.9201831902345736</v>
      </c>
      <c r="K32" s="34"/>
      <c r="L32" s="34"/>
      <c r="M32" s="103"/>
      <c r="N32" s="89"/>
    </row>
    <row r="33" spans="1:14" ht="16.5" x14ac:dyDescent="0.3">
      <c r="A33" s="2"/>
      <c r="C33" s="91">
        <v>3</v>
      </c>
      <c r="D33" s="32">
        <f t="shared" si="1"/>
        <v>0</v>
      </c>
      <c r="E33" s="96">
        <f ca="1">(MarkovKendall!$AO$35*('Results summary'!D33/100))+(Markov!$AO$35*(1-('Results summary'!D33/100)))+E32</f>
        <v>1415.2665833468707</v>
      </c>
      <c r="F33"/>
      <c r="G33" s="91">
        <v>3</v>
      </c>
      <c r="H33" s="32">
        <f t="shared" si="2"/>
        <v>0</v>
      </c>
      <c r="I33" s="93">
        <f ca="1">(MarkovKendall!AP40*('Results summary'!H30/100))+(Markov!AP40*(1-('Results summary'!H30/100)))</f>
        <v>1.228915534053785</v>
      </c>
      <c r="J33" s="103">
        <f ca="1">(MarkovKendall!AP39*('Results summary'!H32/100))+(Markov!AP39*(1-('Results summary'!H32/100)))</f>
        <v>1.2648632115090721</v>
      </c>
      <c r="K33" s="103">
        <f ca="1">((MarkovKendall!AP37+MarkovKendall!AP38)*('Results summary'!H33/100))+((Markov!AP37+Markov!AP38)*(1-('Results summary'!H33/100)))</f>
        <v>4.9201831902345736</v>
      </c>
      <c r="L33" s="103"/>
      <c r="M33" s="103"/>
      <c r="N33" s="89"/>
    </row>
    <row r="34" spans="1:14" ht="16.5" x14ac:dyDescent="0.3">
      <c r="A34" s="2"/>
      <c r="C34" s="91">
        <v>4</v>
      </c>
      <c r="D34" s="32">
        <f t="shared" si="1"/>
        <v>0</v>
      </c>
      <c r="E34" s="96">
        <f ca="1">(MarkovKendall!$AO$35*('Results summary'!D34/100))+(Markov!$AO$35*(1-('Results summary'!D34/100)))+E33</f>
        <v>1887.022111129161</v>
      </c>
      <c r="F34"/>
      <c r="G34" s="91">
        <v>4</v>
      </c>
      <c r="H34" s="32">
        <f t="shared" si="2"/>
        <v>0</v>
      </c>
      <c r="I34" s="93">
        <f ca="1">(MarkovKendall!AP41*('Results summary'!H30/100))+(Markov!AP41*(1-('Results summary'!H30/100)))</f>
        <v>1.1939896697470747</v>
      </c>
      <c r="J34" s="103">
        <f ca="1">(MarkovKendall!AP40*('Results summary'!H32/100))+(Markov!AP40*(1-('Results summary'!H32/100)))</f>
        <v>1.228915534053785</v>
      </c>
      <c r="K34" s="103">
        <f ca="1">(MarkovKendall!AP39*('Results summary'!H33/100))+(Markov!AP39*(1-('Results summary'!H33/100)))</f>
        <v>1.2648632115090721</v>
      </c>
      <c r="L34" s="103">
        <f ca="1">((MarkovKendall!AP37+MarkovKendall!AP38)*('Results summary'!H34/100))+((Markov!AP37+Markov!AP38)*(1-('Results summary'!H34/100)))</f>
        <v>4.9201831902345736</v>
      </c>
      <c r="M34" s="103"/>
      <c r="N34" s="89"/>
    </row>
    <row r="35" spans="1:14" ht="16.5" x14ac:dyDescent="0.3">
      <c r="A35" s="2"/>
      <c r="C35" s="91">
        <v>5</v>
      </c>
      <c r="D35" s="32">
        <f t="shared" si="1"/>
        <v>0</v>
      </c>
      <c r="E35" s="96">
        <f ca="1">(MarkovKendall!$AO$35*('Results summary'!D35/100))+(Markov!$AO$35*(1-('Results summary'!D35/100)))+E34</f>
        <v>2358.777638911451</v>
      </c>
      <c r="F35"/>
      <c r="G35" s="91">
        <v>5</v>
      </c>
      <c r="H35" s="32">
        <f t="shared" si="2"/>
        <v>0</v>
      </c>
      <c r="I35" s="93">
        <f ca="1">(MarkovKendall!AP42*('Results summary'!H30/100))+(Markov!AP42*(1-('Results summary'!H30/100)))</f>
        <v>1.1600564009148047</v>
      </c>
      <c r="J35" s="103">
        <f ca="1">(MarkovKendall!AP41*('Results summary'!H32/100))+(Markov!AP41*(1-('Results summary'!H32/100)))</f>
        <v>1.1939896697470747</v>
      </c>
      <c r="K35" s="103">
        <f ca="1">(MarkovKendall!AP40*('Results summary'!H33/100))+(Markov!AP40*(1-('Results summary'!H33/100)))</f>
        <v>1.228915534053785</v>
      </c>
      <c r="L35" s="103">
        <f ca="1">(MarkovKendall!AP39*('Results summary'!H34/100))+(Markov!AP39*(1-('Results summary'!H34/100)))</f>
        <v>1.2648632115090721</v>
      </c>
      <c r="M35" s="103">
        <f ca="1">((MarkovKendall!AP37+MarkovKendall!AP38)*('Results summary'!H35/100))+((Markov!AP37+Markov!AP38)*(1-('Results summary'!H35/100)))</f>
        <v>4.9201831902345736</v>
      </c>
      <c r="N35" s="89"/>
    </row>
    <row r="36" spans="1:14" ht="16.5" x14ac:dyDescent="0.3">
      <c r="A36" s="2"/>
      <c r="C36" s="91"/>
      <c r="D36" s="32"/>
      <c r="E36" s="92"/>
      <c r="F36"/>
      <c r="G36" s="91"/>
      <c r="H36" s="32"/>
      <c r="I36" s="93"/>
      <c r="J36" s="93"/>
      <c r="K36" s="103"/>
      <c r="L36" s="93"/>
      <c r="M36" s="93"/>
      <c r="N36" s="89"/>
    </row>
    <row r="37" spans="1:14" ht="16.5" x14ac:dyDescent="0.3">
      <c r="A37" s="2"/>
      <c r="C37" s="91"/>
      <c r="D37" s="32"/>
      <c r="E37" s="92"/>
      <c r="F37"/>
      <c r="G37" s="91"/>
      <c r="H37" s="32"/>
      <c r="I37" s="93"/>
      <c r="J37" s="93"/>
      <c r="K37" s="93"/>
      <c r="L37" s="93"/>
      <c r="M37" s="93"/>
      <c r="N37" s="89"/>
    </row>
    <row r="38" spans="1:14" ht="16.5" x14ac:dyDescent="0.3">
      <c r="A38" s="2"/>
      <c r="C38" s="91" t="s">
        <v>329</v>
      </c>
      <c r="D38" s="93" t="s">
        <v>54</v>
      </c>
      <c r="E38" s="94">
        <f>MIN(100,i_Int_Kend_MS+(i_Int_Kend_MS_inc*ROUNDUP(E39,0)))</f>
        <v>100</v>
      </c>
      <c r="F38"/>
      <c r="G38" s="90" t="s">
        <v>24</v>
      </c>
      <c r="H38" s="93" t="s">
        <v>54</v>
      </c>
      <c r="I38" s="32">
        <f>MIN(100,i_Int_Kend_MS+(i_Int_Kend_MS_inc*ROUNDUP(I39,0)))</f>
        <v>100</v>
      </c>
      <c r="J38" s="32">
        <f>MIN(100,i_Int_Kend_MS+(i_Int_Kend_MS_inc*ROUNDUP(J39,0)))</f>
        <v>100</v>
      </c>
      <c r="K38" s="32">
        <f>MIN(100,i_Int_Kend_MS+(i_Int_Kend_MS_inc*ROUNDUP(K39,0)))</f>
        <v>100</v>
      </c>
      <c r="L38" s="32">
        <f>MIN(100,i_Int_Kend_MS+(i_Int_Kend_MS_inc*ROUNDUP(L39,0)))</f>
        <v>100</v>
      </c>
      <c r="M38" s="32">
        <f>MIN(100,i_Int_Kend_MS+(i_Int_Kend_MS_inc*ROUNDUP(M39,0)))</f>
        <v>100</v>
      </c>
      <c r="N38" s="89"/>
    </row>
    <row r="39" spans="1:14" ht="16.5" x14ac:dyDescent="0.3">
      <c r="A39" s="2"/>
      <c r="C39" s="90"/>
      <c r="D39" s="32" t="s">
        <v>120</v>
      </c>
      <c r="E39" s="95">
        <v>1</v>
      </c>
      <c r="F39"/>
      <c r="G39" s="90"/>
      <c r="H39" s="32" t="s">
        <v>120</v>
      </c>
      <c r="I39" s="103">
        <v>1</v>
      </c>
      <c r="J39" s="93">
        <v>2</v>
      </c>
      <c r="K39" s="93">
        <v>3</v>
      </c>
      <c r="L39" s="93">
        <v>4</v>
      </c>
      <c r="M39" s="93">
        <v>5</v>
      </c>
      <c r="N39" s="89"/>
    </row>
    <row r="40" spans="1:14" ht="16.5" x14ac:dyDescent="0.3">
      <c r="A40" s="2"/>
      <c r="C40" s="90">
        <v>0.5</v>
      </c>
      <c r="D40" s="32">
        <f>MIN(100,i_Int_Kend_MS+(i_Int_Kend_MS_inc*ROUNDUP(C41,0)))</f>
        <v>100</v>
      </c>
      <c r="E40" s="96">
        <f ca="1">(MarkovKendall!$AO$35*('Results summary'!D40/100))+(Markov!$AO$35*(1-('Results summary'!D40/100)))</f>
        <v>467.56008752364585</v>
      </c>
      <c r="F40"/>
      <c r="G40" s="90">
        <v>0.5</v>
      </c>
      <c r="H40" s="32">
        <f>MIN(100,i_Int_Kend_MS+(i_Int_Kend_MS_inc*ROUNDUP(G41,0)))</f>
        <v>100</v>
      </c>
      <c r="I40" s="93">
        <f ca="1">(MarkovKendall!AP37*('Results summary'!H40/100))+(Markov!AP37*(1-('Results summary'!H40/100)))</f>
        <v>3.1742996241362662</v>
      </c>
      <c r="J40" s="103"/>
      <c r="K40" s="103"/>
      <c r="L40" s="103"/>
      <c r="M40" s="103"/>
      <c r="N40" s="89"/>
    </row>
    <row r="41" spans="1:14" ht="16.5" x14ac:dyDescent="0.3">
      <c r="C41" s="91">
        <v>1</v>
      </c>
      <c r="D41" s="32">
        <f>MIN(100,i_Int_Kend_MS+(i_Int_Kend_MS_inc*ROUNDUP(C41,0)))</f>
        <v>100</v>
      </c>
      <c r="E41" s="96">
        <f ca="1">(MarkovKendall!$AO$35*('Results summary'!D41/100))+(Markov!$AO$35*(1-('Results summary'!D41/100)))</f>
        <v>467.56008752364585</v>
      </c>
      <c r="F41"/>
      <c r="G41" s="91">
        <v>1</v>
      </c>
      <c r="H41" s="32">
        <f>MIN(100,i_Int_Kend_MS+(i_Int_Kend_MS_inc*ROUNDUP(G41,0)))</f>
        <v>100</v>
      </c>
      <c r="I41" s="93">
        <f ca="1">(MarkovKendall!AP38*('Results summary'!H40/100))+(Markov!AP38*(1-('Results summary'!H40/100)))</f>
        <v>0.47892315648733047</v>
      </c>
      <c r="J41" s="34"/>
      <c r="K41" s="34"/>
      <c r="L41" s="34"/>
      <c r="M41" s="34"/>
      <c r="N41" s="89"/>
    </row>
    <row r="42" spans="1:14" ht="16.5" x14ac:dyDescent="0.3">
      <c r="C42" s="91">
        <v>2</v>
      </c>
      <c r="D42" s="32">
        <f>MIN(100,i_Int_Kend_MS+(i_Int_Kend_MS_inc*ROUNDUP(C42,0)))</f>
        <v>100</v>
      </c>
      <c r="E42" s="96">
        <f ca="1">(MarkovKendall!$AO$35*('Results summary'!D42/100))+(Markov!$AO$35*(1-('Results summary'!D42/100)))+E41</f>
        <v>935.1201750472917</v>
      </c>
      <c r="F42"/>
      <c r="G42" s="91">
        <v>2</v>
      </c>
      <c r="H42" s="32">
        <f>MIN(100,i_Int_Kend_MS+(i_Int_Kend_MS_inc*ROUNDUP(G42,0)))</f>
        <v>100</v>
      </c>
      <c r="I42" s="93">
        <f ca="1">(MarkovKendall!AP39*('Results summary'!H40/100))+(Markov!AP39*(1-('Results summary'!H40/100)))</f>
        <v>0.93777100152427284</v>
      </c>
      <c r="J42" s="103">
        <f ca="1">((MarkovKendall!AP37+MarkovKendall!AP38)*('Results summary'!H42/100))+((Markov!AP37+Markov!AP38)*(1-('Results summary'!H42/100)))</f>
        <v>3.6532227806235968</v>
      </c>
      <c r="K42" s="34"/>
      <c r="L42" s="34"/>
      <c r="M42" s="103"/>
      <c r="N42" s="89"/>
    </row>
    <row r="43" spans="1:14" ht="16.5" x14ac:dyDescent="0.3">
      <c r="C43" s="91">
        <v>3</v>
      </c>
      <c r="D43" s="32">
        <f>MIN(100,i_Int_Kend_MS+(i_Int_Kend_MS_inc*ROUNDUP(C43,0)))</f>
        <v>100</v>
      </c>
      <c r="E43" s="96">
        <f ca="1">(MarkovKendall!$AO$35*('Results summary'!D43/100))+(Markov!$AO$35*(1-('Results summary'!D43/100)))+E42</f>
        <v>1402.6802625709374</v>
      </c>
      <c r="F43"/>
      <c r="G43" s="91">
        <v>3</v>
      </c>
      <c r="H43" s="32">
        <f>MIN(100,i_Int_Kend_MS+(i_Int_Kend_MS_inc*ROUNDUP(G43,0)))</f>
        <v>100</v>
      </c>
      <c r="I43" s="93">
        <f ca="1">(MarkovKendall!AP40*('Results summary'!H40/100))+(Markov!AP40*(1-('Results summary'!H40/100)))</f>
        <v>0.91111938647741186</v>
      </c>
      <c r="J43" s="103">
        <f ca="1">(MarkovKendall!AP39*('Results summary'!H42/100))+(Markov!AP39*(1-('Results summary'!H42/100)))</f>
        <v>0.93777100152427284</v>
      </c>
      <c r="K43" s="103">
        <f ca="1">((MarkovKendall!AP37+MarkovKendall!AP38)*('Results summary'!H43/100))+((Markov!AP37+Markov!AP38)*(1-('Results summary'!H43/100)))</f>
        <v>3.6532227806235968</v>
      </c>
      <c r="L43" s="103"/>
      <c r="M43" s="103"/>
      <c r="N43" s="89"/>
    </row>
    <row r="44" spans="1:14" ht="16.5" x14ac:dyDescent="0.3">
      <c r="C44" s="91">
        <v>4</v>
      </c>
      <c r="D44" s="32">
        <f>MIN(100,i_Int_Kend_MS+(i_Int_Kend_MS_inc*ROUNDUP(C44,0)))</f>
        <v>100</v>
      </c>
      <c r="E44" s="96">
        <f ca="1">(MarkovKendall!$AO$35*('Results summary'!D44/100))+(Markov!$AO$35*(1-('Results summary'!D44/100)))+E43</f>
        <v>1870.2403500945834</v>
      </c>
      <c r="F44"/>
      <c r="G44" s="91">
        <v>4</v>
      </c>
      <c r="H44" s="32">
        <f>MIN(100,i_Int_Kend_MS+(i_Int_Kend_MS_inc*ROUNDUP(G44,0)))</f>
        <v>100</v>
      </c>
      <c r="I44" s="93">
        <f ca="1">(MarkovKendall!AP41*('Results summary'!H40/100))+(Markov!AP41*(1-('Results summary'!H40/100)))</f>
        <v>0.88522531062147847</v>
      </c>
      <c r="J44" s="103">
        <f ca="1">(MarkovKendall!AP40*('Results summary'!H42/100))+(Markov!AP40*(1-('Results summary'!H42/100)))</f>
        <v>0.91111938647741186</v>
      </c>
      <c r="K44" s="103">
        <f ca="1">(MarkovKendall!AP39*('Results summary'!H43/100))+(Markov!AP39*(1-('Results summary'!H43/100)))</f>
        <v>0.93777100152427284</v>
      </c>
      <c r="L44" s="103">
        <f ca="1">((MarkovKendall!AP37+MarkovKendall!AP38)*('Results summary'!H44/100))+((Markov!AP37+Markov!AP38)*(1-('Results summary'!H44/100)))</f>
        <v>3.6532227806235968</v>
      </c>
      <c r="M44" s="103"/>
      <c r="N44" s="89"/>
    </row>
    <row r="45" spans="1:14" ht="17.25" thickBot="1" x14ac:dyDescent="0.35">
      <c r="C45" s="97">
        <v>5</v>
      </c>
      <c r="D45" s="98">
        <f>MIN(100,i_Int_Kend_MS+(i_Int_Kend_MS_inc*ROUNDUP(C45,0)))</f>
        <v>100</v>
      </c>
      <c r="E45" s="99">
        <f ca="1">(MarkovKendall!$AO$35*('Results summary'!D45/100))+(Markov!$AO$35*(1-('Results summary'!D45/100)))+E44</f>
        <v>2337.8004376182294</v>
      </c>
      <c r="F45"/>
      <c r="G45" s="97">
        <v>5</v>
      </c>
      <c r="H45" s="98">
        <f>MIN(100,i_Int_Kend_MS+(i_Int_Kend_MS_inc*ROUNDUP(G45,0)))</f>
        <v>100</v>
      </c>
      <c r="I45" s="104">
        <f ca="1">(MarkovKendall!AP42*('Results summary'!H40/100))+(Markov!AP42*(1-('Results summary'!H40/100)))</f>
        <v>0.860067146188773</v>
      </c>
      <c r="J45" s="105">
        <f ca="1">(MarkovKendall!AP41*('Results summary'!H42/100))+(Markov!AP41*(1-('Results summary'!H42/100)))</f>
        <v>0.88522531062147847</v>
      </c>
      <c r="K45" s="105">
        <f ca="1">(MarkovKendall!AP40*('Results summary'!H43/100))+(Markov!AP40*(1-('Results summary'!H43/100)))</f>
        <v>0.91111938647741186</v>
      </c>
      <c r="L45" s="105">
        <f ca="1">(MarkovKendall!AP39*('Results summary'!H44/100))+(Markov!AP39*(1-('Results summary'!H44/100)))</f>
        <v>0.93777100152427284</v>
      </c>
      <c r="M45" s="105">
        <f ca="1">((MarkovKendall!AP37+MarkovKendall!AP38)*('Results summary'!H45/100))+((Markov!AP37+Markov!AP38)*(1-('Results summary'!H45/100)))</f>
        <v>3.6532227806235968</v>
      </c>
      <c r="N45" s="106"/>
    </row>
    <row r="46" spans="1:14" ht="16.5" x14ac:dyDescent="0.3">
      <c r="F46"/>
      <c r="G46"/>
      <c r="H46"/>
      <c r="I46"/>
      <c r="J46"/>
    </row>
    <row r="47" spans="1:14" ht="17.25" thickBot="1" x14ac:dyDescent="0.35">
      <c r="F47"/>
      <c r="G47"/>
      <c r="H47"/>
      <c r="I47"/>
      <c r="J47"/>
    </row>
    <row r="48" spans="1:14" ht="16.5" x14ac:dyDescent="0.3">
      <c r="C48" s="85"/>
      <c r="D48" s="86" t="s">
        <v>464</v>
      </c>
      <c r="E48" s="87" t="s">
        <v>48</v>
      </c>
      <c r="F48"/>
      <c r="G48"/>
      <c r="H48"/>
      <c r="I48"/>
      <c r="J48"/>
    </row>
    <row r="49" spans="3:10" ht="16.5" x14ac:dyDescent="0.3">
      <c r="C49" s="88" t="s">
        <v>49</v>
      </c>
      <c r="D49" s="32" t="s">
        <v>120</v>
      </c>
      <c r="E49" s="89">
        <v>1</v>
      </c>
      <c r="F49"/>
      <c r="G49"/>
      <c r="H49"/>
      <c r="I49"/>
      <c r="J49"/>
    </row>
    <row r="50" spans="3:10" ht="16.5" x14ac:dyDescent="0.3">
      <c r="C50" s="90">
        <v>0.5</v>
      </c>
      <c r="D50" s="32">
        <f t="shared" ref="D50:D55" si="3">i_Int_Kend_MS</f>
        <v>0</v>
      </c>
      <c r="E50" s="96">
        <f ca="1">(MarkovKendall!$AP$35*('Results summary'!D50/100))+(Markov!$AP$35*(1-('Results summary'!D50/100)))</f>
        <v>2061.6297560228932</v>
      </c>
      <c r="F50"/>
      <c r="G50"/>
      <c r="H50"/>
      <c r="I50"/>
      <c r="J50"/>
    </row>
    <row r="51" spans="3:10" ht="16.5" x14ac:dyDescent="0.3">
      <c r="C51" s="91">
        <v>1</v>
      </c>
      <c r="D51" s="32">
        <f t="shared" si="3"/>
        <v>0</v>
      </c>
      <c r="E51" s="96">
        <f ca="1">(MarkovKendall!$AP$35*('Results summary'!D51/100))+(Markov!$AP$35*(1-('Results summary'!D51/100)))</f>
        <v>2061.6297560228932</v>
      </c>
      <c r="F51"/>
      <c r="G51"/>
      <c r="H51"/>
      <c r="I51"/>
      <c r="J51"/>
    </row>
    <row r="52" spans="3:10" ht="16.5" x14ac:dyDescent="0.3">
      <c r="C52" s="91">
        <v>2</v>
      </c>
      <c r="D52" s="32">
        <f t="shared" si="3"/>
        <v>0</v>
      </c>
      <c r="E52" s="96">
        <f ca="1">(MarkovKendall!$AP$35*('Results summary'!D52/100))+(Markov!$AP$35*(1-('Results summary'!D52/100)))+E51</f>
        <v>4123.2595120457863</v>
      </c>
      <c r="F52"/>
      <c r="G52"/>
      <c r="H52"/>
      <c r="I52"/>
      <c r="J52"/>
    </row>
    <row r="53" spans="3:10" ht="16.5" x14ac:dyDescent="0.3">
      <c r="C53" s="91">
        <v>3</v>
      </c>
      <c r="D53" s="32">
        <f t="shared" si="3"/>
        <v>0</v>
      </c>
      <c r="E53" s="96">
        <f ca="1">(MarkovKendall!$AP$35*('Results summary'!D53/100))+(Markov!$AP$35*(1-('Results summary'!D53/100)))+E52</f>
        <v>6184.8892680686795</v>
      </c>
      <c r="F53"/>
      <c r="G53"/>
      <c r="H53"/>
      <c r="I53"/>
      <c r="J53"/>
    </row>
    <row r="54" spans="3:10" ht="16.5" x14ac:dyDescent="0.3">
      <c r="C54" s="91">
        <v>4</v>
      </c>
      <c r="D54" s="32">
        <f t="shared" si="3"/>
        <v>0</v>
      </c>
      <c r="E54" s="96">
        <f ca="1">(MarkovKendall!$AP$35*('Results summary'!D54/100))+(Markov!$AP$35*(1-('Results summary'!D54/100)))+E53</f>
        <v>8246.5190240915726</v>
      </c>
      <c r="F54"/>
      <c r="G54"/>
      <c r="H54"/>
      <c r="I54"/>
      <c r="J54"/>
    </row>
    <row r="55" spans="3:10" ht="16.5" x14ac:dyDescent="0.3">
      <c r="C55" s="91">
        <v>5</v>
      </c>
      <c r="D55" s="32">
        <f t="shared" si="3"/>
        <v>0</v>
      </c>
      <c r="E55" s="96">
        <f ca="1">(MarkovKendall!$AP$35*('Results summary'!D55/100))+(Markov!$AP$35*(1-('Results summary'!D55/100)))+E54</f>
        <v>10308.148780114465</v>
      </c>
      <c r="F55"/>
      <c r="G55"/>
      <c r="H55"/>
      <c r="I55"/>
      <c r="J55"/>
    </row>
    <row r="56" spans="3:10" ht="16.5" x14ac:dyDescent="0.3">
      <c r="C56" s="91"/>
      <c r="D56" s="32"/>
      <c r="E56" s="92"/>
      <c r="F56"/>
      <c r="G56"/>
      <c r="H56"/>
      <c r="I56"/>
      <c r="J56"/>
    </row>
    <row r="57" spans="3:10" ht="17.25" thickBot="1" x14ac:dyDescent="0.35">
      <c r="C57" s="91"/>
      <c r="D57" s="32"/>
      <c r="E57" s="92"/>
      <c r="F57"/>
      <c r="G57"/>
      <c r="H57"/>
      <c r="I57"/>
      <c r="J57"/>
    </row>
    <row r="58" spans="3:10" ht="16.5" x14ac:dyDescent="0.3">
      <c r="C58" s="86" t="s">
        <v>464</v>
      </c>
      <c r="D58" s="93" t="s">
        <v>54</v>
      </c>
      <c r="E58" s="94">
        <f>MIN(100,i_Int_Kend_MS+(i_Int_Kend_MS_inc*ROUNDUP(E59,0)))</f>
        <v>100</v>
      </c>
      <c r="F58"/>
      <c r="G58"/>
      <c r="H58"/>
      <c r="I58"/>
      <c r="J58"/>
    </row>
    <row r="59" spans="3:10" ht="16.5" x14ac:dyDescent="0.3">
      <c r="C59" s="90"/>
      <c r="D59" s="32" t="s">
        <v>120</v>
      </c>
      <c r="E59" s="95">
        <v>1</v>
      </c>
      <c r="F59"/>
      <c r="G59"/>
      <c r="H59"/>
      <c r="I59"/>
      <c r="J59"/>
    </row>
    <row r="60" spans="3:10" ht="16.5" x14ac:dyDescent="0.3">
      <c r="C60" s="90">
        <v>0.5</v>
      </c>
      <c r="D60" s="32">
        <f>MIN(100,i_Int_Kend_MS+(i_Int_Kend_MS_inc*ROUNDUP(C61,0)))</f>
        <v>100</v>
      </c>
      <c r="E60" s="96">
        <f ca="1">(MarkovKendall!$AP$35*('Results summary'!D60/100))+(Markov!$AP$35*(1-('Results summary'!D60/100)))</f>
        <v>2036.0093913495689</v>
      </c>
      <c r="F60"/>
      <c r="G60"/>
      <c r="H60"/>
      <c r="I60"/>
      <c r="J60"/>
    </row>
    <row r="61" spans="3:10" ht="16.5" x14ac:dyDescent="0.3">
      <c r="C61" s="91">
        <v>1</v>
      </c>
      <c r="D61" s="32">
        <f>MIN(100,i_Int_Kend_MS+(i_Int_Kend_MS_inc*ROUNDUP(C61,0)))</f>
        <v>100</v>
      </c>
      <c r="E61" s="96">
        <f ca="1">(MarkovKendall!$AP$35*('Results summary'!D61/100))+(Markov!$AP$35*(1-('Results summary'!D61/100)))</f>
        <v>2036.0093913495689</v>
      </c>
      <c r="F61"/>
      <c r="G61"/>
      <c r="H61"/>
      <c r="I61"/>
      <c r="J61"/>
    </row>
    <row r="62" spans="3:10" ht="16.5" x14ac:dyDescent="0.3">
      <c r="C62" s="91">
        <v>2</v>
      </c>
      <c r="D62" s="32">
        <f>MIN(100,i_Int_Kend_MS+(i_Int_Kend_MS_inc*ROUNDUP(C62,0)))</f>
        <v>100</v>
      </c>
      <c r="E62" s="96">
        <f ca="1">(MarkovKendall!$AP$35*('Results summary'!D62/100))+(Markov!$AP$35*(1-('Results summary'!D62/100)))+E61</f>
        <v>4072.0187826991378</v>
      </c>
      <c r="F62"/>
      <c r="G62"/>
      <c r="H62"/>
      <c r="I62"/>
      <c r="J62"/>
    </row>
    <row r="63" spans="3:10" ht="16.5" x14ac:dyDescent="0.3">
      <c r="C63" s="91">
        <v>3</v>
      </c>
      <c r="D63" s="32">
        <f>MIN(100,i_Int_Kend_MS+(i_Int_Kend_MS_inc*ROUNDUP(C63,0)))</f>
        <v>100</v>
      </c>
      <c r="E63" s="96">
        <f ca="1">(MarkovKendall!$AP$35*('Results summary'!D63/100))+(Markov!$AP$35*(1-('Results summary'!D63/100)))+E62</f>
        <v>6108.0281740487062</v>
      </c>
      <c r="F63"/>
      <c r="G63"/>
      <c r="H63"/>
      <c r="I63"/>
      <c r="J63"/>
    </row>
    <row r="64" spans="3:10" ht="16.5" x14ac:dyDescent="0.3">
      <c r="C64" s="91">
        <v>4</v>
      </c>
      <c r="D64" s="32">
        <f>MIN(100,i_Int_Kend_MS+(i_Int_Kend_MS_inc*ROUNDUP(C64,0)))</f>
        <v>100</v>
      </c>
      <c r="E64" s="96">
        <f ca="1">(MarkovKendall!$AP$35*('Results summary'!D64/100))+(Markov!$AP$35*(1-('Results summary'!D64/100)))+E63</f>
        <v>8144.0375653982755</v>
      </c>
      <c r="F64"/>
      <c r="G64"/>
      <c r="H64"/>
      <c r="I64"/>
      <c r="J64"/>
    </row>
    <row r="65" spans="3:10" ht="17.25" thickBot="1" x14ac:dyDescent="0.35">
      <c r="C65" s="97">
        <v>5</v>
      </c>
      <c r="D65" s="98">
        <f>MIN(100,i_Int_Kend_MS+(i_Int_Kend_MS_inc*ROUNDUP(C65,0)))</f>
        <v>100</v>
      </c>
      <c r="E65" s="99">
        <f ca="1">(MarkovKendall!$AP$35*('Results summary'!D65/100))+(Markov!$AP$35*(1-('Results summary'!D65/100)))+E64</f>
        <v>10180.046956747845</v>
      </c>
      <c r="F65"/>
      <c r="G65"/>
      <c r="H65"/>
      <c r="I65"/>
      <c r="J65"/>
    </row>
    <row r="66" spans="3:10" ht="16.5" x14ac:dyDescent="0.3">
      <c r="F66"/>
      <c r="G66"/>
      <c r="H66"/>
      <c r="I66"/>
      <c r="J66"/>
    </row>
    <row r="67" spans="3:10" ht="16.5" x14ac:dyDescent="0.3">
      <c r="F67"/>
      <c r="G67"/>
      <c r="H67"/>
      <c r="I67"/>
      <c r="J67"/>
    </row>
    <row r="68" spans="3:10" ht="16.5" x14ac:dyDescent="0.3">
      <c r="F68"/>
      <c r="G68"/>
      <c r="H68"/>
      <c r="I68"/>
      <c r="J68"/>
    </row>
    <row r="69" spans="3:10" ht="16.5" x14ac:dyDescent="0.3">
      <c r="F69"/>
      <c r="G69"/>
      <c r="H69"/>
      <c r="I69"/>
      <c r="J69"/>
    </row>
    <row r="70" spans="3:10" ht="16.5" x14ac:dyDescent="0.3">
      <c r="F70"/>
      <c r="G70"/>
      <c r="H70"/>
      <c r="I70"/>
      <c r="J70"/>
    </row>
    <row r="71" spans="3:10" ht="16.5" x14ac:dyDescent="0.3">
      <c r="F71"/>
      <c r="G71"/>
      <c r="H71"/>
      <c r="I71"/>
      <c r="J71"/>
    </row>
    <row r="72" spans="3:10" ht="16.5" x14ac:dyDescent="0.3">
      <c r="F72"/>
      <c r="G72"/>
      <c r="H72"/>
      <c r="I72"/>
      <c r="J72"/>
    </row>
    <row r="73" spans="3:10" ht="16.5" x14ac:dyDescent="0.3">
      <c r="F73"/>
      <c r="G73"/>
      <c r="H73"/>
      <c r="I73"/>
      <c r="J73"/>
    </row>
    <row r="74" spans="3:10" ht="16.5" x14ac:dyDescent="0.3">
      <c r="F74"/>
      <c r="G74"/>
      <c r="H74"/>
      <c r="I74"/>
      <c r="J74"/>
    </row>
    <row r="75" spans="3:10" ht="16.5" x14ac:dyDescent="0.3">
      <c r="F75"/>
      <c r="G75"/>
      <c r="H75"/>
      <c r="I75"/>
      <c r="J75"/>
    </row>
    <row r="76" spans="3:10" ht="16.5" x14ac:dyDescent="0.3">
      <c r="F76"/>
      <c r="G76"/>
      <c r="H76"/>
      <c r="I76"/>
      <c r="J76"/>
    </row>
    <row r="77" spans="3:10" ht="16.5" x14ac:dyDescent="0.3">
      <c r="F77"/>
      <c r="G77"/>
      <c r="H77"/>
      <c r="I77"/>
      <c r="J77"/>
    </row>
    <row r="78" spans="3:10" ht="16.5" x14ac:dyDescent="0.3">
      <c r="F78"/>
      <c r="G78"/>
      <c r="H78"/>
      <c r="I78"/>
      <c r="J78"/>
    </row>
    <row r="79" spans="3:10" ht="16.5" x14ac:dyDescent="0.3">
      <c r="F79"/>
      <c r="G79"/>
      <c r="H79"/>
      <c r="I79"/>
      <c r="J79"/>
    </row>
    <row r="80" spans="3:10" ht="16.5" x14ac:dyDescent="0.3">
      <c r="F80"/>
      <c r="G80"/>
      <c r="H80"/>
      <c r="I80"/>
      <c r="J80"/>
    </row>
    <row r="81" spans="6:10" ht="16.5" x14ac:dyDescent="0.3">
      <c r="F81"/>
      <c r="G81"/>
      <c r="H81"/>
      <c r="I81"/>
      <c r="J81"/>
    </row>
    <row r="82" spans="6:10" ht="16.5" x14ac:dyDescent="0.3">
      <c r="F82"/>
      <c r="G82"/>
      <c r="H82"/>
      <c r="I82"/>
      <c r="J82"/>
    </row>
    <row r="83" spans="6:10" ht="16.5" x14ac:dyDescent="0.3">
      <c r="F83"/>
      <c r="G83"/>
      <c r="H83"/>
      <c r="I83"/>
      <c r="J83"/>
    </row>
    <row r="84" spans="6:10" ht="16.5" x14ac:dyDescent="0.3">
      <c r="F84"/>
      <c r="G84"/>
      <c r="H84"/>
      <c r="I84"/>
      <c r="J84"/>
    </row>
    <row r="85" spans="6:10" ht="16.5" x14ac:dyDescent="0.3">
      <c r="F85"/>
      <c r="G85"/>
      <c r="H85"/>
      <c r="I85"/>
      <c r="J85"/>
    </row>
    <row r="86" spans="6:10" ht="16.5" x14ac:dyDescent="0.3">
      <c r="F86"/>
      <c r="G86"/>
      <c r="H86"/>
      <c r="I86"/>
      <c r="J86"/>
    </row>
    <row r="87" spans="6:10" ht="16.5" x14ac:dyDescent="0.3">
      <c r="F87"/>
      <c r="G87"/>
      <c r="H87"/>
      <c r="I87"/>
      <c r="J87"/>
    </row>
    <row r="88" spans="6:10" ht="16.5" x14ac:dyDescent="0.3">
      <c r="F88"/>
      <c r="G88"/>
      <c r="H88"/>
      <c r="I88"/>
      <c r="J88"/>
    </row>
    <row r="89" spans="6:10" ht="16.5" x14ac:dyDescent="0.3">
      <c r="F89"/>
      <c r="G89"/>
      <c r="H89"/>
      <c r="I89"/>
      <c r="J89"/>
    </row>
    <row r="90" spans="6:10" ht="16.5" x14ac:dyDescent="0.3">
      <c r="F90"/>
      <c r="G90"/>
      <c r="H90"/>
      <c r="I90"/>
      <c r="J90"/>
    </row>
    <row r="91" spans="6:10" ht="16.5" x14ac:dyDescent="0.3">
      <c r="F91"/>
      <c r="G91"/>
      <c r="H91"/>
      <c r="I91"/>
      <c r="J91"/>
    </row>
    <row r="92" spans="6:10" ht="16.5" x14ac:dyDescent="0.3">
      <c r="F92"/>
      <c r="G92"/>
      <c r="H92"/>
      <c r="I92"/>
      <c r="J92"/>
    </row>
    <row r="93" spans="6:10" ht="16.5" x14ac:dyDescent="0.3">
      <c r="F93"/>
      <c r="G93"/>
      <c r="H93"/>
      <c r="I93"/>
      <c r="J93"/>
    </row>
    <row r="94" spans="6:10" ht="16.5" x14ac:dyDescent="0.3">
      <c r="F94"/>
      <c r="G94"/>
      <c r="H94"/>
      <c r="I94"/>
      <c r="J94"/>
    </row>
    <row r="95" spans="6:10" ht="16.5" x14ac:dyDescent="0.3">
      <c r="F95"/>
      <c r="G95"/>
      <c r="H95"/>
      <c r="I95"/>
      <c r="J95"/>
    </row>
    <row r="96" spans="6:10" ht="16.5" x14ac:dyDescent="0.3">
      <c r="F96"/>
      <c r="G96"/>
      <c r="H96"/>
      <c r="I96"/>
      <c r="J96"/>
    </row>
    <row r="97" spans="6:10" ht="16.5" x14ac:dyDescent="0.3">
      <c r="F97"/>
      <c r="G97"/>
      <c r="H97"/>
      <c r="I97"/>
      <c r="J97"/>
    </row>
    <row r="98" spans="6:10" ht="16.5" x14ac:dyDescent="0.3">
      <c r="F98"/>
      <c r="G98"/>
      <c r="H98"/>
      <c r="I98"/>
      <c r="J98"/>
    </row>
    <row r="99" spans="6:10" ht="16.5" x14ac:dyDescent="0.3">
      <c r="F99"/>
      <c r="G99"/>
      <c r="H99"/>
      <c r="I99"/>
      <c r="J99"/>
    </row>
    <row r="100" spans="6:10" ht="16.5" x14ac:dyDescent="0.3">
      <c r="F100"/>
      <c r="G100"/>
      <c r="H100"/>
      <c r="I100"/>
      <c r="J100"/>
    </row>
    <row r="101" spans="6:10" ht="16.5" x14ac:dyDescent="0.3">
      <c r="F101"/>
      <c r="G101"/>
      <c r="H101"/>
      <c r="I101"/>
      <c r="J101"/>
    </row>
    <row r="102" spans="6:10" ht="16.5" x14ac:dyDescent="0.3">
      <c r="F102"/>
      <c r="G102"/>
      <c r="H102"/>
      <c r="I102"/>
      <c r="J102"/>
    </row>
    <row r="103" spans="6:10" ht="16.5" x14ac:dyDescent="0.3">
      <c r="F103"/>
      <c r="G103"/>
      <c r="H103"/>
      <c r="I103"/>
      <c r="J103"/>
    </row>
    <row r="104" spans="6:10" ht="16.5" x14ac:dyDescent="0.3">
      <c r="F104"/>
      <c r="G104"/>
      <c r="H104"/>
      <c r="I104"/>
      <c r="J104"/>
    </row>
    <row r="105" spans="6:10" ht="16.5" x14ac:dyDescent="0.3">
      <c r="F105"/>
      <c r="G105"/>
      <c r="H105"/>
      <c r="I105"/>
      <c r="J105"/>
    </row>
    <row r="106" spans="6:10" ht="16.5" x14ac:dyDescent="0.3">
      <c r="F106"/>
      <c r="G106"/>
      <c r="H106"/>
      <c r="I106"/>
      <c r="J106"/>
    </row>
    <row r="107" spans="6:10" ht="16.5" x14ac:dyDescent="0.3">
      <c r="F107"/>
      <c r="G107"/>
      <c r="H107"/>
      <c r="I107"/>
      <c r="J107"/>
    </row>
    <row r="108" spans="6:10" ht="16.5" x14ac:dyDescent="0.3">
      <c r="F108"/>
      <c r="G108"/>
      <c r="H108"/>
      <c r="I108"/>
      <c r="J108"/>
    </row>
    <row r="109" spans="6:10" ht="16.5" x14ac:dyDescent="0.3">
      <c r="F109"/>
      <c r="G109"/>
      <c r="H109"/>
      <c r="I109"/>
      <c r="J109"/>
    </row>
    <row r="110" spans="6:10" ht="16.5" x14ac:dyDescent="0.3">
      <c r="F110"/>
      <c r="G110"/>
      <c r="H110"/>
      <c r="I110"/>
      <c r="J110"/>
    </row>
    <row r="111" spans="6:10" ht="16.5" x14ac:dyDescent="0.3">
      <c r="F111"/>
      <c r="G111"/>
      <c r="H111"/>
      <c r="I111"/>
      <c r="J111"/>
    </row>
    <row r="112" spans="6:10" ht="16.5" x14ac:dyDescent="0.3">
      <c r="F112"/>
      <c r="G112"/>
      <c r="H112"/>
      <c r="I112"/>
      <c r="J112"/>
    </row>
    <row r="113" spans="6:10" ht="16.5" x14ac:dyDescent="0.3">
      <c r="F113"/>
      <c r="G113"/>
      <c r="H113"/>
      <c r="I113"/>
      <c r="J113"/>
    </row>
    <row r="114" spans="6:10" ht="16.5" x14ac:dyDescent="0.3">
      <c r="F114"/>
      <c r="G114"/>
      <c r="H114"/>
      <c r="I114"/>
      <c r="J114"/>
    </row>
    <row r="115" spans="6:10" ht="16.5" x14ac:dyDescent="0.3">
      <c r="F115"/>
      <c r="G115"/>
      <c r="H115"/>
      <c r="I115"/>
      <c r="J115"/>
    </row>
    <row r="116" spans="6:10" ht="16.5" x14ac:dyDescent="0.3">
      <c r="F116"/>
      <c r="G116"/>
      <c r="H116"/>
      <c r="I116"/>
      <c r="J116"/>
    </row>
    <row r="117" spans="6:10" ht="16.5" x14ac:dyDescent="0.3">
      <c r="F117"/>
      <c r="G117"/>
      <c r="H117"/>
      <c r="I117"/>
      <c r="J117"/>
    </row>
    <row r="118" spans="6:10" ht="16.5" x14ac:dyDescent="0.3">
      <c r="F118"/>
      <c r="G118"/>
      <c r="H118"/>
      <c r="I118"/>
      <c r="J118"/>
    </row>
    <row r="119" spans="6:10" ht="16.5" x14ac:dyDescent="0.3">
      <c r="F119"/>
      <c r="G119"/>
      <c r="H119"/>
      <c r="I119"/>
      <c r="J119"/>
    </row>
    <row r="120" spans="6:10" ht="16.5" x14ac:dyDescent="0.3">
      <c r="F120"/>
      <c r="G120"/>
      <c r="H120"/>
      <c r="I120"/>
      <c r="J120"/>
    </row>
    <row r="121" spans="6:10" ht="16.5" x14ac:dyDescent="0.3">
      <c r="F121"/>
      <c r="G121"/>
      <c r="H121"/>
      <c r="I121"/>
      <c r="J121"/>
    </row>
    <row r="122" spans="6:10" ht="16.5" x14ac:dyDescent="0.3">
      <c r="F122"/>
      <c r="G122"/>
      <c r="H122"/>
      <c r="I122"/>
      <c r="J122"/>
    </row>
    <row r="123" spans="6:10" ht="16.5" x14ac:dyDescent="0.3">
      <c r="F123"/>
      <c r="G123"/>
      <c r="H123"/>
      <c r="I123"/>
      <c r="J123"/>
    </row>
    <row r="124" spans="6:10" ht="16.5" x14ac:dyDescent="0.3">
      <c r="F124"/>
      <c r="G124"/>
      <c r="H124"/>
      <c r="I124"/>
      <c r="J124"/>
    </row>
    <row r="125" spans="6:10" ht="16.5" x14ac:dyDescent="0.3">
      <c r="F125"/>
      <c r="G125"/>
      <c r="H125"/>
      <c r="I125"/>
      <c r="J125"/>
    </row>
    <row r="126" spans="6:10" ht="16.5" x14ac:dyDescent="0.3">
      <c r="F126"/>
      <c r="G126"/>
      <c r="H126"/>
      <c r="I126"/>
      <c r="J126"/>
    </row>
    <row r="127" spans="6:10" ht="16.5" x14ac:dyDescent="0.3">
      <c r="F127"/>
      <c r="G127"/>
      <c r="H127"/>
      <c r="I127"/>
      <c r="J127"/>
    </row>
    <row r="128" spans="6:10" ht="16.5" x14ac:dyDescent="0.3">
      <c r="F128"/>
      <c r="G128"/>
      <c r="H128"/>
      <c r="I128"/>
      <c r="J128"/>
    </row>
    <row r="129" spans="6:10" ht="16.5" x14ac:dyDescent="0.3">
      <c r="F129"/>
      <c r="G129"/>
      <c r="H129"/>
      <c r="I129"/>
      <c r="J129"/>
    </row>
    <row r="130" spans="6:10" ht="16.5" x14ac:dyDescent="0.3">
      <c r="F130"/>
      <c r="G130"/>
      <c r="H130"/>
      <c r="I130"/>
      <c r="J130"/>
    </row>
    <row r="131" spans="6:10" ht="16.5" x14ac:dyDescent="0.3">
      <c r="F131"/>
      <c r="G131"/>
      <c r="H131"/>
      <c r="I131"/>
      <c r="J131"/>
    </row>
    <row r="132" spans="6:10" ht="16.5" x14ac:dyDescent="0.3">
      <c r="F132"/>
      <c r="G132"/>
      <c r="H132"/>
      <c r="I132"/>
      <c r="J132"/>
    </row>
    <row r="133" spans="6:10" ht="16.5" x14ac:dyDescent="0.3">
      <c r="F133"/>
      <c r="G133"/>
      <c r="H133"/>
      <c r="I133"/>
      <c r="J133"/>
    </row>
    <row r="134" spans="6:10" ht="16.5" x14ac:dyDescent="0.3">
      <c r="F134"/>
      <c r="G134"/>
      <c r="H134"/>
      <c r="I134"/>
      <c r="J134"/>
    </row>
    <row r="135" spans="6:10" ht="16.5" x14ac:dyDescent="0.3">
      <c r="F135"/>
      <c r="G135"/>
      <c r="H135"/>
      <c r="I135"/>
      <c r="J135"/>
    </row>
    <row r="136" spans="6:10" ht="16.5" x14ac:dyDescent="0.3">
      <c r="F136"/>
      <c r="G136"/>
      <c r="H136"/>
      <c r="I136"/>
      <c r="J136"/>
    </row>
    <row r="137" spans="6:10" ht="16.5" x14ac:dyDescent="0.3">
      <c r="F137"/>
      <c r="G137"/>
      <c r="H137"/>
      <c r="I137"/>
      <c r="J137"/>
    </row>
    <row r="138" spans="6:10" ht="16.5" x14ac:dyDescent="0.3">
      <c r="F138"/>
      <c r="G138"/>
      <c r="H138"/>
      <c r="I138"/>
      <c r="J138"/>
    </row>
    <row r="139" spans="6:10" ht="16.5" x14ac:dyDescent="0.3">
      <c r="F139"/>
      <c r="G139"/>
      <c r="H139"/>
      <c r="I139"/>
      <c r="J139"/>
    </row>
    <row r="140" spans="6:10" ht="16.5" x14ac:dyDescent="0.3">
      <c r="F140"/>
      <c r="G140"/>
      <c r="H140"/>
      <c r="I140"/>
      <c r="J140"/>
    </row>
    <row r="141" spans="6:10" ht="16.5" x14ac:dyDescent="0.3">
      <c r="F141"/>
      <c r="G141"/>
      <c r="H141"/>
      <c r="I141"/>
      <c r="J141"/>
    </row>
    <row r="142" spans="6:10" ht="16.5" x14ac:dyDescent="0.3">
      <c r="F142"/>
      <c r="G142"/>
      <c r="H142"/>
      <c r="I142"/>
      <c r="J142"/>
    </row>
    <row r="143" spans="6:10" ht="16.5" x14ac:dyDescent="0.3">
      <c r="F143"/>
      <c r="G143"/>
      <c r="H143"/>
      <c r="I143"/>
      <c r="J143"/>
    </row>
    <row r="144" spans="6:10" ht="16.5" x14ac:dyDescent="0.3">
      <c r="F144"/>
      <c r="G144"/>
      <c r="H144"/>
      <c r="I144"/>
      <c r="J144"/>
    </row>
    <row r="145" spans="6:10" ht="16.5" x14ac:dyDescent="0.3">
      <c r="F145"/>
      <c r="G145"/>
      <c r="H145"/>
      <c r="I145"/>
      <c r="J145"/>
    </row>
    <row r="146" spans="6:10" ht="16.5" x14ac:dyDescent="0.3">
      <c r="F146"/>
      <c r="G146"/>
      <c r="H146"/>
      <c r="I146"/>
      <c r="J146"/>
    </row>
    <row r="147" spans="6:10" ht="16.5" x14ac:dyDescent="0.3">
      <c r="F147"/>
      <c r="G147"/>
      <c r="H147"/>
      <c r="I147"/>
      <c r="J147"/>
    </row>
    <row r="148" spans="6:10" ht="16.5" x14ac:dyDescent="0.3">
      <c r="F148"/>
      <c r="G148"/>
      <c r="H148"/>
      <c r="I148"/>
      <c r="J148"/>
    </row>
    <row r="149" spans="6:10" ht="16.5" x14ac:dyDescent="0.3">
      <c r="F149"/>
      <c r="G149"/>
      <c r="H149"/>
      <c r="I149"/>
      <c r="J149"/>
    </row>
    <row r="150" spans="6:10" ht="16.5" x14ac:dyDescent="0.3">
      <c r="F150"/>
      <c r="G150"/>
      <c r="H150"/>
      <c r="I150"/>
      <c r="J150"/>
    </row>
    <row r="151" spans="6:10" ht="16.5" x14ac:dyDescent="0.3">
      <c r="F151"/>
      <c r="G151"/>
      <c r="H151"/>
      <c r="I151"/>
      <c r="J151"/>
    </row>
    <row r="152" spans="6:10" ht="16.5" x14ac:dyDescent="0.3">
      <c r="F152"/>
      <c r="G152"/>
      <c r="H152"/>
      <c r="I152"/>
      <c r="J152"/>
    </row>
    <row r="153" spans="6:10" ht="16.5" x14ac:dyDescent="0.3">
      <c r="F153"/>
      <c r="G153"/>
      <c r="H153"/>
      <c r="I153"/>
      <c r="J153"/>
    </row>
    <row r="154" spans="6:10" ht="16.5" x14ac:dyDescent="0.3">
      <c r="F154"/>
      <c r="G154"/>
      <c r="H154"/>
      <c r="I154"/>
      <c r="J154"/>
    </row>
    <row r="155" spans="6:10" ht="16.5" x14ac:dyDescent="0.3">
      <c r="F155"/>
      <c r="G155"/>
      <c r="H155"/>
      <c r="I155"/>
      <c r="J155"/>
    </row>
    <row r="156" spans="6:10" ht="16.5" x14ac:dyDescent="0.3">
      <c r="F156"/>
      <c r="G156"/>
      <c r="H156"/>
      <c r="I156"/>
      <c r="J156"/>
    </row>
    <row r="157" spans="6:10" ht="16.5" x14ac:dyDescent="0.3">
      <c r="F157"/>
      <c r="G157"/>
      <c r="H157"/>
      <c r="I157"/>
      <c r="J157"/>
    </row>
    <row r="158" spans="6:10" ht="16.5" x14ac:dyDescent="0.3">
      <c r="F158"/>
      <c r="G158"/>
      <c r="H158"/>
      <c r="I158"/>
      <c r="J158"/>
    </row>
    <row r="159" spans="6:10" ht="16.5" x14ac:dyDescent="0.3">
      <c r="F159"/>
      <c r="G159"/>
      <c r="H159"/>
      <c r="I159"/>
      <c r="J159"/>
    </row>
    <row r="160" spans="6:10" ht="16.5" x14ac:dyDescent="0.3">
      <c r="F160"/>
      <c r="G160"/>
      <c r="H160"/>
      <c r="I160"/>
      <c r="J160"/>
    </row>
    <row r="161" spans="6:10" ht="16.5" x14ac:dyDescent="0.3">
      <c r="F161"/>
      <c r="G161"/>
      <c r="H161"/>
      <c r="I161"/>
      <c r="J161"/>
    </row>
    <row r="162" spans="6:10" ht="16.5" x14ac:dyDescent="0.3">
      <c r="F162"/>
      <c r="G162"/>
      <c r="H162"/>
      <c r="I162"/>
      <c r="J162"/>
    </row>
    <row r="163" spans="6:10" ht="16.5" x14ac:dyDescent="0.3">
      <c r="F163"/>
      <c r="G163"/>
      <c r="H163"/>
      <c r="I163"/>
      <c r="J163"/>
    </row>
    <row r="164" spans="6:10" ht="16.5" x14ac:dyDescent="0.3">
      <c r="F164"/>
      <c r="G164"/>
      <c r="H164"/>
      <c r="I164"/>
      <c r="J164"/>
    </row>
    <row r="165" spans="6:10" ht="16.5" x14ac:dyDescent="0.3">
      <c r="F165"/>
      <c r="G165"/>
      <c r="H165"/>
      <c r="I165"/>
      <c r="J165"/>
    </row>
    <row r="166" spans="6:10" ht="16.5" x14ac:dyDescent="0.3">
      <c r="F166"/>
      <c r="G166"/>
      <c r="H166"/>
      <c r="I166"/>
      <c r="J166"/>
    </row>
    <row r="167" spans="6:10" ht="16.5" x14ac:dyDescent="0.3">
      <c r="F167"/>
      <c r="G167"/>
      <c r="H167"/>
      <c r="I167"/>
      <c r="J167"/>
    </row>
    <row r="168" spans="6:10" ht="16.5" x14ac:dyDescent="0.3">
      <c r="F168"/>
      <c r="G168"/>
      <c r="H168"/>
      <c r="I168"/>
      <c r="J168"/>
    </row>
    <row r="169" spans="6:10" ht="16.5" x14ac:dyDescent="0.3">
      <c r="F169"/>
      <c r="G169"/>
      <c r="H169"/>
      <c r="I169"/>
      <c r="J169"/>
    </row>
    <row r="170" spans="6:10" ht="16.5" x14ac:dyDescent="0.3">
      <c r="F170"/>
      <c r="G170"/>
      <c r="H170"/>
      <c r="I170"/>
      <c r="J170"/>
    </row>
    <row r="171" spans="6:10" ht="16.5" x14ac:dyDescent="0.3">
      <c r="F171"/>
      <c r="G171"/>
      <c r="H171"/>
      <c r="I171"/>
      <c r="J171"/>
    </row>
    <row r="172" spans="6:10" ht="16.5" x14ac:dyDescent="0.3">
      <c r="F172"/>
      <c r="G172"/>
      <c r="H172"/>
      <c r="I172"/>
      <c r="J172"/>
    </row>
    <row r="173" spans="6:10" ht="16.5" x14ac:dyDescent="0.3">
      <c r="F173"/>
      <c r="G173"/>
      <c r="H173"/>
      <c r="I173"/>
      <c r="J173"/>
    </row>
    <row r="174" spans="6:10" ht="16.5" x14ac:dyDescent="0.3">
      <c r="F174"/>
      <c r="G174"/>
      <c r="H174"/>
      <c r="I174"/>
      <c r="J174"/>
    </row>
    <row r="175" spans="6:10" ht="16.5" x14ac:dyDescent="0.3">
      <c r="F175"/>
      <c r="G175"/>
      <c r="H175"/>
      <c r="I175"/>
      <c r="J175"/>
    </row>
    <row r="176" spans="6:10" ht="16.5" x14ac:dyDescent="0.3">
      <c r="F176"/>
      <c r="G176"/>
      <c r="H176"/>
      <c r="I176"/>
      <c r="J176"/>
    </row>
    <row r="177" spans="6:10" ht="16.5" x14ac:dyDescent="0.3">
      <c r="F177"/>
      <c r="G177"/>
      <c r="H177"/>
      <c r="I177"/>
      <c r="J177"/>
    </row>
    <row r="178" spans="6:10" ht="16.5" x14ac:dyDescent="0.3">
      <c r="F178"/>
      <c r="G178"/>
      <c r="H178"/>
      <c r="I178"/>
      <c r="J178"/>
    </row>
    <row r="179" spans="6:10" ht="16.5" x14ac:dyDescent="0.3">
      <c r="F179"/>
      <c r="G179"/>
      <c r="H179"/>
      <c r="I179"/>
      <c r="J179"/>
    </row>
    <row r="180" spans="6:10" ht="16.5" x14ac:dyDescent="0.3">
      <c r="F180"/>
      <c r="G180"/>
      <c r="H180"/>
      <c r="I180"/>
      <c r="J180"/>
    </row>
    <row r="181" spans="6:10" ht="16.5" x14ac:dyDescent="0.3">
      <c r="F181"/>
      <c r="G181"/>
      <c r="H181"/>
      <c r="I181"/>
      <c r="J181"/>
    </row>
    <row r="182" spans="6:10" ht="16.5" x14ac:dyDescent="0.3">
      <c r="F182"/>
      <c r="G182"/>
      <c r="H182"/>
      <c r="I182"/>
      <c r="J182"/>
    </row>
    <row r="183" spans="6:10" ht="16.5" x14ac:dyDescent="0.3">
      <c r="F183"/>
      <c r="G183"/>
      <c r="H183"/>
      <c r="I183"/>
      <c r="J183"/>
    </row>
    <row r="184" spans="6:10" ht="16.5" x14ac:dyDescent="0.3">
      <c r="F184"/>
      <c r="G184"/>
      <c r="H184"/>
      <c r="I184"/>
      <c r="J184"/>
    </row>
    <row r="185" spans="6:10" ht="16.5" x14ac:dyDescent="0.3">
      <c r="F185"/>
      <c r="G185"/>
      <c r="H185"/>
      <c r="I185"/>
      <c r="J185"/>
    </row>
    <row r="186" spans="6:10" ht="16.5" x14ac:dyDescent="0.3">
      <c r="F186"/>
      <c r="G186"/>
      <c r="H186"/>
      <c r="I186"/>
      <c r="J186"/>
    </row>
    <row r="187" spans="6:10" ht="16.5" x14ac:dyDescent="0.3">
      <c r="F187"/>
      <c r="G187"/>
      <c r="H187"/>
      <c r="I187"/>
      <c r="J187"/>
    </row>
    <row r="188" spans="6:10" ht="16.5" x14ac:dyDescent="0.3">
      <c r="F188"/>
      <c r="G188"/>
      <c r="H188"/>
      <c r="I188"/>
      <c r="J188"/>
    </row>
    <row r="189" spans="6:10" ht="16.5" x14ac:dyDescent="0.3">
      <c r="F189"/>
      <c r="G189"/>
      <c r="H189"/>
      <c r="I189"/>
      <c r="J189"/>
    </row>
    <row r="190" spans="6:10" ht="16.5" x14ac:dyDescent="0.3">
      <c r="F190"/>
      <c r="G190"/>
      <c r="H190"/>
      <c r="I190"/>
      <c r="J190"/>
    </row>
    <row r="191" spans="6:10" ht="16.5" x14ac:dyDescent="0.3">
      <c r="F191"/>
      <c r="G191"/>
      <c r="H191"/>
      <c r="I191"/>
      <c r="J191"/>
    </row>
    <row r="192" spans="6:10" ht="16.5" x14ac:dyDescent="0.3">
      <c r="F192"/>
      <c r="G192"/>
      <c r="H192"/>
      <c r="I192"/>
      <c r="J192"/>
    </row>
    <row r="193" spans="6:10" ht="16.5" x14ac:dyDescent="0.3">
      <c r="F193"/>
      <c r="G193"/>
      <c r="H193"/>
      <c r="I193"/>
      <c r="J193"/>
    </row>
    <row r="194" spans="6:10" ht="16.5" x14ac:dyDescent="0.3">
      <c r="F194"/>
      <c r="G194"/>
      <c r="H194"/>
      <c r="I194"/>
      <c r="J194"/>
    </row>
    <row r="195" spans="6:10" ht="16.5" x14ac:dyDescent="0.3">
      <c r="F195"/>
      <c r="G195"/>
      <c r="H195"/>
      <c r="I195"/>
      <c r="J195"/>
    </row>
    <row r="196" spans="6:10" ht="16.5" x14ac:dyDescent="0.3">
      <c r="F196"/>
      <c r="G196"/>
      <c r="H196"/>
      <c r="I196"/>
      <c r="J196"/>
    </row>
    <row r="197" spans="6:10" ht="16.5" x14ac:dyDescent="0.3">
      <c r="F197"/>
      <c r="G197"/>
      <c r="H197"/>
      <c r="I197"/>
      <c r="J197"/>
    </row>
    <row r="198" spans="6:10" ht="16.5" x14ac:dyDescent="0.3">
      <c r="F198"/>
      <c r="G198"/>
      <c r="H198"/>
      <c r="I198"/>
      <c r="J198"/>
    </row>
    <row r="199" spans="6:10" ht="16.5" x14ac:dyDescent="0.3">
      <c r="F199"/>
      <c r="G199"/>
      <c r="H199"/>
      <c r="I199"/>
      <c r="J199"/>
    </row>
    <row r="200" spans="6:10" ht="16.5" x14ac:dyDescent="0.3">
      <c r="F200"/>
      <c r="G200"/>
      <c r="H200"/>
      <c r="I200"/>
      <c r="J200"/>
    </row>
  </sheetData>
  <mergeCells count="3">
    <mergeCell ref="C1:U1"/>
    <mergeCell ref="C2:U2"/>
    <mergeCell ref="F4:V4"/>
  </mergeCells>
  <hyperlinks>
    <hyperlink ref="A6" location="Home!A1" display="Home" xr:uid="{00000000-0004-0000-1200-000000000000}"/>
    <hyperlink ref="A8" location="Setup!A1" display="Model set up" xr:uid="{00000000-0004-0000-1200-000001000000}"/>
    <hyperlink ref="A10" location="Population!A1" display="Population" xr:uid="{00000000-0004-0000-1200-000002000000}"/>
  </hyperlinks>
  <pageMargins left="0.7" right="0.7" top="0.75" bottom="0.75" header="0.3" footer="0.3"/>
  <pageSetup paperSize="9" orientation="portrait" horizontalDpi="4294967293" verticalDpi="300"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B6E0D883-B2B7-4421-90BA-F0A2E5B8D255}">
            <xm:f>NOT(ISERROR(SEARCH($C$4,A6)))</xm:f>
            <xm:f>$C$4</xm:f>
            <x14:dxf>
              <font>
                <b val="0"/>
                <i val="0"/>
                <strike val="0"/>
                <color theme="0"/>
              </font>
              <fill>
                <patternFill>
                  <bgColor theme="5"/>
                </patternFill>
              </fill>
            </x14:dxf>
          </x14:cfRule>
          <xm:sqref>A6:A11 A17:A41</xm:sqref>
        </x14:conditionalFormatting>
        <x14:conditionalFormatting xmlns:xm="http://schemas.microsoft.com/office/excel/2006/main">
          <x14:cfRule type="containsText" priority="1" operator="containsText" id="{45F72D71-5C7A-47F0-8977-3AE2ED1BBD9E}">
            <xm:f>NOT(ISERROR(SEARCH($C$4,A12)))</xm:f>
            <xm:f>$C$4</xm:f>
            <x14:dxf>
              <font>
                <b val="0"/>
                <i val="0"/>
                <strike val="0"/>
                <color theme="0"/>
              </font>
              <fill>
                <patternFill>
                  <bgColor theme="5"/>
                </patternFill>
              </fill>
            </x14:dxf>
          </x14:cfRule>
          <xm:sqref>A12:A16</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tabColor rgb="FFC00000"/>
  </sheetPr>
  <dimension ref="B3:Q106"/>
  <sheetViews>
    <sheetView workbookViewId="0">
      <selection activeCell="P38" sqref="P38"/>
    </sheetView>
  </sheetViews>
  <sheetFormatPr defaultRowHeight="16.5" x14ac:dyDescent="0.3"/>
  <cols>
    <col min="3" max="3" width="9.875" bestFit="1" customWidth="1"/>
    <col min="9" max="9" width="9.875" bestFit="1" customWidth="1"/>
    <col min="14" max="14" width="12" bestFit="1" customWidth="1"/>
    <col min="15" max="15" width="15.375" bestFit="1" customWidth="1"/>
    <col min="16" max="16" width="9.125" bestFit="1" customWidth="1"/>
  </cols>
  <sheetData>
    <row r="3" spans="2:17" x14ac:dyDescent="0.3">
      <c r="B3" s="150" t="s">
        <v>293</v>
      </c>
      <c r="C3" s="151"/>
      <c r="D3" s="151"/>
      <c r="E3" s="151"/>
      <c r="F3" s="151"/>
      <c r="G3" s="151"/>
      <c r="H3" s="151"/>
      <c r="I3" s="150" t="s">
        <v>294</v>
      </c>
      <c r="J3" s="151"/>
      <c r="K3" s="151"/>
      <c r="L3" s="151"/>
      <c r="M3" s="151"/>
      <c r="N3" s="151"/>
      <c r="O3" s="151"/>
      <c r="P3" s="1"/>
    </row>
    <row r="4" spans="2:17" x14ac:dyDescent="0.3">
      <c r="B4" s="49" t="s">
        <v>21</v>
      </c>
      <c r="C4" s="152" t="s">
        <v>295</v>
      </c>
      <c r="D4" s="152"/>
      <c r="E4" s="152"/>
      <c r="F4" s="152"/>
      <c r="G4" s="152"/>
      <c r="H4" s="50"/>
      <c r="I4" s="152" t="s">
        <v>296</v>
      </c>
      <c r="J4" s="152"/>
      <c r="K4" s="152"/>
      <c r="L4" s="152"/>
      <c r="M4" s="152"/>
      <c r="N4" s="1"/>
      <c r="O4" s="1"/>
      <c r="P4" s="1"/>
    </row>
    <row r="5" spans="2:17" ht="18.75" x14ac:dyDescent="0.3">
      <c r="B5" s="51" t="s">
        <v>297</v>
      </c>
      <c r="C5" s="52" t="s">
        <v>298</v>
      </c>
      <c r="D5" s="52"/>
      <c r="E5" s="53"/>
      <c r="F5" s="53"/>
      <c r="G5" s="53"/>
      <c r="H5" s="54"/>
      <c r="I5" s="52" t="s">
        <v>298</v>
      </c>
      <c r="J5" s="52"/>
      <c r="K5" s="53"/>
      <c r="L5" s="53"/>
      <c r="M5" s="53"/>
      <c r="N5" s="1"/>
      <c r="P5" s="1" t="s">
        <v>300</v>
      </c>
      <c r="Q5" t="s">
        <v>301</v>
      </c>
    </row>
    <row r="6" spans="2:17" x14ac:dyDescent="0.3">
      <c r="B6" s="55">
        <v>0</v>
      </c>
      <c r="C6" s="56">
        <v>6.4993598498404026E-3</v>
      </c>
      <c r="D6" s="57"/>
      <c r="E6" s="58"/>
      <c r="F6" s="58"/>
      <c r="G6" s="59"/>
      <c r="H6" s="60"/>
      <c r="I6" s="56">
        <v>5.43211679905653E-3</v>
      </c>
      <c r="J6" s="61"/>
      <c r="K6" s="62"/>
      <c r="L6" s="62"/>
      <c r="M6" s="63"/>
      <c r="N6" s="1" t="s">
        <v>21</v>
      </c>
      <c r="O6" s="16">
        <f>MAX(0,MIN(100,ROUND(i_Pop_Age,0)))</f>
        <v>73</v>
      </c>
      <c r="P6" s="16">
        <f ca="1">((OFFSET($C$6,$O$6,0)*((100-i_Pop_Gend)/100))+(OFFSET($I$6,$O$6,0)*(i_Pop_Gend/100)))</f>
        <v>2.7192317306995395E-2</v>
      </c>
      <c r="Q6" s="16">
        <v>1</v>
      </c>
    </row>
    <row r="7" spans="2:17" x14ac:dyDescent="0.3">
      <c r="B7" s="55">
        <v>1</v>
      </c>
      <c r="C7" s="56">
        <v>4.4322083704173565E-4</v>
      </c>
      <c r="D7" s="57"/>
      <c r="E7" s="58"/>
      <c r="F7" s="58"/>
      <c r="G7" s="59"/>
      <c r="H7" s="60"/>
      <c r="I7" s="56">
        <v>3.7408433854579926E-4</v>
      </c>
      <c r="J7" s="61"/>
      <c r="K7" s="62"/>
      <c r="L7" s="62"/>
      <c r="M7" s="1" t="s">
        <v>15</v>
      </c>
      <c r="N7">
        <v>1</v>
      </c>
      <c r="O7" s="16">
        <f t="shared" ref="O7:O15" si="0">IF(i_Set_Time&gt;=N7,1,0)</f>
        <v>1</v>
      </c>
      <c r="P7" s="16">
        <f ca="1">((OFFSET($C$6,$O$6+SUM($O$7:O7),0)*((100-i_Pop_Gend)/100))+(OFFSET($I$6,$O$6+SUM($O$7:O7),0)*(i_Pop_Gend/100)))*O7</f>
        <v>2.9693179976195097E-2</v>
      </c>
      <c r="Q7" s="16">
        <f ca="1">(Q6*(1-P7))*O7</f>
        <v>0.97030682002380486</v>
      </c>
    </row>
    <row r="8" spans="2:17" x14ac:dyDescent="0.3">
      <c r="B8" s="55">
        <v>2</v>
      </c>
      <c r="C8" s="56">
        <v>3.0340463854372501E-4</v>
      </c>
      <c r="D8" s="57"/>
      <c r="E8" s="58"/>
      <c r="F8" s="58"/>
      <c r="G8" s="59"/>
      <c r="H8" s="60"/>
      <c r="I8" s="56">
        <v>2.3431201407220215E-4</v>
      </c>
      <c r="J8" s="61"/>
      <c r="K8" s="62"/>
      <c r="L8" s="62"/>
      <c r="M8" s="63"/>
      <c r="N8">
        <v>2</v>
      </c>
      <c r="O8" s="16">
        <f t="shared" si="0"/>
        <v>0</v>
      </c>
      <c r="P8" s="16">
        <f ca="1">((OFFSET($C$6,$O$6+SUM($O$7:O8),0)*((100-i_Pop_Gend)/100))+(OFFSET($I$6,$O$6+SUM($O$7:O8),0)*(i_Pop_Gend/100)))*O8</f>
        <v>0</v>
      </c>
      <c r="Q8" s="16">
        <f t="shared" ref="Q8:Q15" ca="1" si="1">(Q7*(1-P8))*O8</f>
        <v>0</v>
      </c>
    </row>
    <row r="9" spans="2:17" x14ac:dyDescent="0.3">
      <c r="B9" s="55">
        <v>3</v>
      </c>
      <c r="C9" s="56">
        <v>2.2418664593715221E-4</v>
      </c>
      <c r="D9" s="57"/>
      <c r="E9" s="58"/>
      <c r="F9" s="58"/>
      <c r="G9" s="59"/>
      <c r="H9" s="60"/>
      <c r="I9" s="56">
        <v>1.8201202328782529E-4</v>
      </c>
      <c r="J9" s="61"/>
      <c r="K9" s="62"/>
      <c r="L9" s="62"/>
      <c r="M9" s="63"/>
      <c r="N9" s="1">
        <v>3</v>
      </c>
      <c r="O9" s="16">
        <f t="shared" si="0"/>
        <v>0</v>
      </c>
      <c r="P9" s="16">
        <f ca="1">((OFFSET($C$6,$O$6+SUM($O$7:O9),0)*((100-i_Pop_Gend)/100))+(OFFSET($I$6,$O$6+SUM($O$7:O9),0)*(i_Pop_Gend/100)))*O9</f>
        <v>0</v>
      </c>
      <c r="Q9" s="16">
        <f t="shared" ca="1" si="1"/>
        <v>0</v>
      </c>
    </row>
    <row r="10" spans="2:17" x14ac:dyDescent="0.3">
      <c r="B10" s="55">
        <v>4</v>
      </c>
      <c r="C10" s="56">
        <v>2.0014467008877546E-4</v>
      </c>
      <c r="D10" s="57"/>
      <c r="E10" s="58"/>
      <c r="F10" s="58"/>
      <c r="G10" s="59"/>
      <c r="H10" s="60"/>
      <c r="I10" s="56">
        <v>1.4013845066074282E-4</v>
      </c>
      <c r="J10" s="61"/>
      <c r="K10" s="62"/>
      <c r="L10" s="62"/>
      <c r="M10" s="63"/>
      <c r="N10" s="1">
        <v>4</v>
      </c>
      <c r="O10" s="16">
        <f t="shared" si="0"/>
        <v>0</v>
      </c>
      <c r="P10" s="16">
        <f ca="1">((OFFSET($C$6,$O$6+SUM($O$7:O10),0)*((100-i_Pop_Gend)/100))+(OFFSET($I$6,$O$6+SUM($O$7:O10),0)*(i_Pop_Gend/100)))*O10</f>
        <v>0</v>
      </c>
      <c r="Q10" s="16">
        <f t="shared" ca="1" si="1"/>
        <v>0</v>
      </c>
    </row>
    <row r="11" spans="2:17" x14ac:dyDescent="0.3">
      <c r="B11" s="55">
        <v>5</v>
      </c>
      <c r="C11" s="56">
        <v>1.647240569582209E-4</v>
      </c>
      <c r="D11" s="57"/>
      <c r="E11" s="58"/>
      <c r="F11" s="58"/>
      <c r="G11" s="59"/>
      <c r="H11" s="60"/>
      <c r="I11" s="56">
        <v>1.2689716822933406E-4</v>
      </c>
      <c r="J11" s="61"/>
      <c r="K11" s="62"/>
      <c r="L11" s="62"/>
      <c r="M11" s="63"/>
      <c r="N11" s="1">
        <v>5</v>
      </c>
      <c r="O11" s="16">
        <f t="shared" si="0"/>
        <v>0</v>
      </c>
      <c r="P11" s="16">
        <f ca="1">((OFFSET($C$6,$O$6+SUM($O$7:O11),0)*((100-i_Pop_Gend)/100))+(OFFSET($I$6,$O$6+SUM($O$7:O11),0)*(i_Pop_Gend/100)))*O11</f>
        <v>0</v>
      </c>
      <c r="Q11" s="16">
        <f t="shared" ca="1" si="1"/>
        <v>0</v>
      </c>
    </row>
    <row r="12" spans="2:17" x14ac:dyDescent="0.3">
      <c r="B12" s="55">
        <v>6</v>
      </c>
      <c r="C12" s="56">
        <v>1.4357430336531252E-4</v>
      </c>
      <c r="D12" s="57"/>
      <c r="E12" s="58"/>
      <c r="F12" s="58"/>
      <c r="G12" s="59"/>
      <c r="H12" s="60"/>
      <c r="I12" s="56">
        <v>1.0973026655847207E-4</v>
      </c>
      <c r="J12" s="61"/>
      <c r="K12" s="62"/>
      <c r="L12" s="62"/>
      <c r="M12" s="63"/>
      <c r="N12" s="1">
        <v>6</v>
      </c>
      <c r="O12" s="16">
        <f t="shared" si="0"/>
        <v>0</v>
      </c>
      <c r="P12" s="16">
        <f ca="1">((OFFSET($C$6,$O$6+SUM($O$7:O12),0)*((100-i_Pop_Gend)/100))+(OFFSET($I$6,$O$6+SUM($O$7:O12),0)*(i_Pop_Gend/100)))*O12</f>
        <v>0</v>
      </c>
      <c r="Q12" s="16">
        <f t="shared" ca="1" si="1"/>
        <v>0</v>
      </c>
    </row>
    <row r="13" spans="2:17" x14ac:dyDescent="0.3">
      <c r="B13" s="55">
        <v>7</v>
      </c>
      <c r="C13" s="56">
        <v>1.2547687219921499E-4</v>
      </c>
      <c r="D13" s="57"/>
      <c r="E13" s="58"/>
      <c r="F13" s="58"/>
      <c r="G13" s="59"/>
      <c r="H13" s="60"/>
      <c r="I13" s="56">
        <v>9.7386102424934506E-5</v>
      </c>
      <c r="J13" s="61"/>
      <c r="K13" s="62"/>
      <c r="L13" s="62"/>
      <c r="M13" s="63"/>
      <c r="N13" s="1">
        <v>7</v>
      </c>
      <c r="O13" s="16">
        <f t="shared" si="0"/>
        <v>0</v>
      </c>
      <c r="P13" s="16">
        <f ca="1">((OFFSET($C$6,$O$6+SUM($O$7:O13),0)*((100-i_Pop_Gend)/100))+(OFFSET($I$6,$O$6+SUM($O$7:O13),0)*(i_Pop_Gend/100)))*O13</f>
        <v>0</v>
      </c>
      <c r="Q13" s="16">
        <f t="shared" ca="1" si="1"/>
        <v>0</v>
      </c>
    </row>
    <row r="14" spans="2:17" x14ac:dyDescent="0.3">
      <c r="B14" s="55">
        <v>8</v>
      </c>
      <c r="C14" s="56">
        <v>1.0729377390816808E-4</v>
      </c>
      <c r="D14" s="57"/>
      <c r="E14" s="58"/>
      <c r="F14" s="58"/>
      <c r="G14" s="59"/>
      <c r="H14" s="60"/>
      <c r="I14" s="56">
        <v>8.872717444319278E-5</v>
      </c>
      <c r="J14" s="61"/>
      <c r="K14" s="62"/>
      <c r="L14" s="62"/>
      <c r="M14" s="63"/>
      <c r="N14" s="1">
        <v>8</v>
      </c>
      <c r="O14" s="16">
        <f t="shared" si="0"/>
        <v>0</v>
      </c>
      <c r="P14" s="16">
        <f ca="1">((OFFSET($C$6,$O$6+SUM($O$7:O14),0)*((100-i_Pop_Gend)/100))+(OFFSET($I$6,$O$6+SUM($O$7:O14),0)*(i_Pop_Gend/100)))*O14</f>
        <v>0</v>
      </c>
      <c r="Q14" s="16">
        <f t="shared" ca="1" si="1"/>
        <v>0</v>
      </c>
    </row>
    <row r="15" spans="2:17" x14ac:dyDescent="0.3">
      <c r="B15" s="55">
        <v>9</v>
      </c>
      <c r="C15" s="56">
        <v>9.0413122961763293E-5</v>
      </c>
      <c r="D15" s="57"/>
      <c r="E15" s="58"/>
      <c r="F15" s="58"/>
      <c r="G15" s="59"/>
      <c r="H15" s="60"/>
      <c r="I15" s="56">
        <v>8.3664439443964511E-5</v>
      </c>
      <c r="J15" s="61"/>
      <c r="K15" s="62"/>
      <c r="L15" s="62"/>
      <c r="M15" s="63"/>
      <c r="N15" s="1">
        <v>9</v>
      </c>
      <c r="O15" s="16">
        <f t="shared" si="0"/>
        <v>0</v>
      </c>
      <c r="P15" s="16">
        <f ca="1">((OFFSET($C$6,$O$6+SUM($O$7:O15),0)*((100-i_Pop_Gend)/100))+(OFFSET($I$6,$O$6+SUM($O$7:O15),0)*(i_Pop_Gend/100)))*O15</f>
        <v>0</v>
      </c>
      <c r="Q15" s="16">
        <f t="shared" ca="1" si="1"/>
        <v>0</v>
      </c>
    </row>
    <row r="16" spans="2:17" x14ac:dyDescent="0.3">
      <c r="B16" s="55">
        <v>10</v>
      </c>
      <c r="C16" s="56">
        <v>8.1050180597230792E-5</v>
      </c>
      <c r="D16" s="57"/>
      <c r="E16" s="58"/>
      <c r="F16" s="58"/>
      <c r="G16" s="59"/>
      <c r="H16" s="60"/>
      <c r="I16" s="56">
        <v>8.3212617028038949E-5</v>
      </c>
      <c r="J16" s="61"/>
      <c r="K16" s="62"/>
      <c r="L16" s="62"/>
      <c r="M16" s="63"/>
      <c r="N16" s="1" t="s">
        <v>299</v>
      </c>
      <c r="O16" s="16">
        <f>MAX(0,MIN(100,ROUND(i_Pop_Age+O7,0)))</f>
        <v>74</v>
      </c>
    </row>
    <row r="17" spans="2:16" x14ac:dyDescent="0.3">
      <c r="B17" s="55">
        <v>11</v>
      </c>
      <c r="C17" s="56">
        <v>8.9647735876496881E-5</v>
      </c>
      <c r="D17" s="57"/>
      <c r="E17" s="58"/>
      <c r="F17" s="58"/>
      <c r="G17" s="59"/>
      <c r="H17" s="60"/>
      <c r="I17" s="56">
        <v>8.9337961981073022E-5</v>
      </c>
      <c r="J17" s="61"/>
      <c r="K17" s="62"/>
      <c r="L17" s="62"/>
      <c r="M17" s="63"/>
      <c r="N17" s="1"/>
      <c r="O17" s="1"/>
      <c r="P17" s="64"/>
    </row>
    <row r="18" spans="2:16" x14ac:dyDescent="0.3">
      <c r="B18" s="55">
        <v>12</v>
      </c>
      <c r="C18" s="56">
        <v>1.2831426283810288E-4</v>
      </c>
      <c r="D18" s="57"/>
      <c r="E18" s="58"/>
      <c r="F18" s="58"/>
      <c r="G18" s="59"/>
      <c r="H18" s="60"/>
      <c r="I18" s="56">
        <v>1.0437908349558711E-4</v>
      </c>
      <c r="J18" s="61"/>
      <c r="K18" s="62"/>
      <c r="L18" s="62"/>
      <c r="M18" s="63"/>
      <c r="N18" s="1"/>
      <c r="O18" s="1" t="s">
        <v>302</v>
      </c>
      <c r="P18" s="16">
        <f ca="1">SUMPRODUCT(P6:P15,Q6:Q15)</f>
        <v>5.600381234609178E-2</v>
      </c>
    </row>
    <row r="19" spans="2:16" x14ac:dyDescent="0.3">
      <c r="B19" s="55">
        <v>13</v>
      </c>
      <c r="C19" s="56">
        <v>2.0359031623229384E-4</v>
      </c>
      <c r="D19" s="57"/>
      <c r="E19" s="58"/>
      <c r="F19" s="58"/>
      <c r="G19" s="59"/>
      <c r="H19" s="60"/>
      <c r="I19" s="56">
        <v>1.294413668802008E-4</v>
      </c>
      <c r="J19" s="61"/>
      <c r="K19" s="62"/>
      <c r="L19" s="62"/>
      <c r="M19" s="63"/>
      <c r="N19" s="1"/>
      <c r="O19" s="1" t="s">
        <v>303</v>
      </c>
      <c r="P19" s="16">
        <f ca="1">IF(SUM(Q6:Q15)=0,P6,P18/SUM(Q6:Q15))</f>
        <v>2.8423904224934449E-2</v>
      </c>
    </row>
    <row r="20" spans="2:16" x14ac:dyDescent="0.3">
      <c r="B20" s="55">
        <v>14</v>
      </c>
      <c r="C20" s="56">
        <v>3.0669974512420595E-4</v>
      </c>
      <c r="D20" s="57"/>
      <c r="E20" s="58"/>
      <c r="F20" s="58"/>
      <c r="G20" s="59"/>
      <c r="H20" s="60"/>
      <c r="I20" s="56">
        <v>1.6219481767620891E-4</v>
      </c>
      <c r="J20" s="61"/>
      <c r="K20" s="62"/>
      <c r="L20" s="62"/>
      <c r="M20" s="63"/>
      <c r="N20" s="1"/>
      <c r="O20" s="1"/>
      <c r="P20" s="64"/>
    </row>
    <row r="21" spans="2:16" x14ac:dyDescent="0.3">
      <c r="B21" s="55">
        <v>15</v>
      </c>
      <c r="C21" s="56">
        <v>4.1529673035256565E-4</v>
      </c>
      <c r="D21" s="57"/>
      <c r="E21" s="58"/>
      <c r="F21" s="58"/>
      <c r="G21" s="59"/>
      <c r="H21" s="60"/>
      <c r="I21" s="56">
        <v>1.9869375682901591E-4</v>
      </c>
      <c r="J21" s="61"/>
      <c r="K21" s="62"/>
      <c r="L21" s="62"/>
      <c r="M21" s="63"/>
      <c r="N21" s="1"/>
      <c r="O21" s="1"/>
      <c r="P21" s="64"/>
    </row>
    <row r="22" spans="2:16" x14ac:dyDescent="0.3">
      <c r="B22" s="55">
        <v>16</v>
      </c>
      <c r="C22" s="56">
        <v>5.2439799765124917E-4</v>
      </c>
      <c r="D22" s="57"/>
      <c r="E22" s="58"/>
      <c r="F22" s="58"/>
      <c r="G22" s="59"/>
      <c r="H22" s="60"/>
      <c r="I22" s="56">
        <v>2.362341620028019E-4</v>
      </c>
      <c r="J22" s="61"/>
      <c r="K22" s="62"/>
      <c r="L22" s="62"/>
      <c r="M22" s="63"/>
      <c r="N22" s="1"/>
      <c r="O22" s="1"/>
      <c r="P22" s="64"/>
    </row>
    <row r="23" spans="2:16" x14ac:dyDescent="0.3">
      <c r="B23" s="55">
        <v>17</v>
      </c>
      <c r="C23" s="56">
        <v>6.4628833206370473E-4</v>
      </c>
      <c r="D23" s="57"/>
      <c r="E23" s="58"/>
      <c r="F23" s="58"/>
      <c r="G23" s="59"/>
      <c r="H23" s="60"/>
      <c r="I23" s="56">
        <v>2.7434175717644393E-4</v>
      </c>
      <c r="J23" s="61"/>
      <c r="K23" s="62"/>
      <c r="L23" s="62"/>
      <c r="M23" s="63"/>
      <c r="N23" s="1"/>
      <c r="O23" s="1"/>
      <c r="P23" s="64"/>
    </row>
    <row r="24" spans="2:16" x14ac:dyDescent="0.3">
      <c r="B24" s="55">
        <v>18</v>
      </c>
      <c r="C24" s="56">
        <v>7.7915797010064125E-4</v>
      </c>
      <c r="D24" s="57"/>
      <c r="E24" s="58"/>
      <c r="F24" s="58"/>
      <c r="G24" s="59"/>
      <c r="H24" s="60"/>
      <c r="I24" s="56">
        <v>3.1107579707168043E-4</v>
      </c>
      <c r="J24" s="61"/>
      <c r="K24" s="62"/>
      <c r="L24" s="62"/>
      <c r="M24" s="63"/>
      <c r="N24" s="1"/>
      <c r="O24" s="1"/>
      <c r="P24" s="64"/>
    </row>
    <row r="25" spans="2:16" x14ac:dyDescent="0.3">
      <c r="B25" s="55">
        <v>19</v>
      </c>
      <c r="C25" s="56">
        <v>9.1406155843287706E-4</v>
      </c>
      <c r="D25" s="57"/>
      <c r="E25" s="58"/>
      <c r="F25" s="58"/>
      <c r="G25" s="59"/>
      <c r="H25" s="60"/>
      <c r="I25" s="56">
        <v>3.4583004890009761E-4</v>
      </c>
      <c r="J25" s="61"/>
      <c r="K25" s="62"/>
      <c r="L25" s="62"/>
      <c r="M25" s="63"/>
      <c r="N25" s="1"/>
      <c r="O25" s="1"/>
      <c r="P25" s="64"/>
    </row>
    <row r="26" spans="2:16" x14ac:dyDescent="0.3">
      <c r="B26" s="55">
        <v>20</v>
      </c>
      <c r="C26" s="56">
        <v>1.0527335107326508E-3</v>
      </c>
      <c r="D26" s="57"/>
      <c r="E26" s="58"/>
      <c r="F26" s="58"/>
      <c r="G26" s="59"/>
      <c r="H26" s="60"/>
      <c r="I26" s="56">
        <v>3.812237991951406E-4</v>
      </c>
      <c r="J26" s="61"/>
      <c r="K26" s="62"/>
      <c r="L26" s="62"/>
      <c r="M26" s="63"/>
      <c r="N26" s="1"/>
      <c r="O26" s="1"/>
      <c r="P26" s="64"/>
    </row>
    <row r="27" spans="2:16" x14ac:dyDescent="0.3">
      <c r="B27" s="55">
        <v>21</v>
      </c>
      <c r="C27" s="56">
        <v>1.17829954251647E-3</v>
      </c>
      <c r="D27" s="57"/>
      <c r="E27" s="58"/>
      <c r="F27" s="58"/>
      <c r="G27" s="59"/>
      <c r="H27" s="60"/>
      <c r="I27" s="56">
        <v>4.1591917397454381E-4</v>
      </c>
      <c r="J27" s="61"/>
      <c r="K27" s="62"/>
      <c r="L27" s="62"/>
      <c r="M27" s="63"/>
      <c r="N27" s="1"/>
      <c r="O27" s="1"/>
      <c r="P27" s="64"/>
    </row>
    <row r="28" spans="2:16" x14ac:dyDescent="0.3">
      <c r="B28" s="55">
        <v>22</v>
      </c>
      <c r="C28" s="56">
        <v>1.2698824284598231E-3</v>
      </c>
      <c r="D28" s="57"/>
      <c r="E28" s="58"/>
      <c r="F28" s="58"/>
      <c r="G28" s="59"/>
      <c r="H28" s="60"/>
      <c r="I28" s="56">
        <v>4.4611271005123854E-4</v>
      </c>
      <c r="J28" s="61"/>
      <c r="K28" s="62"/>
      <c r="L28" s="62"/>
      <c r="M28" s="63"/>
      <c r="N28" s="1"/>
      <c r="O28" s="1"/>
      <c r="P28" s="64"/>
    </row>
    <row r="29" spans="2:16" x14ac:dyDescent="0.3">
      <c r="B29" s="55">
        <v>23</v>
      </c>
      <c r="C29" s="56">
        <v>1.3191349571570754E-3</v>
      </c>
      <c r="D29" s="57"/>
      <c r="E29" s="58"/>
      <c r="F29" s="58"/>
      <c r="G29" s="59"/>
      <c r="H29" s="60"/>
      <c r="I29" s="56">
        <v>4.7138126683421433E-4</v>
      </c>
      <c r="J29" s="61"/>
      <c r="K29" s="62"/>
      <c r="L29" s="62"/>
      <c r="M29" s="63"/>
      <c r="N29" s="1"/>
      <c r="O29" s="1"/>
      <c r="P29" s="64"/>
    </row>
    <row r="30" spans="2:16" x14ac:dyDescent="0.3">
      <c r="B30" s="55">
        <v>24</v>
      </c>
      <c r="C30" s="56">
        <v>1.3374800328165293E-3</v>
      </c>
      <c r="D30" s="57"/>
      <c r="E30" s="58"/>
      <c r="F30" s="58"/>
      <c r="G30" s="59"/>
      <c r="H30" s="60"/>
      <c r="I30" s="56">
        <v>4.9399619456380606E-4</v>
      </c>
      <c r="J30" s="61"/>
      <c r="K30" s="62"/>
      <c r="L30" s="62"/>
      <c r="M30" s="63"/>
      <c r="N30" s="1"/>
      <c r="O30" s="1"/>
      <c r="P30" s="64"/>
    </row>
    <row r="31" spans="2:16" x14ac:dyDescent="0.3">
      <c r="B31" s="55">
        <v>25</v>
      </c>
      <c r="C31" s="56">
        <v>1.345720374956727E-3</v>
      </c>
      <c r="D31" s="57"/>
      <c r="E31" s="58"/>
      <c r="F31" s="58"/>
      <c r="G31" s="59"/>
      <c r="H31" s="60"/>
      <c r="I31" s="56">
        <v>5.1712006097659469E-4</v>
      </c>
      <c r="J31" s="61"/>
      <c r="K31" s="62"/>
      <c r="L31" s="62"/>
      <c r="M31" s="63"/>
      <c r="N31" s="1"/>
      <c r="O31" s="1"/>
      <c r="P31" s="64"/>
    </row>
    <row r="32" spans="2:16" x14ac:dyDescent="0.3">
      <c r="B32" s="55">
        <v>26</v>
      </c>
      <c r="C32" s="56">
        <v>1.3585990527644753E-3</v>
      </c>
      <c r="D32" s="57"/>
      <c r="E32" s="58"/>
      <c r="F32" s="58"/>
      <c r="G32" s="59"/>
      <c r="H32" s="60"/>
      <c r="I32" s="56">
        <v>5.4278492461889982E-4</v>
      </c>
      <c r="J32" s="61"/>
      <c r="K32" s="62"/>
      <c r="L32" s="62"/>
      <c r="M32" s="63"/>
      <c r="N32" s="1"/>
      <c r="O32" s="1"/>
      <c r="P32" s="64"/>
    </row>
    <row r="33" spans="2:16" x14ac:dyDescent="0.3">
      <c r="B33" s="55">
        <v>27</v>
      </c>
      <c r="C33" s="56">
        <v>1.3729312922805548E-3</v>
      </c>
      <c r="D33" s="57"/>
      <c r="E33" s="58"/>
      <c r="F33" s="58"/>
      <c r="G33" s="59"/>
      <c r="H33" s="60"/>
      <c r="I33" s="56">
        <v>5.7053350610658526E-4</v>
      </c>
      <c r="J33" s="61"/>
      <c r="K33" s="62"/>
      <c r="L33" s="62"/>
      <c r="M33" s="63"/>
      <c r="N33" s="1"/>
      <c r="O33" s="1"/>
      <c r="P33" s="64"/>
    </row>
    <row r="34" spans="2:16" x14ac:dyDescent="0.3">
      <c r="B34" s="55">
        <v>28</v>
      </c>
      <c r="C34" s="56">
        <v>1.3937377370893955E-3</v>
      </c>
      <c r="D34" s="57"/>
      <c r="E34" s="58"/>
      <c r="F34" s="58"/>
      <c r="G34" s="59"/>
      <c r="H34" s="60"/>
      <c r="I34" s="56">
        <v>6.0050789033994079E-4</v>
      </c>
      <c r="J34" s="61"/>
      <c r="K34" s="62"/>
      <c r="L34" s="62"/>
      <c r="M34" s="63"/>
      <c r="N34" s="1"/>
      <c r="O34" s="1"/>
      <c r="P34" s="64"/>
    </row>
    <row r="35" spans="2:16" x14ac:dyDescent="0.3">
      <c r="B35" s="55">
        <v>29</v>
      </c>
      <c r="C35" s="56">
        <v>1.4198604039847851E-3</v>
      </c>
      <c r="D35" s="57"/>
      <c r="E35" s="58"/>
      <c r="F35" s="58"/>
      <c r="G35" s="59"/>
      <c r="H35" s="60"/>
      <c r="I35" s="56">
        <v>6.3238060101866722E-4</v>
      </c>
      <c r="J35" s="61"/>
      <c r="K35" s="62"/>
      <c r="L35" s="62"/>
      <c r="M35" s="63"/>
      <c r="N35" s="1"/>
      <c r="O35" s="1"/>
      <c r="P35" s="64"/>
    </row>
    <row r="36" spans="2:16" x14ac:dyDescent="0.3">
      <c r="B36" s="55">
        <v>30</v>
      </c>
      <c r="C36" s="56">
        <v>1.4484726125374436E-3</v>
      </c>
      <c r="D36" s="57"/>
      <c r="E36" s="58"/>
      <c r="F36" s="58"/>
      <c r="G36" s="59"/>
      <c r="H36" s="60"/>
      <c r="I36" s="56">
        <v>6.6830567084252834E-4</v>
      </c>
      <c r="J36" s="61"/>
      <c r="K36" s="62"/>
      <c r="L36" s="62"/>
      <c r="M36" s="63"/>
      <c r="N36" s="1"/>
      <c r="O36" s="1"/>
      <c r="P36" s="64"/>
    </row>
    <row r="37" spans="2:16" x14ac:dyDescent="0.3">
      <c r="B37" s="55">
        <v>31</v>
      </c>
      <c r="C37" s="56">
        <v>1.4767893590033054E-3</v>
      </c>
      <c r="D37" s="57"/>
      <c r="E37" s="58"/>
      <c r="F37" s="58"/>
      <c r="G37" s="59"/>
      <c r="H37" s="60"/>
      <c r="I37" s="56">
        <v>7.0695031899958849E-4</v>
      </c>
      <c r="J37" s="61"/>
      <c r="K37" s="62"/>
      <c r="L37" s="62"/>
      <c r="M37" s="63"/>
      <c r="N37" s="1"/>
      <c r="O37" s="1"/>
      <c r="P37" s="64"/>
    </row>
    <row r="38" spans="2:16" x14ac:dyDescent="0.3">
      <c r="B38" s="55">
        <v>32</v>
      </c>
      <c r="C38" s="56">
        <v>1.5060203149914742E-3</v>
      </c>
      <c r="D38" s="57"/>
      <c r="E38" s="58"/>
      <c r="F38" s="58"/>
      <c r="G38" s="59"/>
      <c r="H38" s="60"/>
      <c r="I38" s="56">
        <v>7.4539589695632458E-4</v>
      </c>
      <c r="J38" s="61"/>
      <c r="K38" s="62"/>
      <c r="L38" s="62"/>
      <c r="M38" s="63"/>
      <c r="N38" s="1"/>
      <c r="O38" s="1"/>
      <c r="P38" s="64"/>
    </row>
    <row r="39" spans="2:16" x14ac:dyDescent="0.3">
      <c r="B39" s="55">
        <v>33</v>
      </c>
      <c r="C39" s="56">
        <v>1.5370127512142062E-3</v>
      </c>
      <c r="D39" s="57"/>
      <c r="E39" s="58"/>
      <c r="F39" s="58"/>
      <c r="G39" s="59"/>
      <c r="H39" s="60"/>
      <c r="I39" s="56">
        <v>7.8384164953604341E-4</v>
      </c>
      <c r="J39" s="61"/>
      <c r="K39" s="62"/>
      <c r="L39" s="62"/>
      <c r="M39" s="63"/>
      <c r="N39" s="1"/>
      <c r="O39" s="1"/>
      <c r="P39" s="64"/>
    </row>
    <row r="40" spans="2:16" x14ac:dyDescent="0.3">
      <c r="B40" s="55">
        <v>34</v>
      </c>
      <c r="C40" s="56">
        <v>1.5740980161353946E-3</v>
      </c>
      <c r="D40" s="57"/>
      <c r="E40" s="58"/>
      <c r="F40" s="58"/>
      <c r="G40" s="59"/>
      <c r="H40" s="60"/>
      <c r="I40" s="56">
        <v>8.2597933942452073E-4</v>
      </c>
      <c r="J40" s="61"/>
      <c r="K40" s="62"/>
      <c r="L40" s="62"/>
      <c r="M40" s="63"/>
      <c r="N40" s="1"/>
      <c r="O40" s="1"/>
      <c r="P40" s="64"/>
    </row>
    <row r="41" spans="2:16" x14ac:dyDescent="0.3">
      <c r="B41" s="55">
        <v>35</v>
      </c>
      <c r="C41" s="56">
        <v>1.6252716304734349E-3</v>
      </c>
      <c r="D41" s="57"/>
      <c r="E41" s="58"/>
      <c r="F41" s="58"/>
      <c r="G41" s="59"/>
      <c r="H41" s="60"/>
      <c r="I41" s="56">
        <v>8.7765930220484734E-4</v>
      </c>
      <c r="J41" s="61"/>
      <c r="K41" s="62"/>
      <c r="L41" s="62"/>
      <c r="M41" s="63"/>
      <c r="N41" s="1"/>
      <c r="O41" s="1"/>
      <c r="P41" s="64"/>
    </row>
    <row r="42" spans="2:16" x14ac:dyDescent="0.3">
      <c r="B42" s="55">
        <v>36</v>
      </c>
      <c r="C42" s="56">
        <v>1.6936315223574638E-3</v>
      </c>
      <c r="D42" s="57"/>
      <c r="E42" s="58"/>
      <c r="F42" s="58"/>
      <c r="G42" s="59"/>
      <c r="H42" s="60"/>
      <c r="I42" s="56">
        <v>9.416670654900372E-4</v>
      </c>
      <c r="J42" s="61"/>
      <c r="K42" s="62"/>
      <c r="L42" s="62"/>
      <c r="M42" s="63"/>
      <c r="N42" s="1"/>
      <c r="O42" s="1"/>
      <c r="P42" s="64"/>
    </row>
    <row r="43" spans="2:16" x14ac:dyDescent="0.3">
      <c r="B43" s="55">
        <v>37</v>
      </c>
      <c r="C43" s="56">
        <v>1.7752581043168902E-3</v>
      </c>
      <c r="D43" s="57"/>
      <c r="E43" s="58"/>
      <c r="F43" s="58"/>
      <c r="G43" s="59"/>
      <c r="H43" s="60"/>
      <c r="I43" s="56">
        <v>1.0153691982850432E-3</v>
      </c>
      <c r="J43" s="61"/>
      <c r="K43" s="62"/>
      <c r="L43" s="62"/>
      <c r="M43" s="63"/>
      <c r="N43" s="1"/>
      <c r="O43" s="1"/>
      <c r="P43" s="64"/>
    </row>
    <row r="44" spans="2:16" x14ac:dyDescent="0.3">
      <c r="B44" s="55">
        <v>38</v>
      </c>
      <c r="C44" s="56">
        <v>1.8670775461941957E-3</v>
      </c>
      <c r="D44" s="57"/>
      <c r="E44" s="58"/>
      <c r="F44" s="58"/>
      <c r="G44" s="59"/>
      <c r="H44" s="60"/>
      <c r="I44" s="56">
        <v>1.0961049702018499E-3</v>
      </c>
      <c r="J44" s="61"/>
      <c r="K44" s="62"/>
      <c r="L44" s="62"/>
      <c r="M44" s="63"/>
      <c r="N44" s="1"/>
      <c r="O44" s="1"/>
      <c r="P44" s="64"/>
    </row>
    <row r="45" spans="2:16" x14ac:dyDescent="0.3">
      <c r="B45" s="55">
        <v>39</v>
      </c>
      <c r="C45" s="56">
        <v>1.9701630808413029E-3</v>
      </c>
      <c r="D45" s="57"/>
      <c r="E45" s="58"/>
      <c r="F45" s="58"/>
      <c r="G45" s="59"/>
      <c r="H45" s="60"/>
      <c r="I45" s="56">
        <v>1.1831854935735464E-3</v>
      </c>
      <c r="J45" s="61"/>
      <c r="K45" s="62"/>
      <c r="L45" s="62"/>
      <c r="M45" s="63"/>
      <c r="N45" s="1"/>
      <c r="O45" s="1"/>
      <c r="P45" s="64"/>
    </row>
    <row r="46" spans="2:16" x14ac:dyDescent="0.3">
      <c r="B46" s="55">
        <v>40</v>
      </c>
      <c r="C46" s="56">
        <v>2.0872079767286777E-3</v>
      </c>
      <c r="D46" s="57"/>
      <c r="E46" s="58"/>
      <c r="F46" s="58"/>
      <c r="G46" s="59"/>
      <c r="H46" s="60"/>
      <c r="I46" s="56">
        <v>1.2760453391820192E-3</v>
      </c>
      <c r="J46" s="61"/>
      <c r="K46" s="62"/>
      <c r="L46" s="62"/>
      <c r="M46" s="63"/>
      <c r="N46" s="1"/>
      <c r="O46" s="1"/>
      <c r="P46" s="64"/>
    </row>
    <row r="47" spans="2:16" x14ac:dyDescent="0.3">
      <c r="B47" s="55">
        <v>41</v>
      </c>
      <c r="C47" s="56">
        <v>2.227060729637742E-3</v>
      </c>
      <c r="D47" s="57"/>
      <c r="E47" s="58"/>
      <c r="F47" s="58"/>
      <c r="G47" s="59"/>
      <c r="H47" s="60"/>
      <c r="I47" s="56">
        <v>1.3811256503686309E-3</v>
      </c>
      <c r="J47" s="61"/>
      <c r="K47" s="62"/>
      <c r="L47" s="62"/>
      <c r="M47" s="63"/>
      <c r="N47" s="1"/>
      <c r="O47" s="1"/>
      <c r="P47" s="64"/>
    </row>
    <row r="48" spans="2:16" x14ac:dyDescent="0.3">
      <c r="B48" s="55">
        <v>42</v>
      </c>
      <c r="C48" s="56">
        <v>2.397752832621336E-3</v>
      </c>
      <c r="D48" s="57"/>
      <c r="E48" s="58"/>
      <c r="F48" s="58"/>
      <c r="G48" s="59"/>
      <c r="H48" s="60"/>
      <c r="I48" s="56">
        <v>1.5058639692142606E-3</v>
      </c>
      <c r="J48" s="61"/>
      <c r="K48" s="62"/>
      <c r="L48" s="62"/>
      <c r="M48" s="63"/>
      <c r="N48" s="1"/>
      <c r="O48" s="1"/>
      <c r="P48" s="64"/>
    </row>
    <row r="49" spans="2:16" x14ac:dyDescent="0.3">
      <c r="B49" s="55">
        <v>43</v>
      </c>
      <c r="C49" s="56">
        <v>2.6088880840688944E-3</v>
      </c>
      <c r="D49" s="57"/>
      <c r="E49" s="58"/>
      <c r="F49" s="58"/>
      <c r="G49" s="59"/>
      <c r="H49" s="60"/>
      <c r="I49" s="56">
        <v>1.6569722210988402E-3</v>
      </c>
      <c r="J49" s="61"/>
      <c r="K49" s="62"/>
      <c r="L49" s="62"/>
      <c r="M49" s="63"/>
      <c r="N49" s="1"/>
      <c r="O49" s="1"/>
      <c r="P49" s="64"/>
    </row>
    <row r="50" spans="2:16" x14ac:dyDescent="0.3">
      <c r="B50" s="55">
        <v>44</v>
      </c>
      <c r="C50" s="56">
        <v>2.8619917575269938E-3</v>
      </c>
      <c r="D50" s="57"/>
      <c r="E50" s="58"/>
      <c r="F50" s="58"/>
      <c r="G50" s="59"/>
      <c r="H50" s="60"/>
      <c r="I50" s="56">
        <v>1.833544229157269E-3</v>
      </c>
      <c r="J50" s="61"/>
      <c r="K50" s="62"/>
      <c r="L50" s="62"/>
      <c r="M50" s="63"/>
      <c r="N50" s="1"/>
      <c r="O50" s="1"/>
      <c r="P50" s="64"/>
    </row>
    <row r="51" spans="2:16" x14ac:dyDescent="0.3">
      <c r="B51" s="55">
        <v>45</v>
      </c>
      <c r="C51" s="56">
        <v>3.1363833695650101E-3</v>
      </c>
      <c r="D51" s="57"/>
      <c r="E51" s="58"/>
      <c r="F51" s="58"/>
      <c r="G51" s="59"/>
      <c r="H51" s="60"/>
      <c r="I51" s="56">
        <v>2.0222351886332035E-3</v>
      </c>
      <c r="J51" s="61"/>
      <c r="K51" s="62"/>
      <c r="L51" s="62"/>
      <c r="M51" s="63"/>
      <c r="N51" s="1"/>
      <c r="O51" s="1"/>
      <c r="P51" s="64"/>
    </row>
    <row r="52" spans="2:16" x14ac:dyDescent="0.3">
      <c r="B52" s="55">
        <v>46</v>
      </c>
      <c r="C52" s="56">
        <v>3.4375761169940233E-3</v>
      </c>
      <c r="D52" s="57"/>
      <c r="E52" s="58"/>
      <c r="F52" s="58"/>
      <c r="G52" s="59"/>
      <c r="H52" s="60"/>
      <c r="I52" s="56">
        <v>2.2218951489776373E-3</v>
      </c>
      <c r="J52" s="61"/>
      <c r="K52" s="62"/>
      <c r="L52" s="62"/>
      <c r="M52" s="63"/>
      <c r="N52" s="1"/>
      <c r="O52" s="1"/>
      <c r="P52" s="64"/>
    </row>
    <row r="53" spans="2:16" x14ac:dyDescent="0.3">
      <c r="B53" s="55">
        <v>47</v>
      </c>
      <c r="C53" s="56">
        <v>3.793343435972929E-3</v>
      </c>
      <c r="D53" s="57"/>
      <c r="E53" s="58"/>
      <c r="F53" s="58"/>
      <c r="G53" s="59"/>
      <c r="H53" s="60"/>
      <c r="I53" s="56">
        <v>2.4442286230623722E-3</v>
      </c>
      <c r="J53" s="61"/>
      <c r="K53" s="62"/>
      <c r="L53" s="62"/>
      <c r="M53" s="63"/>
      <c r="N53" s="1"/>
      <c r="O53" s="1"/>
      <c r="P53" s="64"/>
    </row>
    <row r="54" spans="2:16" x14ac:dyDescent="0.3">
      <c r="B54" s="55">
        <v>48</v>
      </c>
      <c r="C54" s="56">
        <v>4.2051649652421474E-3</v>
      </c>
      <c r="D54" s="57"/>
      <c r="E54" s="58"/>
      <c r="F54" s="58"/>
      <c r="G54" s="59"/>
      <c r="H54" s="60"/>
      <c r="I54" s="56">
        <v>2.6871641166508198E-3</v>
      </c>
      <c r="J54" s="61"/>
      <c r="K54" s="62"/>
      <c r="L54" s="62"/>
      <c r="M54" s="63"/>
      <c r="N54" s="1"/>
      <c r="O54" s="1"/>
      <c r="P54" s="64"/>
    </row>
    <row r="55" spans="2:16" x14ac:dyDescent="0.3">
      <c r="B55" s="55">
        <v>49</v>
      </c>
      <c r="C55" s="56">
        <v>4.6542398631572723E-3</v>
      </c>
      <c r="D55" s="57"/>
      <c r="E55" s="58"/>
      <c r="F55" s="58"/>
      <c r="G55" s="59"/>
      <c r="H55" s="60"/>
      <c r="I55" s="56">
        <v>2.9422305524349213E-3</v>
      </c>
      <c r="J55" s="61"/>
      <c r="K55" s="62"/>
      <c r="L55" s="62"/>
      <c r="M55" s="63"/>
      <c r="N55" s="1"/>
      <c r="O55" s="1"/>
      <c r="P55" s="64"/>
    </row>
    <row r="56" spans="2:16" x14ac:dyDescent="0.3">
      <c r="B56" s="55">
        <v>50</v>
      </c>
      <c r="C56" s="56">
        <v>5.1149087958037853E-3</v>
      </c>
      <c r="D56" s="57"/>
      <c r="E56" s="58"/>
      <c r="F56" s="58"/>
      <c r="G56" s="59"/>
      <c r="H56" s="60"/>
      <c r="I56" s="56">
        <v>3.2046197447925806E-3</v>
      </c>
      <c r="J56" s="61"/>
      <c r="K56" s="62"/>
      <c r="L56" s="62"/>
      <c r="M56" s="63"/>
      <c r="N56" s="1"/>
      <c r="O56" s="1"/>
      <c r="P56" s="64"/>
    </row>
    <row r="57" spans="2:16" x14ac:dyDescent="0.3">
      <c r="B57" s="55">
        <v>51</v>
      </c>
      <c r="C57" s="56">
        <v>5.5813672952353954E-3</v>
      </c>
      <c r="D57" s="57"/>
      <c r="E57" s="58"/>
      <c r="F57" s="58"/>
      <c r="G57" s="59"/>
      <c r="H57" s="60"/>
      <c r="I57" s="56">
        <v>3.4699628595262766E-3</v>
      </c>
      <c r="J57" s="61"/>
      <c r="K57" s="62"/>
      <c r="L57" s="62"/>
      <c r="M57" s="63"/>
      <c r="N57" s="1"/>
      <c r="O57" s="1"/>
      <c r="P57" s="64"/>
    </row>
    <row r="58" spans="2:16" x14ac:dyDescent="0.3">
      <c r="B58" s="55">
        <v>52</v>
      </c>
      <c r="C58" s="56">
        <v>6.0717682354152203E-3</v>
      </c>
      <c r="D58" s="57"/>
      <c r="E58" s="58"/>
      <c r="F58" s="58"/>
      <c r="G58" s="59"/>
      <c r="H58" s="60"/>
      <c r="I58" s="56">
        <v>3.7382894661277533E-3</v>
      </c>
      <c r="J58" s="61"/>
      <c r="K58" s="62"/>
      <c r="L58" s="62"/>
      <c r="M58" s="63"/>
      <c r="N58" s="1"/>
      <c r="O58" s="1"/>
      <c r="P58" s="64"/>
    </row>
    <row r="59" spans="2:16" x14ac:dyDescent="0.3">
      <c r="B59" s="55">
        <v>53</v>
      </c>
      <c r="C59" s="56">
        <v>6.6002723760902882E-3</v>
      </c>
      <c r="D59" s="57"/>
      <c r="E59" s="58"/>
      <c r="F59" s="58"/>
      <c r="G59" s="59"/>
      <c r="H59" s="60"/>
      <c r="I59" s="56">
        <v>4.0144328959286213E-3</v>
      </c>
      <c r="J59" s="61"/>
      <c r="K59" s="62"/>
      <c r="L59" s="62"/>
      <c r="M59" s="63"/>
      <c r="N59" s="1"/>
      <c r="O59" s="1"/>
      <c r="P59" s="64"/>
    </row>
    <row r="60" spans="2:16" x14ac:dyDescent="0.3">
      <c r="B60" s="55">
        <v>54</v>
      </c>
      <c r="C60" s="56">
        <v>7.1730711497366428E-3</v>
      </c>
      <c r="D60" s="57"/>
      <c r="E60" s="58"/>
      <c r="F60" s="58"/>
      <c r="G60" s="59"/>
      <c r="H60" s="60"/>
      <c r="I60" s="56">
        <v>4.3064472265541553E-3</v>
      </c>
      <c r="J60" s="61"/>
      <c r="K60" s="62"/>
      <c r="L60" s="62"/>
      <c r="M60" s="63"/>
      <c r="N60" s="1"/>
      <c r="O60" s="1"/>
      <c r="P60" s="64"/>
    </row>
    <row r="61" spans="2:16" x14ac:dyDescent="0.3">
      <c r="B61" s="55">
        <v>55</v>
      </c>
      <c r="C61" s="56">
        <v>7.7909762039780617E-3</v>
      </c>
      <c r="D61" s="57"/>
      <c r="E61" s="58"/>
      <c r="F61" s="58"/>
      <c r="G61" s="59"/>
      <c r="H61" s="60"/>
      <c r="I61" s="56">
        <v>4.621520172804594E-3</v>
      </c>
      <c r="J61" s="61"/>
      <c r="K61" s="62"/>
      <c r="L61" s="62"/>
      <c r="M61" s="63"/>
      <c r="N61" s="1"/>
      <c r="O61" s="1"/>
      <c r="P61" s="64"/>
    </row>
    <row r="62" spans="2:16" x14ac:dyDescent="0.3">
      <c r="B62" s="55">
        <v>56</v>
      </c>
      <c r="C62" s="56">
        <v>8.4375543519854546E-3</v>
      </c>
      <c r="D62" s="57"/>
      <c r="E62" s="58"/>
      <c r="F62" s="58"/>
      <c r="G62" s="59"/>
      <c r="H62" s="60"/>
      <c r="I62" s="56">
        <v>4.9607227556407452E-3</v>
      </c>
      <c r="J62" s="61"/>
      <c r="K62" s="62"/>
      <c r="L62" s="62"/>
      <c r="M62" s="63"/>
      <c r="N62" s="1"/>
      <c r="O62" s="1"/>
      <c r="P62" s="64"/>
    </row>
    <row r="63" spans="2:16" x14ac:dyDescent="0.3">
      <c r="B63" s="55">
        <v>57</v>
      </c>
      <c r="C63" s="56">
        <v>9.1004883870482445E-3</v>
      </c>
      <c r="D63" s="57"/>
      <c r="E63" s="58"/>
      <c r="F63" s="58"/>
      <c r="G63" s="59"/>
      <c r="H63" s="60"/>
      <c r="I63" s="56">
        <v>5.3240754641592503E-3</v>
      </c>
      <c r="J63" s="61"/>
      <c r="K63" s="62"/>
      <c r="L63" s="62"/>
      <c r="M63" s="63"/>
      <c r="N63" s="1"/>
      <c r="O63" s="1"/>
      <c r="P63" s="64"/>
    </row>
    <row r="64" spans="2:16" x14ac:dyDescent="0.3">
      <c r="B64" s="55">
        <v>58</v>
      </c>
      <c r="C64" s="56">
        <v>9.7654731944203377E-3</v>
      </c>
      <c r="D64" s="57"/>
      <c r="E64" s="58"/>
      <c r="F64" s="58"/>
      <c r="G64" s="59"/>
      <c r="H64" s="60"/>
      <c r="I64" s="56">
        <v>5.7121147401630878E-3</v>
      </c>
      <c r="J64" s="61"/>
      <c r="K64" s="62"/>
      <c r="L64" s="62"/>
      <c r="M64" s="63"/>
      <c r="N64" s="1"/>
      <c r="O64" s="1"/>
      <c r="P64" s="64"/>
    </row>
    <row r="65" spans="2:16" x14ac:dyDescent="0.3">
      <c r="B65" s="55">
        <v>59</v>
      </c>
      <c r="C65" s="56">
        <v>1.0439339093863964E-2</v>
      </c>
      <c r="D65" s="57"/>
      <c r="E65" s="58"/>
      <c r="F65" s="58"/>
      <c r="G65" s="59"/>
      <c r="H65" s="60"/>
      <c r="I65" s="56">
        <v>6.1293323524296284E-3</v>
      </c>
      <c r="J65" s="61"/>
      <c r="K65" s="62"/>
      <c r="L65" s="62"/>
      <c r="M65" s="63"/>
      <c r="N65" s="1"/>
      <c r="O65" s="1"/>
      <c r="P65" s="64"/>
    </row>
    <row r="66" spans="2:16" x14ac:dyDescent="0.3">
      <c r="B66" s="55">
        <v>60</v>
      </c>
      <c r="C66" s="56">
        <v>1.1155830696225166E-2</v>
      </c>
      <c r="D66" s="57"/>
      <c r="E66" s="58"/>
      <c r="F66" s="58"/>
      <c r="G66" s="59"/>
      <c r="H66" s="60"/>
      <c r="I66" s="56">
        <v>6.5790978260338306E-3</v>
      </c>
      <c r="J66" s="61"/>
      <c r="K66" s="62"/>
      <c r="L66" s="62"/>
      <c r="M66" s="63"/>
      <c r="N66" s="1"/>
      <c r="O66" s="1"/>
      <c r="P66" s="64"/>
    </row>
    <row r="67" spans="2:16" x14ac:dyDescent="0.3">
      <c r="B67" s="55">
        <v>61</v>
      </c>
      <c r="C67" s="56">
        <v>1.19291627779603E-2</v>
      </c>
      <c r="D67" s="57"/>
      <c r="E67" s="58"/>
      <c r="F67" s="58"/>
      <c r="G67" s="59"/>
      <c r="H67" s="60"/>
      <c r="I67" s="56">
        <v>7.0750010199844837E-3</v>
      </c>
      <c r="J67" s="61"/>
      <c r="K67" s="62"/>
      <c r="L67" s="62"/>
      <c r="M67" s="63"/>
      <c r="N67" s="1"/>
      <c r="O67" s="1"/>
      <c r="P67" s="64"/>
    </row>
    <row r="68" spans="2:16" x14ac:dyDescent="0.3">
      <c r="B68" s="55">
        <v>62</v>
      </c>
      <c r="C68" s="56">
        <v>1.2740211561322212E-2</v>
      </c>
      <c r="D68" s="57"/>
      <c r="E68" s="58"/>
      <c r="F68" s="58"/>
      <c r="G68" s="59"/>
      <c r="H68" s="60"/>
      <c r="I68" s="56">
        <v>7.634362205862999E-3</v>
      </c>
      <c r="J68" s="61"/>
      <c r="K68" s="62"/>
      <c r="L68" s="62"/>
      <c r="M68" s="63"/>
      <c r="N68" s="1"/>
      <c r="O68" s="1"/>
      <c r="P68" s="64"/>
    </row>
    <row r="69" spans="2:16" x14ac:dyDescent="0.3">
      <c r="B69" s="55">
        <v>63</v>
      </c>
      <c r="C69" s="56">
        <v>1.3592835515737534E-2</v>
      </c>
      <c r="D69" s="57"/>
      <c r="E69" s="58"/>
      <c r="F69" s="58"/>
      <c r="G69" s="59"/>
      <c r="H69" s="60"/>
      <c r="I69" s="56">
        <v>8.2736527547240257E-3</v>
      </c>
      <c r="J69" s="61"/>
      <c r="K69" s="62"/>
      <c r="L69" s="62"/>
      <c r="M69" s="63"/>
      <c r="N69" s="1"/>
      <c r="O69" s="1"/>
      <c r="P69" s="64"/>
    </row>
    <row r="70" spans="2:16" x14ac:dyDescent="0.3">
      <c r="B70" s="55">
        <v>64</v>
      </c>
      <c r="C70" s="56">
        <v>1.4504509977996349E-2</v>
      </c>
      <c r="D70" s="57"/>
      <c r="E70" s="58"/>
      <c r="F70" s="58"/>
      <c r="G70" s="59"/>
      <c r="H70" s="60"/>
      <c r="I70" s="56">
        <v>8.9984647929668427E-3</v>
      </c>
      <c r="J70" s="61"/>
      <c r="K70" s="62"/>
      <c r="L70" s="62"/>
      <c r="M70" s="63"/>
      <c r="N70" s="1"/>
      <c r="O70" s="1"/>
      <c r="P70" s="64"/>
    </row>
    <row r="71" spans="2:16" x14ac:dyDescent="0.3">
      <c r="B71" s="55">
        <v>65</v>
      </c>
      <c r="C71" s="56">
        <v>1.5501448884606361E-2</v>
      </c>
      <c r="D71" s="57"/>
      <c r="E71" s="58"/>
      <c r="F71" s="58"/>
      <c r="G71" s="59"/>
      <c r="H71" s="60"/>
      <c r="I71" s="56">
        <v>9.82628483325243E-3</v>
      </c>
      <c r="J71" s="61"/>
      <c r="K71" s="62"/>
      <c r="L71" s="62"/>
      <c r="M71" s="63"/>
      <c r="N71" s="1"/>
      <c r="O71" s="1"/>
      <c r="P71" s="64"/>
    </row>
    <row r="72" spans="2:16" x14ac:dyDescent="0.3">
      <c r="B72" s="55">
        <v>66</v>
      </c>
      <c r="C72" s="56">
        <v>1.6613699495792389E-2</v>
      </c>
      <c r="D72" s="57"/>
      <c r="E72" s="58"/>
      <c r="F72" s="58"/>
      <c r="G72" s="59"/>
      <c r="H72" s="60"/>
      <c r="I72" s="56">
        <v>1.074514165520668E-2</v>
      </c>
      <c r="J72" s="61"/>
      <c r="K72" s="62"/>
      <c r="L72" s="62"/>
      <c r="M72" s="63"/>
      <c r="N72" s="1"/>
      <c r="O72" s="1"/>
      <c r="P72" s="64"/>
    </row>
    <row r="73" spans="2:16" x14ac:dyDescent="0.3">
      <c r="B73" s="55">
        <v>67</v>
      </c>
      <c r="C73" s="56">
        <v>1.7888326197862625E-2</v>
      </c>
      <c r="D73" s="57"/>
      <c r="E73" s="58"/>
      <c r="F73" s="58"/>
      <c r="G73" s="59"/>
      <c r="H73" s="60"/>
      <c r="I73" s="56">
        <v>1.1747980490326881E-2</v>
      </c>
      <c r="J73" s="61"/>
      <c r="K73" s="62"/>
      <c r="L73" s="62"/>
      <c r="M73" s="63"/>
      <c r="N73" s="1"/>
      <c r="O73" s="1"/>
      <c r="P73" s="64"/>
    </row>
    <row r="74" spans="2:16" x14ac:dyDescent="0.3">
      <c r="B74" s="55">
        <v>68</v>
      </c>
      <c r="C74" s="56">
        <v>1.9327463582158089E-2</v>
      </c>
      <c r="D74" s="57"/>
      <c r="E74" s="58"/>
      <c r="F74" s="58"/>
      <c r="G74" s="59"/>
      <c r="H74" s="60"/>
      <c r="I74" s="56">
        <v>1.2811129912734032E-2</v>
      </c>
      <c r="J74" s="61"/>
      <c r="K74" s="62"/>
      <c r="L74" s="62"/>
      <c r="M74" s="63"/>
      <c r="N74" s="1"/>
      <c r="O74" s="1"/>
      <c r="P74" s="64"/>
    </row>
    <row r="75" spans="2:16" x14ac:dyDescent="0.3">
      <c r="B75" s="55">
        <v>69</v>
      </c>
      <c r="C75" s="56">
        <v>2.0930007100105286E-2</v>
      </c>
      <c r="D75" s="57"/>
      <c r="E75" s="58"/>
      <c r="F75" s="58"/>
      <c r="G75" s="59"/>
      <c r="H75" s="60"/>
      <c r="I75" s="56">
        <v>1.3959741219878197E-2</v>
      </c>
      <c r="J75" s="61"/>
      <c r="K75" s="62"/>
      <c r="L75" s="62"/>
      <c r="M75" s="63"/>
      <c r="N75" s="1"/>
      <c r="O75" s="1"/>
      <c r="P75" s="64"/>
    </row>
    <row r="76" spans="2:16" x14ac:dyDescent="0.3">
      <c r="B76" s="55">
        <v>70</v>
      </c>
      <c r="C76" s="56">
        <v>2.2834194824099541E-2</v>
      </c>
      <c r="D76" s="57"/>
      <c r="E76" s="58"/>
      <c r="F76" s="58"/>
      <c r="G76" s="59"/>
      <c r="H76" s="60"/>
      <c r="I76" s="56">
        <v>1.5316738747060299E-2</v>
      </c>
      <c r="J76" s="61"/>
      <c r="K76" s="62"/>
      <c r="L76" s="62"/>
      <c r="M76" s="63"/>
      <c r="N76" s="1"/>
      <c r="O76" s="1"/>
      <c r="P76" s="64"/>
    </row>
    <row r="77" spans="2:16" x14ac:dyDescent="0.3">
      <c r="B77" s="55">
        <v>71</v>
      </c>
      <c r="C77" s="56">
        <v>2.5025332346558571E-2</v>
      </c>
      <c r="D77" s="57"/>
      <c r="E77" s="58"/>
      <c r="F77" s="58"/>
      <c r="G77" s="59"/>
      <c r="H77" s="60"/>
      <c r="I77" s="56">
        <v>1.6934884712100029E-2</v>
      </c>
      <c r="J77" s="61"/>
      <c r="K77" s="62"/>
      <c r="L77" s="62"/>
      <c r="M77" s="63"/>
      <c r="N77" s="1"/>
      <c r="O77" s="1"/>
      <c r="P77" s="64"/>
    </row>
    <row r="78" spans="2:16" x14ac:dyDescent="0.3">
      <c r="B78" s="55">
        <v>72</v>
      </c>
      <c r="C78" s="56">
        <v>2.7449203655123711E-2</v>
      </c>
      <c r="D78" s="57"/>
      <c r="E78" s="58"/>
      <c r="F78" s="58"/>
      <c r="G78" s="59"/>
      <c r="H78" s="60"/>
      <c r="I78" s="56">
        <v>1.8673837184906006E-2</v>
      </c>
      <c r="J78" s="61"/>
      <c r="K78" s="62"/>
      <c r="L78" s="62"/>
      <c r="M78" s="63"/>
      <c r="N78" s="1"/>
      <c r="O78" s="1"/>
      <c r="P78" s="64"/>
    </row>
    <row r="79" spans="2:16" x14ac:dyDescent="0.3">
      <c r="B79" s="55">
        <v>73</v>
      </c>
      <c r="C79" s="56">
        <v>3.0016779899597168E-2</v>
      </c>
      <c r="D79" s="57"/>
      <c r="E79" s="58"/>
      <c r="F79" s="58"/>
      <c r="G79" s="59"/>
      <c r="H79" s="60"/>
      <c r="I79" s="56">
        <v>2.053871750831604E-2</v>
      </c>
      <c r="J79" s="61"/>
      <c r="K79" s="62"/>
      <c r="L79" s="62"/>
      <c r="M79" s="63"/>
      <c r="N79" s="1"/>
      <c r="O79" s="1"/>
      <c r="P79" s="64"/>
    </row>
    <row r="80" spans="2:16" x14ac:dyDescent="0.3">
      <c r="B80" s="55">
        <v>74</v>
      </c>
      <c r="C80" s="56">
        <v>3.2686583697795868E-2</v>
      </c>
      <c r="D80" s="57"/>
      <c r="E80" s="58"/>
      <c r="F80" s="58"/>
      <c r="G80" s="59"/>
      <c r="H80" s="60"/>
      <c r="I80" s="56">
        <v>2.2641604766249657E-2</v>
      </c>
      <c r="J80" s="61"/>
      <c r="K80" s="62"/>
      <c r="L80" s="62"/>
      <c r="M80" s="63"/>
      <c r="N80" s="1"/>
      <c r="O80" s="1"/>
      <c r="P80" s="64"/>
    </row>
    <row r="81" spans="2:16" x14ac:dyDescent="0.3">
      <c r="B81" s="55">
        <v>75</v>
      </c>
      <c r="C81" s="56">
        <v>3.5636089742183685E-2</v>
      </c>
      <c r="D81" s="57"/>
      <c r="E81" s="58"/>
      <c r="F81" s="58"/>
      <c r="G81" s="59"/>
      <c r="H81" s="60"/>
      <c r="I81" s="56">
        <v>2.5028366595506668E-2</v>
      </c>
      <c r="J81" s="61"/>
      <c r="K81" s="62"/>
      <c r="L81" s="62"/>
      <c r="M81" s="63"/>
      <c r="N81" s="1"/>
      <c r="O81" s="1"/>
      <c r="P81" s="64"/>
    </row>
    <row r="82" spans="2:16" x14ac:dyDescent="0.3">
      <c r="B82" s="55">
        <v>76</v>
      </c>
      <c r="C82" s="56">
        <v>3.9102848619222641E-2</v>
      </c>
      <c r="D82" s="57"/>
      <c r="E82" s="58"/>
      <c r="F82" s="58"/>
      <c r="G82" s="59"/>
      <c r="H82" s="60"/>
      <c r="I82" s="56">
        <v>2.7826461941003799E-2</v>
      </c>
      <c r="J82" s="61"/>
      <c r="K82" s="62"/>
      <c r="L82" s="62"/>
      <c r="M82" s="63"/>
      <c r="N82" s="1"/>
      <c r="O82" s="1"/>
      <c r="P82" s="64"/>
    </row>
    <row r="83" spans="2:16" x14ac:dyDescent="0.3">
      <c r="B83" s="55">
        <v>77</v>
      </c>
      <c r="C83" s="56">
        <v>4.3133113533258438E-2</v>
      </c>
      <c r="D83" s="57"/>
      <c r="E83" s="58"/>
      <c r="F83" s="58"/>
      <c r="G83" s="59"/>
      <c r="H83" s="60"/>
      <c r="I83" s="56">
        <v>3.0907955020666122E-2</v>
      </c>
      <c r="J83" s="61"/>
      <c r="K83" s="62"/>
      <c r="L83" s="62"/>
      <c r="M83" s="63"/>
      <c r="N83" s="1"/>
      <c r="O83" s="1"/>
      <c r="P83" s="64"/>
    </row>
    <row r="84" spans="2:16" x14ac:dyDescent="0.3">
      <c r="B84" s="55">
        <v>78</v>
      </c>
      <c r="C84" s="56">
        <v>4.7637853771448135E-2</v>
      </c>
      <c r="D84" s="57"/>
      <c r="E84" s="58"/>
      <c r="F84" s="58"/>
      <c r="G84" s="59"/>
      <c r="H84" s="60"/>
      <c r="I84" s="56">
        <v>3.4321300685405731E-2</v>
      </c>
      <c r="J84" s="61"/>
      <c r="K84" s="62"/>
      <c r="L84" s="62"/>
      <c r="M84" s="63"/>
      <c r="N84" s="1"/>
      <c r="O84" s="1"/>
      <c r="P84" s="64"/>
    </row>
    <row r="85" spans="2:16" x14ac:dyDescent="0.3">
      <c r="B85" s="55">
        <v>79</v>
      </c>
      <c r="C85" s="56">
        <v>5.291452631354332E-2</v>
      </c>
      <c r="D85" s="57"/>
      <c r="E85" s="58"/>
      <c r="F85" s="58"/>
      <c r="G85" s="59"/>
      <c r="H85" s="60"/>
      <c r="I85" s="56">
        <v>3.8451515138149261E-2</v>
      </c>
      <c r="J85" s="61"/>
      <c r="K85" s="62"/>
      <c r="L85" s="62"/>
      <c r="M85" s="63"/>
      <c r="N85" s="1"/>
      <c r="O85" s="1"/>
      <c r="P85" s="64"/>
    </row>
    <row r="86" spans="2:16" x14ac:dyDescent="0.3">
      <c r="B86" s="55">
        <v>80</v>
      </c>
      <c r="C86" s="56">
        <v>5.8449897915124893E-2</v>
      </c>
      <c r="D86" s="57"/>
      <c r="E86" s="58"/>
      <c r="F86" s="58"/>
      <c r="G86" s="59"/>
      <c r="H86" s="60"/>
      <c r="I86" s="56">
        <v>4.2724188417196274E-2</v>
      </c>
      <c r="J86" s="61"/>
      <c r="K86" s="62"/>
      <c r="L86" s="62"/>
      <c r="M86" s="63"/>
      <c r="N86" s="1"/>
      <c r="O86" s="1"/>
      <c r="P86" s="64"/>
    </row>
    <row r="87" spans="2:16" x14ac:dyDescent="0.3">
      <c r="B87" s="55">
        <v>81</v>
      </c>
      <c r="C87" s="56">
        <v>6.4421705901622772E-2</v>
      </c>
      <c r="D87" s="57"/>
      <c r="E87" s="58"/>
      <c r="F87" s="58"/>
      <c r="G87" s="59"/>
      <c r="H87" s="60"/>
      <c r="I87" s="56">
        <v>4.7386646270751953E-2</v>
      </c>
      <c r="J87" s="61"/>
      <c r="K87" s="62"/>
      <c r="L87" s="62"/>
      <c r="M87" s="63"/>
      <c r="N87" s="1"/>
      <c r="O87" s="1"/>
      <c r="P87" s="64"/>
    </row>
    <row r="88" spans="2:16" x14ac:dyDescent="0.3">
      <c r="B88" s="55">
        <v>82</v>
      </c>
      <c r="C88" s="56">
        <v>7.140824943780899E-2</v>
      </c>
      <c r="D88" s="57"/>
      <c r="E88" s="58"/>
      <c r="F88" s="58"/>
      <c r="G88" s="59"/>
      <c r="H88" s="60"/>
      <c r="I88" s="56">
        <v>5.2599836140871048E-2</v>
      </c>
      <c r="J88" s="61"/>
      <c r="K88" s="62"/>
      <c r="L88" s="62"/>
      <c r="M88" s="63"/>
      <c r="N88" s="1"/>
      <c r="O88" s="1"/>
      <c r="P88" s="64"/>
    </row>
    <row r="89" spans="2:16" x14ac:dyDescent="0.3">
      <c r="B89" s="55">
        <v>83</v>
      </c>
      <c r="C89" s="56">
        <v>7.9491317272186279E-2</v>
      </c>
      <c r="D89" s="57"/>
      <c r="E89" s="58"/>
      <c r="F89" s="58"/>
      <c r="G89" s="59"/>
      <c r="H89" s="60"/>
      <c r="I89" s="56">
        <v>5.8858674019575119E-2</v>
      </c>
      <c r="J89" s="61"/>
      <c r="K89" s="62"/>
      <c r="L89" s="62"/>
      <c r="M89" s="63"/>
      <c r="N89" s="1"/>
      <c r="O89" s="1"/>
      <c r="P89" s="64"/>
    </row>
    <row r="90" spans="2:16" x14ac:dyDescent="0.3">
      <c r="B90" s="55">
        <v>84</v>
      </c>
      <c r="C90" s="56">
        <v>8.8144272565841675E-2</v>
      </c>
      <c r="D90" s="57"/>
      <c r="E90" s="58"/>
      <c r="F90" s="58"/>
      <c r="G90" s="59"/>
      <c r="H90" s="60"/>
      <c r="I90" s="56">
        <v>6.6131725907325745E-2</v>
      </c>
      <c r="J90" s="61"/>
      <c r="K90" s="62"/>
      <c r="L90" s="62"/>
      <c r="M90" s="63"/>
      <c r="N90" s="1"/>
      <c r="O90" s="1"/>
      <c r="P90" s="64"/>
    </row>
    <row r="91" spans="2:16" x14ac:dyDescent="0.3">
      <c r="B91" s="55">
        <v>85</v>
      </c>
      <c r="C91" s="56">
        <v>9.771333634853363E-2</v>
      </c>
      <c r="D91" s="57"/>
      <c r="E91" s="58"/>
      <c r="F91" s="58"/>
      <c r="G91" s="59"/>
      <c r="H91" s="60"/>
      <c r="I91" s="56">
        <v>7.4692867696285248E-2</v>
      </c>
      <c r="J91" s="61"/>
      <c r="K91" s="62"/>
      <c r="L91" s="62"/>
      <c r="M91" s="63"/>
      <c r="N91" s="1"/>
      <c r="O91" s="1"/>
      <c r="P91" s="64"/>
    </row>
    <row r="92" spans="2:16" x14ac:dyDescent="0.3">
      <c r="B92" s="55">
        <v>86</v>
      </c>
      <c r="C92" s="56">
        <v>0.10904411971569061</v>
      </c>
      <c r="D92" s="57"/>
      <c r="E92" s="58"/>
      <c r="F92" s="58"/>
      <c r="G92" s="59"/>
      <c r="H92" s="60"/>
      <c r="I92" s="56">
        <v>8.393571525812149E-2</v>
      </c>
      <c r="J92" s="61"/>
      <c r="K92" s="62"/>
      <c r="L92" s="62"/>
      <c r="M92" s="63"/>
      <c r="N92" s="1"/>
      <c r="O92" s="1"/>
      <c r="P92" s="64"/>
    </row>
    <row r="93" spans="2:16" x14ac:dyDescent="0.3">
      <c r="B93" s="55">
        <v>87</v>
      </c>
      <c r="C93" s="56">
        <v>0.12140844762325287</v>
      </c>
      <c r="D93" s="57"/>
      <c r="E93" s="58"/>
      <c r="F93" s="58"/>
      <c r="G93" s="59"/>
      <c r="H93" s="60"/>
      <c r="I93" s="56">
        <v>9.4140417873859406E-2</v>
      </c>
      <c r="J93" s="61"/>
      <c r="K93" s="62"/>
      <c r="L93" s="62"/>
      <c r="M93" s="63"/>
      <c r="N93" s="1"/>
      <c r="O93" s="1"/>
      <c r="P93" s="64"/>
    </row>
    <row r="94" spans="2:16" x14ac:dyDescent="0.3">
      <c r="B94" s="55">
        <v>88</v>
      </c>
      <c r="C94" s="56">
        <v>0.13483573496341705</v>
      </c>
      <c r="D94" s="57"/>
      <c r="E94" s="58"/>
      <c r="F94" s="58"/>
      <c r="G94" s="59"/>
      <c r="H94" s="60"/>
      <c r="I94" s="56">
        <v>0.10536146908998489</v>
      </c>
      <c r="J94" s="61"/>
      <c r="K94" s="62"/>
      <c r="L94" s="62"/>
      <c r="M94" s="63"/>
      <c r="N94" s="1"/>
      <c r="O94" s="1"/>
      <c r="P94" s="64"/>
    </row>
    <row r="95" spans="2:16" x14ac:dyDescent="0.3">
      <c r="B95" s="55">
        <v>89</v>
      </c>
      <c r="C95" s="56">
        <v>0.14934130012989044</v>
      </c>
      <c r="D95" s="57"/>
      <c r="E95" s="58"/>
      <c r="F95" s="58"/>
      <c r="G95" s="59"/>
      <c r="H95" s="60"/>
      <c r="I95" s="56">
        <v>0.11764518171548843</v>
      </c>
      <c r="J95" s="61"/>
      <c r="K95" s="62"/>
      <c r="L95" s="62"/>
      <c r="M95" s="63"/>
      <c r="N95" s="1"/>
      <c r="O95" s="1"/>
      <c r="P95" s="64"/>
    </row>
    <row r="96" spans="2:16" x14ac:dyDescent="0.3">
      <c r="B96" s="55">
        <v>90</v>
      </c>
      <c r="C96" s="56">
        <v>0.16492345929145813</v>
      </c>
      <c r="D96" s="57"/>
      <c r="E96" s="58"/>
      <c r="F96" s="58"/>
      <c r="G96" s="59"/>
      <c r="H96" s="60"/>
      <c r="I96" s="56">
        <v>0.13102671504020691</v>
      </c>
      <c r="J96" s="61"/>
      <c r="K96" s="62"/>
      <c r="L96" s="62"/>
      <c r="M96" s="63"/>
      <c r="N96" s="1"/>
      <c r="O96" s="1"/>
      <c r="P96" s="64"/>
    </row>
    <row r="97" spans="2:16" x14ac:dyDescent="0.3">
      <c r="B97" s="55">
        <v>91</v>
      </c>
      <c r="C97" s="56">
        <v>0.18156082928180695</v>
      </c>
      <c r="D97" s="57"/>
      <c r="E97" s="58"/>
      <c r="F97" s="58"/>
      <c r="G97" s="59"/>
      <c r="H97" s="60"/>
      <c r="I97" s="56">
        <v>0.14552685618400574</v>
      </c>
      <c r="J97" s="61"/>
      <c r="K97" s="62"/>
      <c r="L97" s="62"/>
      <c r="M97" s="63"/>
      <c r="N97" s="1"/>
      <c r="O97" s="1"/>
      <c r="P97" s="64"/>
    </row>
    <row r="98" spans="2:16" x14ac:dyDescent="0.3">
      <c r="B98" s="55">
        <v>92</v>
      </c>
      <c r="C98" s="56">
        <v>0.19921019673347473</v>
      </c>
      <c r="D98" s="57"/>
      <c r="E98" s="58"/>
      <c r="F98" s="58"/>
      <c r="G98" s="59"/>
      <c r="H98" s="60"/>
      <c r="I98" s="56">
        <v>0.16114890575408936</v>
      </c>
      <c r="J98" s="61"/>
      <c r="K98" s="62"/>
      <c r="L98" s="62"/>
      <c r="M98" s="63"/>
      <c r="N98" s="1"/>
      <c r="O98" s="1"/>
      <c r="P98" s="64"/>
    </row>
    <row r="99" spans="2:16" x14ac:dyDescent="0.3">
      <c r="B99" s="55">
        <v>93</v>
      </c>
      <c r="C99" s="56">
        <v>0.21780493855476379</v>
      </c>
      <c r="D99" s="57"/>
      <c r="E99" s="58"/>
      <c r="F99" s="58"/>
      <c r="G99" s="59"/>
      <c r="H99" s="60"/>
      <c r="I99" s="56">
        <v>0.17787556350231171</v>
      </c>
      <c r="J99" s="61"/>
      <c r="K99" s="62"/>
      <c r="L99" s="62"/>
      <c r="M99" s="63"/>
      <c r="N99" s="1"/>
      <c r="O99" s="1"/>
      <c r="P99" s="64"/>
    </row>
    <row r="100" spans="2:16" x14ac:dyDescent="0.3">
      <c r="B100" s="55">
        <v>94</v>
      </c>
      <c r="C100" s="56">
        <v>0.23725441098213196</v>
      </c>
      <c r="D100" s="57"/>
      <c r="E100" s="58"/>
      <c r="F100" s="58"/>
      <c r="G100" s="59"/>
      <c r="H100" s="60"/>
      <c r="I100" s="56">
        <v>0.19566638767719269</v>
      </c>
      <c r="J100" s="61"/>
      <c r="K100" s="62"/>
      <c r="L100" s="62"/>
      <c r="M100" s="63"/>
      <c r="N100" s="1"/>
      <c r="O100" s="1"/>
      <c r="P100" s="64"/>
    </row>
    <row r="101" spans="2:16" x14ac:dyDescent="0.3">
      <c r="B101" s="55">
        <v>95</v>
      </c>
      <c r="C101" s="56">
        <v>0.25744456052780151</v>
      </c>
      <c r="D101" s="57"/>
      <c r="E101" s="58"/>
      <c r="F101" s="58"/>
      <c r="G101" s="59"/>
      <c r="H101" s="60"/>
      <c r="I101" s="56">
        <v>0.21445590257644653</v>
      </c>
      <c r="J101" s="61"/>
      <c r="K101" s="62"/>
      <c r="L101" s="62"/>
      <c r="M101" s="63"/>
      <c r="N101" s="1"/>
      <c r="O101" s="1"/>
      <c r="P101" s="64"/>
    </row>
    <row r="102" spans="2:16" x14ac:dyDescent="0.3">
      <c r="B102" s="55">
        <v>96</v>
      </c>
      <c r="C102" s="56">
        <v>0.27823954820632935</v>
      </c>
      <c r="D102" s="57"/>
      <c r="E102" s="58"/>
      <c r="F102" s="58"/>
      <c r="G102" s="59"/>
      <c r="H102" s="60"/>
      <c r="I102" s="56">
        <v>0.23415273427963257</v>
      </c>
      <c r="J102" s="61"/>
      <c r="K102" s="62"/>
      <c r="L102" s="62"/>
      <c r="M102" s="63"/>
      <c r="N102" s="1"/>
      <c r="O102" s="1"/>
      <c r="P102" s="64"/>
    </row>
    <row r="103" spans="2:16" x14ac:dyDescent="0.3">
      <c r="B103" s="55">
        <v>97</v>
      </c>
      <c r="C103" s="56">
        <v>0.29948502779006958</v>
      </c>
      <c r="D103" s="57"/>
      <c r="E103" s="58"/>
      <c r="F103" s="58"/>
      <c r="G103" s="59"/>
      <c r="H103" s="60"/>
      <c r="I103" s="56">
        <v>0.25463995337486267</v>
      </c>
      <c r="J103" s="61"/>
      <c r="K103" s="62"/>
      <c r="L103" s="62"/>
      <c r="M103" s="63"/>
      <c r="N103" s="1"/>
      <c r="O103" s="1"/>
      <c r="P103" s="64"/>
    </row>
    <row r="104" spans="2:16" x14ac:dyDescent="0.3">
      <c r="B104" s="55">
        <v>98</v>
      </c>
      <c r="C104" s="56">
        <v>0.3210119903087616</v>
      </c>
      <c r="D104" s="57"/>
      <c r="E104" s="58"/>
      <c r="F104" s="58"/>
      <c r="G104" s="59"/>
      <c r="H104" s="60"/>
      <c r="I104" s="56">
        <v>0.27577677369117737</v>
      </c>
      <c r="J104" s="61"/>
      <c r="K104" s="62"/>
      <c r="L104" s="62"/>
      <c r="M104" s="63"/>
      <c r="N104" s="1"/>
      <c r="O104" s="1"/>
      <c r="P104" s="64"/>
    </row>
    <row r="105" spans="2:16" x14ac:dyDescent="0.3">
      <c r="B105" s="55">
        <v>99</v>
      </c>
      <c r="C105" s="56">
        <v>0.34264242649078369</v>
      </c>
      <c r="D105" s="57"/>
      <c r="E105" s="58"/>
      <c r="F105" s="58"/>
      <c r="G105" s="59"/>
      <c r="H105" s="60"/>
      <c r="I105" s="56">
        <v>0.29740166664123535</v>
      </c>
      <c r="J105" s="61"/>
      <c r="K105" s="62"/>
      <c r="L105" s="62"/>
      <c r="M105" s="63"/>
      <c r="N105" s="1"/>
      <c r="O105" s="1"/>
      <c r="P105" s="64"/>
    </row>
    <row r="106" spans="2:16" x14ac:dyDescent="0.3">
      <c r="B106" s="65">
        <v>100</v>
      </c>
      <c r="C106" s="66">
        <v>1</v>
      </c>
      <c r="D106" s="67"/>
      <c r="E106" s="68"/>
      <c r="F106" s="68"/>
      <c r="G106" s="69"/>
      <c r="H106" s="70"/>
      <c r="I106" s="66">
        <v>1</v>
      </c>
      <c r="J106" s="71"/>
      <c r="K106" s="72"/>
      <c r="L106" s="72"/>
      <c r="M106" s="73"/>
      <c r="N106" s="1"/>
      <c r="O106" s="1"/>
      <c r="P106" s="64"/>
    </row>
  </sheetData>
  <mergeCells count="4">
    <mergeCell ref="B3:H3"/>
    <mergeCell ref="I3:O3"/>
    <mergeCell ref="C4:G4"/>
    <mergeCell ref="I4:M4"/>
  </mergeCells>
  <hyperlinks>
    <hyperlink ref="C5" location="Notation!A4" display="mx" xr:uid="{00000000-0004-0000-1300-000000000000}"/>
    <hyperlink ref="I5" location="Notation!A4" display="mx" xr:uid="{00000000-0004-0000-1300-000001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tabColor rgb="FFC00000"/>
  </sheetPr>
  <dimension ref="A1:AG2234"/>
  <sheetViews>
    <sheetView workbookViewId="0">
      <selection activeCell="L10" sqref="L10"/>
    </sheetView>
  </sheetViews>
  <sheetFormatPr defaultColWidth="8.625" defaultRowHeight="15" x14ac:dyDescent="0.3"/>
  <cols>
    <col min="1" max="1" width="21" style="1" customWidth="1"/>
    <col min="2" max="4" width="8.625" style="1"/>
    <col min="5" max="10" width="21.25" style="1" customWidth="1"/>
    <col min="11" max="17" width="8.625" style="1"/>
    <col min="18" max="18" width="11.875" style="1" bestFit="1" customWidth="1"/>
    <col min="19" max="21" width="12.625" style="1" bestFit="1" customWidth="1"/>
    <col min="22" max="23" width="8.625" style="1"/>
    <col min="24" max="24" width="23.5" style="1" bestFit="1" customWidth="1"/>
    <col min="25" max="25" width="9" style="1" customWidth="1"/>
    <col min="26" max="26" width="10.125" style="1" customWidth="1"/>
    <col min="27" max="29" width="8.625" style="1"/>
    <col min="30" max="30" width="12" style="1" bestFit="1" customWidth="1"/>
    <col min="31" max="31" width="22.5" style="1" bestFit="1" customWidth="1"/>
    <col min="32" max="16384" width="8.625" style="1"/>
  </cols>
  <sheetData>
    <row r="1" spans="1:33"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33"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33" ht="17.25" thickTop="1" x14ac:dyDescent="0.3">
      <c r="A3" s="2"/>
      <c r="B3" s="15"/>
      <c r="C3" s="15"/>
      <c r="D3" s="15"/>
      <c r="E3" s="15"/>
      <c r="F3" s="15"/>
      <c r="G3" s="15">
        <v>400</v>
      </c>
      <c r="H3" s="15"/>
      <c r="I3" s="15"/>
      <c r="J3" s="15"/>
      <c r="K3" s="15"/>
      <c r="L3" s="15"/>
      <c r="M3" s="15"/>
      <c r="N3" s="15"/>
      <c r="O3" s="15"/>
      <c r="P3" s="15"/>
      <c r="Q3" s="15"/>
      <c r="R3" s="15"/>
      <c r="S3" s="15"/>
      <c r="T3" s="15"/>
      <c r="U3" s="15"/>
      <c r="V3" s="15"/>
      <c r="W3" s="15"/>
      <c r="X3" s="15"/>
      <c r="Y3" s="15"/>
      <c r="Z3" s="15"/>
    </row>
    <row r="4" spans="1:33" ht="21" customHeight="1" x14ac:dyDescent="0.3">
      <c r="A4" s="7" t="s">
        <v>0</v>
      </c>
      <c r="B4" s="8"/>
      <c r="C4" s="10" t="s">
        <v>43</v>
      </c>
      <c r="D4" s="10"/>
      <c r="E4" s="10"/>
      <c r="F4" s="145" t="s">
        <v>46</v>
      </c>
      <c r="G4" s="145"/>
      <c r="H4" s="145"/>
      <c r="I4" s="145"/>
      <c r="J4" s="145"/>
      <c r="K4" s="145"/>
      <c r="L4" s="145"/>
      <c r="M4" s="145"/>
      <c r="N4" s="145"/>
      <c r="O4" s="145"/>
      <c r="P4" s="145"/>
      <c r="Q4" s="145"/>
      <c r="R4" s="145"/>
      <c r="S4" s="145"/>
      <c r="T4" s="145"/>
      <c r="U4" s="145"/>
      <c r="V4" s="145"/>
      <c r="W4" s="8"/>
      <c r="X4" s="8"/>
      <c r="Y4" s="8"/>
      <c r="Z4" s="8"/>
    </row>
    <row r="5" spans="1:33" ht="17.25" thickBot="1" x14ac:dyDescent="0.35">
      <c r="A5" s="2"/>
      <c r="B5" s="15"/>
      <c r="C5" s="15">
        <f>COUNTIF(C7:C2200,"&gt;0")</f>
        <v>400</v>
      </c>
      <c r="D5" s="15"/>
      <c r="E5" s="15">
        <v>400</v>
      </c>
      <c r="F5" s="15"/>
      <c r="G5" s="15"/>
      <c r="H5" s="15"/>
      <c r="I5" s="15"/>
      <c r="J5" s="15"/>
      <c r="K5" s="15"/>
      <c r="L5" s="15"/>
      <c r="M5" s="15"/>
      <c r="N5" s="15"/>
      <c r="O5" s="15"/>
      <c r="P5" s="15"/>
      <c r="Q5" s="15"/>
      <c r="R5" s="15"/>
      <c r="S5" s="15"/>
      <c r="T5" s="15"/>
      <c r="U5" s="15"/>
      <c r="V5" s="15"/>
      <c r="W5" s="15"/>
      <c r="X5" s="15"/>
      <c r="Y5" s="15"/>
      <c r="Z5" s="15"/>
    </row>
    <row r="6" spans="1:33" ht="18" thickTop="1" thickBot="1" x14ac:dyDescent="0.35">
      <c r="A6" s="17" t="s">
        <v>1</v>
      </c>
      <c r="C6" s="12"/>
      <c r="D6" s="12"/>
      <c r="E6" s="15"/>
      <c r="F6" s="12"/>
      <c r="G6" s="15"/>
      <c r="H6" s="15"/>
      <c r="I6" s="15"/>
      <c r="J6" s="15"/>
      <c r="K6" s="15"/>
      <c r="L6" s="15"/>
      <c r="M6" s="15"/>
      <c r="N6" s="15" t="s">
        <v>55</v>
      </c>
      <c r="X6" s="14">
        <v>-100538.03828032129</v>
      </c>
      <c r="Y6" s="14">
        <v>0.5</v>
      </c>
      <c r="Z6" s="14">
        <v>1.5</v>
      </c>
      <c r="AA6" s="1" t="s">
        <v>55</v>
      </c>
      <c r="AE6" s="1" t="s">
        <v>14</v>
      </c>
      <c r="AF6" s="1" t="s">
        <v>440</v>
      </c>
      <c r="AG6" s="1" t="s">
        <v>441</v>
      </c>
    </row>
    <row r="7" spans="1:33" ht="18" thickTop="1" thickBot="1" x14ac:dyDescent="0.35">
      <c r="A7" s="2"/>
      <c r="C7" s="15">
        <v>0</v>
      </c>
      <c r="D7" s="15"/>
      <c r="E7" s="15">
        <v>7233558.4253824744</v>
      </c>
      <c r="F7" s="15">
        <v>471.75552778229024</v>
      </c>
      <c r="G7" s="15">
        <v>4.9201831902345736</v>
      </c>
      <c r="H7" s="15">
        <v>7133020.3871021532</v>
      </c>
      <c r="I7" s="15">
        <v>467.56008752364585</v>
      </c>
      <c r="J7" s="15">
        <v>3.6532227806235968</v>
      </c>
      <c r="K7" s="15"/>
      <c r="L7" s="15"/>
      <c r="M7" s="15"/>
      <c r="N7" s="1">
        <f t="shared" ref="N7:N70" si="0">IF(LEN($C7)&gt;0,H7-E7,"")</f>
        <v>-100538.03828032129</v>
      </c>
      <c r="O7" s="1">
        <f t="shared" ref="O7:O70" si="1">IF(LEN($C7)&gt;0,I7-F7,"")</f>
        <v>-4.1954402586443962</v>
      </c>
      <c r="P7" s="1">
        <f t="shared" ref="P7:P70" si="2">IF(LEN($C7)&gt;0,J7-G7,"")</f>
        <v>-1.2669604096109768</v>
      </c>
      <c r="S7" s="15" t="s">
        <v>57</v>
      </c>
      <c r="T7" s="1" t="s">
        <v>329</v>
      </c>
      <c r="U7" s="1" t="s">
        <v>330</v>
      </c>
      <c r="W7" s="123">
        <v>49</v>
      </c>
      <c r="X7" s="126" t="s">
        <v>166</v>
      </c>
      <c r="Y7" s="14">
        <v>-100562.32527398411</v>
      </c>
      <c r="Z7" s="14">
        <v>-100513.75128666032</v>
      </c>
      <c r="AA7" s="1">
        <f>ABS(Z7-Y7)</f>
        <v>48.573987323790789</v>
      </c>
      <c r="AC7" s="1">
        <v>1</v>
      </c>
      <c r="AD7" s="1">
        <f>LARGE($AA$7:$AA$24,AC7)</f>
        <v>50524.192035959102</v>
      </c>
      <c r="AE7" s="1" t="str">
        <f>INDEX($X$7:$X$24,MATCH(AD7,$AA$7:$AA$24,0))</f>
        <v>General ward per day</v>
      </c>
      <c r="AF7" s="1">
        <f>(INDEX($Y$7:$Y$24,MATCH(AD7,$AA$7:$AA$24,0))-$X$6)/$X$6*100</f>
        <v>-25.126903657636895</v>
      </c>
      <c r="AG7" s="1">
        <f>(INDEX($Z$7:$Z$24,MATCH(AD7,$AA$7:$AA$24,0))-$X$6)/$X$6*100</f>
        <v>25.12690365764708</v>
      </c>
    </row>
    <row r="8" spans="1:33" ht="18" thickTop="1" thickBot="1" x14ac:dyDescent="0.35">
      <c r="A8" s="17" t="s">
        <v>12</v>
      </c>
      <c r="C8" s="15">
        <v>1</v>
      </c>
      <c r="D8" s="15"/>
      <c r="E8" s="15">
        <v>6501932.6248504603</v>
      </c>
      <c r="F8" s="15">
        <v>468.86187321797917</v>
      </c>
      <c r="G8" s="15">
        <v>5.5535053032747168</v>
      </c>
      <c r="H8" s="15">
        <v>6405772.8189437715</v>
      </c>
      <c r="I8" s="15">
        <v>465.83763887497611</v>
      </c>
      <c r="J8" s="15">
        <v>4.0985554064198855</v>
      </c>
      <c r="K8" s="15"/>
      <c r="L8" s="15"/>
      <c r="M8" s="15"/>
      <c r="N8" s="1">
        <f t="shared" si="0"/>
        <v>-96159.805906688794</v>
      </c>
      <c r="O8" s="1">
        <f t="shared" si="1"/>
        <v>-3.0242343430030587</v>
      </c>
      <c r="P8" s="1">
        <f t="shared" si="2"/>
        <v>-1.4549498968548313</v>
      </c>
      <c r="R8" s="1" t="s">
        <v>342</v>
      </c>
      <c r="S8" s="107">
        <f ca="1">MEDIAN(OFFSET(N$7,0,0,$C$5,1))</f>
        <v>-101021.33244832838</v>
      </c>
      <c r="T8" s="107">
        <f ca="1">MEDIAN(OFFSET(O$7,0,0,$C$5,1))</f>
        <v>-4.0344917639448568</v>
      </c>
      <c r="U8" s="107">
        <f ca="1">MEDIAN(OFFSET(P$7,0,0,$C$5,1))</f>
        <v>-1.2780347379701309</v>
      </c>
      <c r="W8" s="125">
        <v>50</v>
      </c>
      <c r="X8" s="127" t="s">
        <v>165</v>
      </c>
      <c r="Y8" s="14">
        <v>-100615.10251094215</v>
      </c>
      <c r="Z8" s="14">
        <v>-100460.97404970322</v>
      </c>
      <c r="AA8" s="1">
        <f t="shared" ref="AA8:AA24" si="3">ABS(Z8-Y8)</f>
        <v>154.12846123892814</v>
      </c>
      <c r="AC8" s="1">
        <v>2</v>
      </c>
      <c r="AD8" s="1">
        <f>LARGE($AA$7:$AA$24,AC8)</f>
        <v>42418.251211782917</v>
      </c>
      <c r="AE8" s="1" t="str">
        <f t="shared" ref="AE8:AE11" si="4">INDEX($X$7:$X$24,MATCH(AD8,$AA$7:$AA$24,0))</f>
        <v>DSWI days</v>
      </c>
      <c r="AF8" s="1">
        <f t="shared" ref="AF8:AF11" si="5">(INDEX($Y$7:$Y$24,MATCH(AD8,$AA$7:$AA$24,0))-$X$6)/$X$6*100</f>
        <v>-20.841139174025773</v>
      </c>
      <c r="AG8" s="1">
        <f t="shared" ref="AG8:AG11" si="6">(INDEX($Z$7:$Z$24,MATCH(AD8,$AA$7:$AA$24,0))-$X$6)/$X$6*100</f>
        <v>21.350106982490502</v>
      </c>
    </row>
    <row r="9" spans="1:33" ht="18" thickTop="1" thickBot="1" x14ac:dyDescent="0.35">
      <c r="A9" s="2"/>
      <c r="C9" s="15">
        <v>2</v>
      </c>
      <c r="D9" s="15"/>
      <c r="E9" s="15">
        <v>8572465.4298569039</v>
      </c>
      <c r="F9" s="15">
        <v>473.88952682421063</v>
      </c>
      <c r="G9" s="15">
        <v>5.3327904451617734</v>
      </c>
      <c r="H9" s="15">
        <v>8417366.4675486181</v>
      </c>
      <c r="I9" s="15">
        <v>469.04878712914268</v>
      </c>
      <c r="J9" s="15">
        <v>3.5368676752048525</v>
      </c>
      <c r="K9" s="15"/>
      <c r="L9" s="15"/>
      <c r="M9" s="15"/>
      <c r="N9" s="1">
        <f t="shared" si="0"/>
        <v>-155098.96230828576</v>
      </c>
      <c r="O9" s="1">
        <f t="shared" si="1"/>
        <v>-4.8407396950679527</v>
      </c>
      <c r="P9" s="1">
        <f t="shared" si="2"/>
        <v>-1.7959227699569209</v>
      </c>
      <c r="R9" s="1" t="s">
        <v>340</v>
      </c>
      <c r="S9" s="107">
        <f ca="1">SMALL(OFFSET(N$7,0,0,$E$5,1),ROUND($C$5/100*2.5,0))</f>
        <v>-216418.25719621405</v>
      </c>
      <c r="T9" s="107">
        <f ca="1">SMALL(OFFSET(O$7,0,0,$E$5,1),ROUND($C$5/100*2.5,0))</f>
        <v>-9.1494302586860954</v>
      </c>
      <c r="U9" s="107">
        <f ca="1">SMALL(OFFSET(P$7,0,0,$E$5,1),ROUND($C$5/100*2.5,0))</f>
        <v>-2.0330405197915802</v>
      </c>
      <c r="W9" s="123">
        <v>51</v>
      </c>
      <c r="X9" s="126" t="s">
        <v>163</v>
      </c>
      <c r="Y9" s="14">
        <v>-95219.226938030683</v>
      </c>
      <c r="Z9" s="14">
        <v>-105856.84962259047</v>
      </c>
      <c r="AA9" s="1">
        <f t="shared" si="3"/>
        <v>10637.622684559785</v>
      </c>
      <c r="AC9" s="1">
        <v>3</v>
      </c>
      <c r="AD9" s="1">
        <f>LARGE($AA$7:$AA$24,AC9)</f>
        <v>29882.30016821716</v>
      </c>
      <c r="AE9" s="1" t="str">
        <f t="shared" si="4"/>
        <v>Readmission for DSWI</v>
      </c>
      <c r="AF9" s="1">
        <f t="shared" si="5"/>
        <v>-14.861191186605922</v>
      </c>
      <c r="AG9" s="1">
        <f t="shared" si="6"/>
        <v>14.861191186619818</v>
      </c>
    </row>
    <row r="10" spans="1:33" ht="18" thickTop="1" thickBot="1" x14ac:dyDescent="0.35">
      <c r="A10" s="17" t="s">
        <v>13</v>
      </c>
      <c r="C10" s="15">
        <v>3</v>
      </c>
      <c r="D10" s="15"/>
      <c r="E10" s="15">
        <v>6784119.3739550468</v>
      </c>
      <c r="F10" s="15">
        <v>437.91291667754837</v>
      </c>
      <c r="G10" s="15">
        <v>5.8907123054506254</v>
      </c>
      <c r="H10" s="15">
        <v>6684231.3391812462</v>
      </c>
      <c r="I10" s="15">
        <v>435.08451088419412</v>
      </c>
      <c r="J10" s="15">
        <v>4.195261293947171</v>
      </c>
      <c r="K10" s="15"/>
      <c r="L10" s="15"/>
      <c r="M10" s="15"/>
      <c r="N10" s="1">
        <f t="shared" si="0"/>
        <v>-99888.034773800522</v>
      </c>
      <c r="O10" s="1">
        <f t="shared" si="1"/>
        <v>-2.8284057933542499</v>
      </c>
      <c r="P10" s="1">
        <f t="shared" si="2"/>
        <v>-1.6954510115034545</v>
      </c>
      <c r="R10" s="1" t="s">
        <v>341</v>
      </c>
      <c r="S10" s="107">
        <f ca="1">SMALL(OFFSET(N$7,0,0,$E$5,1),ROUND($C$5/100*97.5,0))</f>
        <v>-44053.769857306033</v>
      </c>
      <c r="T10" s="107">
        <f ca="1">SMALL(OFFSET(O$7,0,0,$E$5,1),ROUND($C$5/100*97.5,0))</f>
        <v>-1.6300077367379231</v>
      </c>
      <c r="U10" s="107">
        <f ca="1">SMALL(OFFSET(P$7,0,0,$E$5,1),ROUND($C$5/100*97.5,0))</f>
        <v>-0.64393515039942173</v>
      </c>
      <c r="W10" s="125">
        <v>52</v>
      </c>
      <c r="X10" s="124" t="s">
        <v>164</v>
      </c>
      <c r="Y10" s="14">
        <v>-75275.942262346856</v>
      </c>
      <c r="Z10" s="14">
        <v>-125800.13429830596</v>
      </c>
      <c r="AA10" s="1">
        <f t="shared" si="3"/>
        <v>50524.192035959102</v>
      </c>
      <c r="AC10" s="1">
        <v>4</v>
      </c>
      <c r="AD10" s="1">
        <f>LARGE($AA$7:$AA$24,AC10)</f>
        <v>26681.942376591265</v>
      </c>
      <c r="AE10" s="1" t="str">
        <f t="shared" si="4"/>
        <v>SSI days</v>
      </c>
      <c r="AF10" s="1">
        <f t="shared" si="5"/>
        <v>-12.199228079778607</v>
      </c>
      <c r="AG10" s="1">
        <f t="shared" si="6"/>
        <v>14.339923502030036</v>
      </c>
    </row>
    <row r="11" spans="1:33" ht="18" thickTop="1" thickBot="1" x14ac:dyDescent="0.35">
      <c r="A11" s="2"/>
      <c r="C11" s="15">
        <v>4</v>
      </c>
      <c r="D11" s="15"/>
      <c r="E11" s="15">
        <v>6222935.9615234369</v>
      </c>
      <c r="F11" s="15">
        <v>443.51107607854328</v>
      </c>
      <c r="G11" s="15">
        <v>4.9516412400160954</v>
      </c>
      <c r="H11" s="15">
        <v>6095926.5683796303</v>
      </c>
      <c r="I11" s="15">
        <v>437.8568809680458</v>
      </c>
      <c r="J11" s="15">
        <v>3.3508099097731652</v>
      </c>
      <c r="K11" s="15"/>
      <c r="L11" s="15"/>
      <c r="M11" s="15"/>
      <c r="N11" s="1">
        <f t="shared" si="0"/>
        <v>-127009.39314380661</v>
      </c>
      <c r="O11" s="1">
        <f t="shared" si="1"/>
        <v>-5.6541951104974828</v>
      </c>
      <c r="P11" s="1">
        <f t="shared" si="2"/>
        <v>-1.6008313302429302</v>
      </c>
      <c r="W11" s="123">
        <v>53</v>
      </c>
      <c r="X11" s="126" t="s">
        <v>167</v>
      </c>
      <c r="Y11" s="14">
        <v>-100204.78011449426</v>
      </c>
      <c r="Z11" s="14">
        <v>-100871.29644614924</v>
      </c>
      <c r="AA11" s="1">
        <f t="shared" si="3"/>
        <v>666.51633165497333</v>
      </c>
      <c r="AC11" s="1">
        <v>5</v>
      </c>
      <c r="AD11" s="1">
        <f>LARGE($AA$7:$AA$24,AC11)</f>
        <v>10637.622684559785</v>
      </c>
      <c r="AE11" s="1" t="str">
        <f t="shared" si="4"/>
        <v>ICU per day</v>
      </c>
      <c r="AF11" s="1">
        <f t="shared" si="5"/>
        <v>-5.2903472489294385</v>
      </c>
      <c r="AG11" s="1">
        <f t="shared" si="6"/>
        <v>5.290347248908132</v>
      </c>
    </row>
    <row r="12" spans="1:33" ht="18" thickTop="1" thickBot="1" x14ac:dyDescent="0.35">
      <c r="A12" s="17" t="s">
        <v>22</v>
      </c>
      <c r="C12" s="15">
        <v>5</v>
      </c>
      <c r="D12" s="15"/>
      <c r="E12" s="15">
        <v>7554319.9001644971</v>
      </c>
      <c r="F12" s="15">
        <v>495.52939540026546</v>
      </c>
      <c r="G12" s="15">
        <v>5.8065171341290363</v>
      </c>
      <c r="H12" s="15">
        <v>7459794.3146660198</v>
      </c>
      <c r="I12" s="15">
        <v>492.40935709574984</v>
      </c>
      <c r="J12" s="15">
        <v>3.955129981668005</v>
      </c>
      <c r="K12" s="15"/>
      <c r="L12" s="15"/>
      <c r="M12" s="15"/>
      <c r="N12" s="1">
        <f t="shared" si="0"/>
        <v>-94525.585498477332</v>
      </c>
      <c r="O12" s="1">
        <f t="shared" si="1"/>
        <v>-3.1200383045156173</v>
      </c>
      <c r="P12" s="1">
        <f t="shared" si="2"/>
        <v>-1.8513871524610312</v>
      </c>
      <c r="W12" s="125">
        <v>54</v>
      </c>
      <c r="X12" s="124" t="s">
        <v>442</v>
      </c>
      <c r="Y12" s="14">
        <v>-95504.590863913298</v>
      </c>
      <c r="Z12" s="14">
        <v>-105571.48569673486</v>
      </c>
      <c r="AA12" s="1">
        <f t="shared" si="3"/>
        <v>10066.894832821563</v>
      </c>
    </row>
    <row r="13" spans="1:33" ht="18" thickTop="1" thickBot="1" x14ac:dyDescent="0.35">
      <c r="A13" s="2"/>
      <c r="C13" s="15">
        <v>6</v>
      </c>
      <c r="D13" s="15"/>
      <c r="E13" s="15">
        <v>7416646.9296443528</v>
      </c>
      <c r="F13" s="15">
        <v>488.26901863986268</v>
      </c>
      <c r="G13" s="15">
        <v>4.1595222294348027</v>
      </c>
      <c r="H13" s="15">
        <v>7355903.4960799934</v>
      </c>
      <c r="I13" s="15">
        <v>486.04904074100011</v>
      </c>
      <c r="J13" s="15">
        <v>3.0978967302903277</v>
      </c>
      <c r="K13" s="15"/>
      <c r="L13" s="15"/>
      <c r="M13" s="15"/>
      <c r="N13" s="1">
        <f t="shared" si="0"/>
        <v>-60743.433564359322</v>
      </c>
      <c r="O13" s="1">
        <f t="shared" si="1"/>
        <v>-2.2199778988625667</v>
      </c>
      <c r="P13" s="1">
        <f t="shared" si="2"/>
        <v>-1.0616254991444749</v>
      </c>
      <c r="R13" s="1" t="s">
        <v>16</v>
      </c>
      <c r="W13" s="123">
        <v>55</v>
      </c>
      <c r="X13" s="122" t="s">
        <v>247</v>
      </c>
      <c r="Y13" s="14">
        <v>-100538.03828032129</v>
      </c>
      <c r="Z13" s="14">
        <v>-100538.03828032129</v>
      </c>
      <c r="AA13" s="1">
        <f t="shared" si="3"/>
        <v>0</v>
      </c>
    </row>
    <row r="14" spans="1:33" ht="18" thickTop="1" thickBot="1" x14ac:dyDescent="0.35">
      <c r="A14" s="17" t="s">
        <v>23</v>
      </c>
      <c r="C14" s="15">
        <v>7</v>
      </c>
      <c r="D14" s="15"/>
      <c r="E14" s="15">
        <v>10104545.512216331</v>
      </c>
      <c r="F14" s="15">
        <v>492.71894881628964</v>
      </c>
      <c r="G14" s="15">
        <v>3.7715047161342867</v>
      </c>
      <c r="H14" s="15">
        <v>9994874.7840540558</v>
      </c>
      <c r="I14" s="15">
        <v>488.57601852543945</v>
      </c>
      <c r="J14" s="15">
        <v>2.5587288291907226</v>
      </c>
      <c r="K14" s="15"/>
      <c r="L14" s="15"/>
      <c r="M14" s="15"/>
      <c r="N14" s="1">
        <f t="shared" si="0"/>
        <v>-109670.72816227563</v>
      </c>
      <c r="O14" s="1">
        <f t="shared" si="1"/>
        <v>-4.1429302908501882</v>
      </c>
      <c r="P14" s="1">
        <f t="shared" si="2"/>
        <v>-1.2127758869435641</v>
      </c>
      <c r="R14" s="1" t="s">
        <v>437</v>
      </c>
      <c r="S14" s="1">
        <f ca="1">COUNTIF(OFFSET(N$7,0,0,$C$5,1),"&lt;0")/$C$5*100</f>
        <v>100</v>
      </c>
      <c r="T14" s="1">
        <f ca="1">COUNTIF(OFFSET(O$7,0,0,$C$5,1),"&lt;0")/$C$5*100</f>
        <v>100</v>
      </c>
      <c r="U14" s="1">
        <f ca="1">COUNTIF(OFFSET(P$7,0,0,$C$5,1),"&lt;0")/$C$5*100</f>
        <v>100</v>
      </c>
      <c r="W14" s="125">
        <v>56</v>
      </c>
      <c r="X14" s="124" t="s">
        <v>248</v>
      </c>
      <c r="Y14" s="14">
        <v>-100538.03828032129</v>
      </c>
      <c r="Z14" s="14">
        <v>-100538.03828032129</v>
      </c>
      <c r="AA14" s="1">
        <f t="shared" si="3"/>
        <v>0</v>
      </c>
    </row>
    <row r="15" spans="1:33" ht="18" thickTop="1" thickBot="1" x14ac:dyDescent="0.35">
      <c r="A15" s="2"/>
      <c r="C15" s="15">
        <v>8</v>
      </c>
      <c r="D15" s="15"/>
      <c r="E15" s="15">
        <v>8140859.3458150839</v>
      </c>
      <c r="F15" s="15">
        <v>473.9924627941142</v>
      </c>
      <c r="G15" s="15">
        <v>4.5140982635517579</v>
      </c>
      <c r="H15" s="15">
        <v>8042677.2991777658</v>
      </c>
      <c r="I15" s="15">
        <v>468.84251219468877</v>
      </c>
      <c r="J15" s="15">
        <v>3.192467872752236</v>
      </c>
      <c r="K15" s="15"/>
      <c r="L15" s="15"/>
      <c r="M15" s="15"/>
      <c r="N15" s="1">
        <f t="shared" si="0"/>
        <v>-98182.046637318097</v>
      </c>
      <c r="O15" s="1">
        <f t="shared" si="1"/>
        <v>-5.1499505994254378</v>
      </c>
      <c r="P15" s="1">
        <f t="shared" si="2"/>
        <v>-1.3216303907995219</v>
      </c>
      <c r="W15" s="123">
        <v>57</v>
      </c>
      <c r="X15" s="126" t="s">
        <v>177</v>
      </c>
      <c r="Y15" s="14">
        <v>-101221.4639478866</v>
      </c>
      <c r="Z15" s="14">
        <v>-99854.612612758763</v>
      </c>
      <c r="AA15" s="1">
        <f t="shared" si="3"/>
        <v>1366.851335127838</v>
      </c>
    </row>
    <row r="16" spans="1:33" ht="18" thickTop="1" thickBot="1" x14ac:dyDescent="0.35">
      <c r="A16" s="17" t="s">
        <v>24</v>
      </c>
      <c r="C16" s="15">
        <v>9</v>
      </c>
      <c r="D16" s="15"/>
      <c r="E16" s="15">
        <v>6023803.6602321612</v>
      </c>
      <c r="F16" s="15">
        <v>428.7733974641078</v>
      </c>
      <c r="G16" s="15">
        <v>4.934545284898066</v>
      </c>
      <c r="H16" s="15">
        <v>5927881.8199610906</v>
      </c>
      <c r="I16" s="15">
        <v>424.87673240477585</v>
      </c>
      <c r="J16" s="15">
        <v>3.3675386302714641</v>
      </c>
      <c r="K16" s="15"/>
      <c r="L16" s="15"/>
      <c r="M16" s="15"/>
      <c r="N16" s="1">
        <f t="shared" si="0"/>
        <v>-95921.8402710706</v>
      </c>
      <c r="O16" s="1">
        <f t="shared" si="1"/>
        <v>-3.8966650593319514</v>
      </c>
      <c r="P16" s="1">
        <f t="shared" si="2"/>
        <v>-1.5670066546266019</v>
      </c>
      <c r="W16" s="125">
        <v>58</v>
      </c>
      <c r="X16" s="127" t="s">
        <v>175</v>
      </c>
      <c r="Y16" s="14">
        <v>-98715.813309432939</v>
      </c>
      <c r="Z16" s="14">
        <v>-102360.26325119473</v>
      </c>
      <c r="AA16" s="1">
        <f t="shared" si="3"/>
        <v>3644.4499417617917</v>
      </c>
    </row>
    <row r="17" spans="1:27" ht="18" thickTop="1" thickBot="1" x14ac:dyDescent="0.35">
      <c r="A17" s="2"/>
      <c r="C17" s="15">
        <v>10</v>
      </c>
      <c r="D17" s="15"/>
      <c r="E17" s="15">
        <v>6598564.119102696</v>
      </c>
      <c r="F17" s="15">
        <v>448.02909991529197</v>
      </c>
      <c r="G17" s="15">
        <v>5.1958078030332393</v>
      </c>
      <c r="H17" s="15">
        <v>6481919.1151526487</v>
      </c>
      <c r="I17" s="15">
        <v>443.53952667459015</v>
      </c>
      <c r="J17" s="15">
        <v>3.2642627581138726</v>
      </c>
      <c r="K17" s="15"/>
      <c r="L17" s="15"/>
      <c r="M17" s="15"/>
      <c r="N17" s="1">
        <f t="shared" si="0"/>
        <v>-116645.00395004731</v>
      </c>
      <c r="O17" s="1">
        <f t="shared" si="1"/>
        <v>-4.4895732407018158</v>
      </c>
      <c r="P17" s="1">
        <f t="shared" si="2"/>
        <v>-1.9315450449193667</v>
      </c>
      <c r="W17" s="123">
        <v>59</v>
      </c>
      <c r="X17" s="126" t="s">
        <v>176</v>
      </c>
      <c r="Y17" s="14">
        <v>-101675.38482734654</v>
      </c>
      <c r="Z17" s="14">
        <v>-99400.691733299755</v>
      </c>
      <c r="AA17" s="1">
        <f t="shared" si="3"/>
        <v>2274.6930940467864</v>
      </c>
    </row>
    <row r="18" spans="1:27" ht="18" thickTop="1" thickBot="1" x14ac:dyDescent="0.35">
      <c r="A18" s="17" t="s">
        <v>2</v>
      </c>
      <c r="C18" s="15">
        <v>11</v>
      </c>
      <c r="D18" s="15"/>
      <c r="E18" s="15">
        <v>8099833.0731257517</v>
      </c>
      <c r="F18" s="15">
        <v>478.71309964768261</v>
      </c>
      <c r="G18" s="15">
        <v>4.0164323204891978</v>
      </c>
      <c r="H18" s="15">
        <v>7994690.9352058675</v>
      </c>
      <c r="I18" s="15">
        <v>475.24875931299181</v>
      </c>
      <c r="J18" s="15">
        <v>2.8858109650392887</v>
      </c>
      <c r="K18" s="15"/>
      <c r="L18" s="15"/>
      <c r="M18" s="15"/>
      <c r="N18" s="1">
        <f t="shared" si="0"/>
        <v>-105142.13791988418</v>
      </c>
      <c r="O18" s="1">
        <f t="shared" si="1"/>
        <v>-3.464340334690803</v>
      </c>
      <c r="P18" s="1">
        <f t="shared" si="2"/>
        <v>-1.1306213554499092</v>
      </c>
      <c r="W18" s="125">
        <v>60</v>
      </c>
      <c r="X18" s="127" t="s">
        <v>174</v>
      </c>
      <c r="Y18" s="14">
        <v>-85596.88819621969</v>
      </c>
      <c r="Z18" s="14">
        <v>-115479.18836443685</v>
      </c>
      <c r="AA18" s="1">
        <f t="shared" si="3"/>
        <v>29882.30016821716</v>
      </c>
    </row>
    <row r="19" spans="1:27" ht="18" thickTop="1" thickBot="1" x14ac:dyDescent="0.35">
      <c r="A19" s="2"/>
      <c r="C19" s="15">
        <v>12</v>
      </c>
      <c r="D19" s="15"/>
      <c r="E19" s="15">
        <v>6051004.6479765587</v>
      </c>
      <c r="F19" s="15">
        <v>470.43510851827619</v>
      </c>
      <c r="G19" s="15">
        <v>5.3460607175194905</v>
      </c>
      <c r="H19" s="15">
        <v>5880567.0385503713</v>
      </c>
      <c r="I19" s="15">
        <v>463.08715357866799</v>
      </c>
      <c r="J19" s="15">
        <v>3.8410062593179792</v>
      </c>
      <c r="K19" s="15"/>
      <c r="L19" s="15"/>
      <c r="M19" s="15"/>
      <c r="N19" s="1">
        <f t="shared" si="0"/>
        <v>-170437.60942618735</v>
      </c>
      <c r="O19" s="1">
        <f t="shared" si="1"/>
        <v>-7.3479549396082007</v>
      </c>
      <c r="P19" s="1">
        <f t="shared" si="2"/>
        <v>-1.5050544582015113</v>
      </c>
      <c r="W19" s="123">
        <v>61</v>
      </c>
      <c r="X19" s="126" t="s">
        <v>178</v>
      </c>
      <c r="Y19" s="14">
        <v>-100285.32986971829</v>
      </c>
      <c r="Z19" s="14">
        <v>-100790.74669092521</v>
      </c>
      <c r="AA19" s="1">
        <f t="shared" si="3"/>
        <v>505.41682120691985</v>
      </c>
    </row>
    <row r="20" spans="1:27" ht="18" thickTop="1" thickBot="1" x14ac:dyDescent="0.35">
      <c r="A20" s="17" t="s">
        <v>3</v>
      </c>
      <c r="C20" s="15">
        <v>13</v>
      </c>
      <c r="D20" s="15"/>
      <c r="E20" s="15">
        <v>7123745.3374112649</v>
      </c>
      <c r="F20" s="15">
        <v>472.23650666622063</v>
      </c>
      <c r="G20" s="15">
        <v>5.2452664419031336</v>
      </c>
      <c r="H20" s="15">
        <v>7016557.6152949445</v>
      </c>
      <c r="I20" s="15">
        <v>468.5495233772815</v>
      </c>
      <c r="J20" s="15">
        <v>4.0153771448924269</v>
      </c>
      <c r="K20" s="15"/>
      <c r="L20" s="15"/>
      <c r="M20" s="15"/>
      <c r="N20" s="1">
        <f t="shared" si="0"/>
        <v>-107187.72211632039</v>
      </c>
      <c r="O20" s="1">
        <f t="shared" si="1"/>
        <v>-3.6869832889391319</v>
      </c>
      <c r="P20" s="1">
        <f t="shared" si="2"/>
        <v>-1.2298892970107067</v>
      </c>
      <c r="W20" s="125">
        <v>62</v>
      </c>
      <c r="X20" s="127" t="s">
        <v>179</v>
      </c>
      <c r="Y20" s="14">
        <v>-100457.48852509819</v>
      </c>
      <c r="Z20" s="14">
        <v>-100618.58803554624</v>
      </c>
      <c r="AA20" s="1">
        <f t="shared" si="3"/>
        <v>161.09951044805348</v>
      </c>
    </row>
    <row r="21" spans="1:27" ht="17.25" thickTop="1" x14ac:dyDescent="0.3">
      <c r="A21" s="2"/>
      <c r="C21" s="15">
        <v>14</v>
      </c>
      <c r="D21" s="15"/>
      <c r="E21" s="15">
        <v>6615922.3708070451</v>
      </c>
      <c r="F21" s="15">
        <v>480.98367187781383</v>
      </c>
      <c r="G21" s="15">
        <v>5.0979075042392399</v>
      </c>
      <c r="H21" s="15">
        <v>6527764.3546321811</v>
      </c>
      <c r="I21" s="15">
        <v>477.50645384272775</v>
      </c>
      <c r="J21" s="15">
        <v>3.6572725194525697</v>
      </c>
      <c r="K21" s="15"/>
      <c r="L21" s="15"/>
      <c r="M21" s="15"/>
      <c r="N21" s="1">
        <f t="shared" si="0"/>
        <v>-88158.016174864024</v>
      </c>
      <c r="O21" s="1">
        <f t="shared" si="1"/>
        <v>-3.4772180350860822</v>
      </c>
      <c r="P21" s="1">
        <f t="shared" si="2"/>
        <v>-1.4406349847866702</v>
      </c>
      <c r="W21" s="123">
        <v>63</v>
      </c>
      <c r="X21" s="126" t="s">
        <v>283</v>
      </c>
      <c r="Y21" s="14">
        <v>-88273.173683569767</v>
      </c>
      <c r="Z21" s="14">
        <v>-114955.11606016103</v>
      </c>
      <c r="AA21" s="1">
        <f t="shared" si="3"/>
        <v>26681.942376591265</v>
      </c>
    </row>
    <row r="22" spans="1:27" ht="16.5" x14ac:dyDescent="0.3">
      <c r="A22" s="2"/>
      <c r="C22" s="15">
        <v>15</v>
      </c>
      <c r="D22" s="15"/>
      <c r="E22" s="15">
        <v>5030328.9094910575</v>
      </c>
      <c r="F22" s="15">
        <v>481.56486460763938</v>
      </c>
      <c r="G22" s="15">
        <v>5.5576956006836573</v>
      </c>
      <c r="H22" s="15">
        <v>4947704.9024696741</v>
      </c>
      <c r="I22" s="15">
        <v>478.76448403787674</v>
      </c>
      <c r="J22" s="15">
        <v>3.8416417741361983</v>
      </c>
      <c r="K22" s="15"/>
      <c r="L22" s="15"/>
      <c r="M22" s="15"/>
      <c r="N22" s="1">
        <f t="shared" si="0"/>
        <v>-82624.007021383382</v>
      </c>
      <c r="O22" s="1">
        <f t="shared" si="1"/>
        <v>-2.8003805697626376</v>
      </c>
      <c r="P22" s="1">
        <f t="shared" si="2"/>
        <v>-1.716053826547459</v>
      </c>
      <c r="W22" s="125">
        <v>64</v>
      </c>
      <c r="X22" s="127" t="s">
        <v>284</v>
      </c>
      <c r="Y22" s="14">
        <v>-79584.765799484216</v>
      </c>
      <c r="Z22" s="14">
        <v>-122003.01701126713</v>
      </c>
      <c r="AA22" s="1">
        <f t="shared" si="3"/>
        <v>42418.251211782917</v>
      </c>
    </row>
    <row r="23" spans="1:27" ht="16.5" x14ac:dyDescent="0.3">
      <c r="A23" s="2"/>
      <c r="C23" s="15">
        <v>16</v>
      </c>
      <c r="D23" s="15"/>
      <c r="E23" s="15">
        <v>8628012.8691565208</v>
      </c>
      <c r="F23" s="15">
        <v>441.37996831257419</v>
      </c>
      <c r="G23" s="15">
        <v>3.6902718586712169</v>
      </c>
      <c r="H23" s="15">
        <v>8425720.1254441664</v>
      </c>
      <c r="I23" s="15">
        <v>434.11228589068543</v>
      </c>
      <c r="J23" s="15">
        <v>2.5153689894627398</v>
      </c>
      <c r="K23" s="15"/>
      <c r="L23" s="15"/>
      <c r="M23" s="15"/>
      <c r="N23" s="1">
        <f t="shared" si="0"/>
        <v>-202292.74371235445</v>
      </c>
      <c r="O23" s="1">
        <f t="shared" si="1"/>
        <v>-7.2676824218887646</v>
      </c>
      <c r="P23" s="1">
        <f t="shared" si="2"/>
        <v>-1.1749028692084771</v>
      </c>
      <c r="W23" s="1">
        <v>11</v>
      </c>
      <c r="X23" s="126" t="s">
        <v>118</v>
      </c>
      <c r="Y23" s="14">
        <v>-100208.44160076696</v>
      </c>
      <c r="Z23" s="14">
        <v>-100867.63495987561</v>
      </c>
      <c r="AA23" s="1">
        <f t="shared" si="3"/>
        <v>659.19335910864174</v>
      </c>
    </row>
    <row r="24" spans="1:27" ht="16.5" x14ac:dyDescent="0.3">
      <c r="A24" s="2"/>
      <c r="C24" s="1">
        <v>17</v>
      </c>
      <c r="E24" s="1">
        <v>6844472.6229445674</v>
      </c>
      <c r="F24" s="1">
        <v>440.67895347259156</v>
      </c>
      <c r="G24" s="1">
        <v>4.405902855591985</v>
      </c>
      <c r="H24" s="1">
        <v>6802049.8391662119</v>
      </c>
      <c r="I24" s="1">
        <v>438.97826212078155</v>
      </c>
      <c r="J24" s="1">
        <v>3.9624990389819761</v>
      </c>
      <c r="N24" s="1">
        <f t="shared" si="0"/>
        <v>-42422.783778355457</v>
      </c>
      <c r="O24" s="1">
        <f t="shared" si="1"/>
        <v>-1.7006913518100077</v>
      </c>
      <c r="P24" s="1">
        <f t="shared" si="2"/>
        <v>-0.44340381661000894</v>
      </c>
      <c r="W24" s="1">
        <v>18</v>
      </c>
      <c r="X24" s="124" t="s">
        <v>211</v>
      </c>
      <c r="Y24" s="14">
        <v>-101856.24010040611</v>
      </c>
      <c r="Z24" s="14">
        <v>-99219.836460235529</v>
      </c>
      <c r="AA24" s="1">
        <f t="shared" si="3"/>
        <v>2636.4036401705816</v>
      </c>
    </row>
    <row r="25" spans="1:27" x14ac:dyDescent="0.3">
      <c r="A25" s="2"/>
      <c r="C25" s="1">
        <v>18</v>
      </c>
      <c r="E25" s="1">
        <v>6761670.1020372547</v>
      </c>
      <c r="F25" s="1">
        <v>445.78100036781211</v>
      </c>
      <c r="G25" s="1">
        <v>4.9934639453957486</v>
      </c>
      <c r="H25" s="1">
        <v>6636675.4807685418</v>
      </c>
      <c r="I25" s="1">
        <v>440.85274654981185</v>
      </c>
      <c r="J25" s="1">
        <v>3.6411715287305602</v>
      </c>
      <c r="N25" s="1">
        <f t="shared" si="0"/>
        <v>-124994.62126871292</v>
      </c>
      <c r="O25" s="1">
        <f t="shared" si="1"/>
        <v>-4.9282538180002575</v>
      </c>
      <c r="P25" s="1">
        <f t="shared" si="2"/>
        <v>-1.3522924166651884</v>
      </c>
    </row>
    <row r="26" spans="1:27" x14ac:dyDescent="0.3">
      <c r="A26" s="2"/>
      <c r="C26" s="1">
        <v>19</v>
      </c>
      <c r="E26" s="1">
        <v>8680918.6545565277</v>
      </c>
      <c r="F26" s="1">
        <v>444.6894445376418</v>
      </c>
      <c r="G26" s="1">
        <v>5.4008458056920006</v>
      </c>
      <c r="H26" s="1">
        <v>8558631.4906750564</v>
      </c>
      <c r="I26" s="1">
        <v>438.62700922489336</v>
      </c>
      <c r="J26" s="1">
        <v>3.755351543816468</v>
      </c>
      <c r="N26" s="1">
        <f t="shared" si="0"/>
        <v>-122287.16388147138</v>
      </c>
      <c r="O26" s="1">
        <f t="shared" si="1"/>
        <v>-6.0624353127484483</v>
      </c>
      <c r="P26" s="1">
        <f t="shared" si="2"/>
        <v>-1.6454942618755326</v>
      </c>
    </row>
    <row r="27" spans="1:27" x14ac:dyDescent="0.3">
      <c r="A27" s="2"/>
      <c r="C27" s="1">
        <v>20</v>
      </c>
      <c r="E27" s="1">
        <v>9444250.8981628455</v>
      </c>
      <c r="F27" s="1">
        <v>480.08856499524296</v>
      </c>
      <c r="G27" s="1">
        <v>3.7857836027652949</v>
      </c>
      <c r="H27" s="1">
        <v>9350172.9608497042</v>
      </c>
      <c r="I27" s="1">
        <v>476.85270416932923</v>
      </c>
      <c r="J27" s="1">
        <v>3.013634302223442</v>
      </c>
      <c r="N27" s="1">
        <f t="shared" si="0"/>
        <v>-94077.937313141301</v>
      </c>
      <c r="O27" s="1">
        <f t="shared" si="1"/>
        <v>-3.2358608259137327</v>
      </c>
      <c r="P27" s="1">
        <f t="shared" si="2"/>
        <v>-0.77214930054185293</v>
      </c>
    </row>
    <row r="28" spans="1:27" x14ac:dyDescent="0.3">
      <c r="A28" s="2"/>
      <c r="C28" s="1">
        <v>21</v>
      </c>
      <c r="E28" s="1">
        <v>7565107.2770799696</v>
      </c>
      <c r="F28" s="1">
        <v>491.42460671714286</v>
      </c>
      <c r="G28" s="1">
        <v>5.6668845001676029</v>
      </c>
      <c r="H28" s="1">
        <v>7447312.5521387141</v>
      </c>
      <c r="I28" s="1">
        <v>485.89573134386404</v>
      </c>
      <c r="J28" s="1">
        <v>4.6279739517902874</v>
      </c>
      <c r="N28" s="1">
        <f t="shared" si="0"/>
        <v>-117794.72494125552</v>
      </c>
      <c r="O28" s="1">
        <f t="shared" si="1"/>
        <v>-5.5288753732788223</v>
      </c>
      <c r="P28" s="1">
        <f t="shared" si="2"/>
        <v>-1.0389105483773156</v>
      </c>
    </row>
    <row r="29" spans="1:27" x14ac:dyDescent="0.3">
      <c r="A29" s="2"/>
      <c r="C29" s="1">
        <v>22</v>
      </c>
      <c r="E29" s="1">
        <v>6977431.2679075906</v>
      </c>
      <c r="F29" s="1">
        <v>445.05456563306865</v>
      </c>
      <c r="G29" s="1">
        <v>5.4302613249194094</v>
      </c>
      <c r="H29" s="1">
        <v>6879397.6286090733</v>
      </c>
      <c r="I29" s="1">
        <v>440.75831785353546</v>
      </c>
      <c r="J29" s="1">
        <v>4.0087992780304846</v>
      </c>
      <c r="N29" s="1">
        <f t="shared" si="0"/>
        <v>-98033.639298517257</v>
      </c>
      <c r="O29" s="1">
        <f t="shared" si="1"/>
        <v>-4.2962477795331893</v>
      </c>
      <c r="P29" s="1">
        <f t="shared" si="2"/>
        <v>-1.4214620468889247</v>
      </c>
    </row>
    <row r="30" spans="1:27" x14ac:dyDescent="0.3">
      <c r="A30" s="2"/>
      <c r="C30" s="1">
        <v>23</v>
      </c>
      <c r="E30" s="1">
        <v>6076183.8684550459</v>
      </c>
      <c r="F30" s="1">
        <v>462.58552583901417</v>
      </c>
      <c r="G30" s="1">
        <v>4.2557375876046706</v>
      </c>
      <c r="H30" s="1">
        <v>6012693.7142221117</v>
      </c>
      <c r="I30" s="1">
        <v>459.57677594259053</v>
      </c>
      <c r="J30" s="1">
        <v>2.927108055940518</v>
      </c>
      <c r="N30" s="1">
        <f t="shared" si="0"/>
        <v>-63490.154232934117</v>
      </c>
      <c r="O30" s="1">
        <f t="shared" si="1"/>
        <v>-3.0087498964236374</v>
      </c>
      <c r="P30" s="1">
        <f t="shared" si="2"/>
        <v>-1.3286295316641525</v>
      </c>
    </row>
    <row r="31" spans="1:27" x14ac:dyDescent="0.3">
      <c r="A31" s="2"/>
      <c r="C31" s="1">
        <v>24</v>
      </c>
      <c r="E31" s="1">
        <v>8409464.4458896331</v>
      </c>
      <c r="F31" s="1">
        <v>482.78914705398057</v>
      </c>
      <c r="G31" s="1">
        <v>5.1702893313485596</v>
      </c>
      <c r="H31" s="1">
        <v>8290901.2994793477</v>
      </c>
      <c r="I31" s="1">
        <v>480.06638047664671</v>
      </c>
      <c r="J31" s="1">
        <v>3.9487737857698857</v>
      </c>
      <c r="N31" s="1">
        <f t="shared" si="0"/>
        <v>-118563.1464102855</v>
      </c>
      <c r="O31" s="1">
        <f t="shared" si="1"/>
        <v>-2.7227665773338572</v>
      </c>
      <c r="P31" s="1">
        <f t="shared" si="2"/>
        <v>-1.2215155455786739</v>
      </c>
    </row>
    <row r="32" spans="1:27" x14ac:dyDescent="0.3">
      <c r="A32" s="2"/>
      <c r="C32" s="1">
        <v>25</v>
      </c>
      <c r="E32" s="1">
        <v>10359489.076800985</v>
      </c>
      <c r="F32" s="1">
        <v>446.67867300486444</v>
      </c>
      <c r="G32" s="1">
        <v>5.3567778479764865</v>
      </c>
      <c r="H32" s="1">
        <v>10186398.443533503</v>
      </c>
      <c r="I32" s="1">
        <v>442.00998076493829</v>
      </c>
      <c r="J32" s="1">
        <v>3.6797736539784727</v>
      </c>
      <c r="N32" s="1">
        <f t="shared" si="0"/>
        <v>-173090.63326748274</v>
      </c>
      <c r="O32" s="1">
        <f t="shared" si="1"/>
        <v>-4.6686922399261448</v>
      </c>
      <c r="P32" s="1">
        <f t="shared" si="2"/>
        <v>-1.6770041939980138</v>
      </c>
    </row>
    <row r="33" spans="1:16" x14ac:dyDescent="0.3">
      <c r="A33" s="2"/>
      <c r="C33" s="1">
        <v>26</v>
      </c>
      <c r="E33" s="1">
        <v>10761108.239064677</v>
      </c>
      <c r="F33" s="1">
        <v>487.5595792720689</v>
      </c>
      <c r="G33" s="1">
        <v>4.6377708768064494</v>
      </c>
      <c r="H33" s="1">
        <v>10711651.610614877</v>
      </c>
      <c r="I33" s="1">
        <v>485.48951935900106</v>
      </c>
      <c r="J33" s="1">
        <v>4.034855871740052</v>
      </c>
      <c r="N33" s="1">
        <f t="shared" si="0"/>
        <v>-49456.628449799493</v>
      </c>
      <c r="O33" s="1">
        <f t="shared" si="1"/>
        <v>-2.070059913067837</v>
      </c>
      <c r="P33" s="1">
        <f t="shared" si="2"/>
        <v>-0.60291500506639739</v>
      </c>
    </row>
    <row r="34" spans="1:16" x14ac:dyDescent="0.3">
      <c r="A34" s="2"/>
      <c r="C34" s="1">
        <v>27</v>
      </c>
      <c r="E34" s="1">
        <v>7591081.2266111076</v>
      </c>
      <c r="F34" s="1">
        <v>475.39600022421143</v>
      </c>
      <c r="G34" s="1">
        <v>6.2263180758008154</v>
      </c>
      <c r="H34" s="1">
        <v>7470099.074615811</v>
      </c>
      <c r="I34" s="1">
        <v>470.9038620925117</v>
      </c>
      <c r="J34" s="1">
        <v>4.1932775560092352</v>
      </c>
      <c r="N34" s="1">
        <f t="shared" si="0"/>
        <v>-120982.15199529659</v>
      </c>
      <c r="O34" s="1">
        <f t="shared" si="1"/>
        <v>-4.4921381316997326</v>
      </c>
      <c r="P34" s="1">
        <f t="shared" si="2"/>
        <v>-2.0330405197915802</v>
      </c>
    </row>
    <row r="35" spans="1:16" x14ac:dyDescent="0.3">
      <c r="A35" s="2"/>
      <c r="C35" s="1">
        <v>28</v>
      </c>
      <c r="E35" s="1">
        <v>7171525.863622603</v>
      </c>
      <c r="F35" s="1">
        <v>443.79101525762809</v>
      </c>
      <c r="G35" s="1">
        <v>5.9936662024340261</v>
      </c>
      <c r="H35" s="1">
        <v>7067928.4586167913</v>
      </c>
      <c r="I35" s="1">
        <v>441.42043117820151</v>
      </c>
      <c r="J35" s="1">
        <v>4.1747782509566784</v>
      </c>
      <c r="N35" s="1">
        <f t="shared" si="0"/>
        <v>-103597.40500581171</v>
      </c>
      <c r="O35" s="1">
        <f t="shared" si="1"/>
        <v>-2.3705840794265782</v>
      </c>
      <c r="P35" s="1">
        <f t="shared" si="2"/>
        <v>-1.8188879514773477</v>
      </c>
    </row>
    <row r="36" spans="1:16" x14ac:dyDescent="0.3">
      <c r="A36" s="2"/>
      <c r="C36" s="1">
        <v>29</v>
      </c>
      <c r="E36" s="1">
        <v>6578650.7137277061</v>
      </c>
      <c r="F36" s="1">
        <v>482.17283552836392</v>
      </c>
      <c r="G36" s="1">
        <v>4.9019306628582839</v>
      </c>
      <c r="H36" s="1">
        <v>6502839.1172792101</v>
      </c>
      <c r="I36" s="1">
        <v>479.93127049568312</v>
      </c>
      <c r="J36" s="1">
        <v>3.2065850332837895</v>
      </c>
      <c r="N36" s="1">
        <f t="shared" si="0"/>
        <v>-75811.596448495984</v>
      </c>
      <c r="O36" s="1">
        <f t="shared" si="1"/>
        <v>-2.2415650326807963</v>
      </c>
      <c r="P36" s="1">
        <f t="shared" si="2"/>
        <v>-1.6953456295744944</v>
      </c>
    </row>
    <row r="37" spans="1:16" x14ac:dyDescent="0.3">
      <c r="A37" s="2"/>
      <c r="C37" s="1">
        <v>30</v>
      </c>
      <c r="E37" s="1">
        <v>7977130.8717954131</v>
      </c>
      <c r="F37" s="1">
        <v>478.05134010431527</v>
      </c>
      <c r="G37" s="1">
        <v>5.6702220342282885</v>
      </c>
      <c r="H37" s="1">
        <v>7846386.7909235628</v>
      </c>
      <c r="I37" s="1">
        <v>472.4326481530403</v>
      </c>
      <c r="J37" s="1">
        <v>4.3381572254517469</v>
      </c>
      <c r="N37" s="1">
        <f t="shared" si="0"/>
        <v>-130744.08087185025</v>
      </c>
      <c r="O37" s="1">
        <f t="shared" si="1"/>
        <v>-5.6186919512749682</v>
      </c>
      <c r="P37" s="1">
        <f t="shared" si="2"/>
        <v>-1.3320648087765417</v>
      </c>
    </row>
    <row r="38" spans="1:16" x14ac:dyDescent="0.3">
      <c r="A38" s="2"/>
      <c r="C38" s="1">
        <v>31</v>
      </c>
      <c r="E38" s="1">
        <v>7610645.2646999694</v>
      </c>
      <c r="F38" s="1">
        <v>470.91639719637959</v>
      </c>
      <c r="G38" s="1">
        <v>4.4578836108588034</v>
      </c>
      <c r="H38" s="1">
        <v>7522249.6850441527</v>
      </c>
      <c r="I38" s="1">
        <v>466.2342927474229</v>
      </c>
      <c r="J38" s="1">
        <v>3.1774503957538536</v>
      </c>
      <c r="N38" s="1">
        <f t="shared" si="0"/>
        <v>-88395.579655816779</v>
      </c>
      <c r="O38" s="1">
        <f t="shared" si="1"/>
        <v>-4.682104448956693</v>
      </c>
      <c r="P38" s="1">
        <f t="shared" si="2"/>
        <v>-1.2804332151049498</v>
      </c>
    </row>
    <row r="39" spans="1:16" x14ac:dyDescent="0.3">
      <c r="A39" s="2"/>
      <c r="C39" s="1">
        <v>32</v>
      </c>
      <c r="E39" s="1">
        <v>6572126.3283460177</v>
      </c>
      <c r="F39" s="1">
        <v>456.52581307070682</v>
      </c>
      <c r="G39" s="1">
        <v>6.3099828978104995</v>
      </c>
      <c r="H39" s="1">
        <v>6474773.9979351368</v>
      </c>
      <c r="I39" s="1">
        <v>452.45761558619671</v>
      </c>
      <c r="J39" s="1">
        <v>4.6248245881553238</v>
      </c>
      <c r="N39" s="1">
        <f t="shared" si="0"/>
        <v>-97352.330410880968</v>
      </c>
      <c r="O39" s="1">
        <f t="shared" si="1"/>
        <v>-4.0681974845101081</v>
      </c>
      <c r="P39" s="1">
        <f t="shared" si="2"/>
        <v>-1.6851583096551757</v>
      </c>
    </row>
    <row r="40" spans="1:16" x14ac:dyDescent="0.3">
      <c r="A40" s="2"/>
      <c r="C40" s="1">
        <v>33</v>
      </c>
      <c r="E40" s="1">
        <v>7459315.1095514363</v>
      </c>
      <c r="F40" s="1">
        <v>493.83288384984934</v>
      </c>
      <c r="G40" s="1">
        <v>4.2843281385686902</v>
      </c>
      <c r="H40" s="1">
        <v>7405254.7267636796</v>
      </c>
      <c r="I40" s="1">
        <v>491.5509616525793</v>
      </c>
      <c r="J40" s="1">
        <v>3.6336089867157026</v>
      </c>
      <c r="N40" s="1">
        <f t="shared" si="0"/>
        <v>-54060.382787756622</v>
      </c>
      <c r="O40" s="1">
        <f t="shared" si="1"/>
        <v>-2.2819221972700348</v>
      </c>
      <c r="P40" s="1">
        <f t="shared" si="2"/>
        <v>-0.65071915185298757</v>
      </c>
    </row>
    <row r="41" spans="1:16" x14ac:dyDescent="0.3">
      <c r="C41" s="1">
        <v>34</v>
      </c>
      <c r="E41" s="1">
        <v>5970284.4394352883</v>
      </c>
      <c r="F41" s="1">
        <v>464.68641008727832</v>
      </c>
      <c r="G41" s="1">
        <v>5.3209483097539518</v>
      </c>
      <c r="H41" s="1">
        <v>5883203.1241625492</v>
      </c>
      <c r="I41" s="1">
        <v>462.61212594308284</v>
      </c>
      <c r="J41" s="1">
        <v>3.8804101577692625</v>
      </c>
      <c r="N41" s="1">
        <f t="shared" si="0"/>
        <v>-87081.315272739157</v>
      </c>
      <c r="O41" s="1">
        <f t="shared" si="1"/>
        <v>-2.0742841441954738</v>
      </c>
      <c r="P41" s="1">
        <f t="shared" si="2"/>
        <v>-1.4405381519846894</v>
      </c>
    </row>
    <row r="42" spans="1:16" x14ac:dyDescent="0.3">
      <c r="C42" s="1">
        <v>35</v>
      </c>
      <c r="E42" s="1">
        <v>7145586.794843073</v>
      </c>
      <c r="F42" s="1">
        <v>498.47612481410727</v>
      </c>
      <c r="G42" s="1">
        <v>6.0325919346820971</v>
      </c>
      <c r="H42" s="1">
        <v>7031317.1760636214</v>
      </c>
      <c r="I42" s="1">
        <v>494.1725103435561</v>
      </c>
      <c r="J42" s="1">
        <v>4.2770253430475629</v>
      </c>
      <c r="N42" s="1">
        <f t="shared" si="0"/>
        <v>-114269.61877945159</v>
      </c>
      <c r="O42" s="1">
        <f t="shared" si="1"/>
        <v>-4.3036144705511674</v>
      </c>
      <c r="P42" s="1">
        <f t="shared" si="2"/>
        <v>-1.7555665916345342</v>
      </c>
    </row>
    <row r="43" spans="1:16" x14ac:dyDescent="0.3">
      <c r="C43" s="1">
        <v>36</v>
      </c>
      <c r="E43" s="1">
        <v>7301631.746413039</v>
      </c>
      <c r="F43" s="1">
        <v>501.67261508895331</v>
      </c>
      <c r="G43" s="1">
        <v>6.2397713734081961</v>
      </c>
      <c r="H43" s="1">
        <v>7170602.1691759992</v>
      </c>
      <c r="I43" s="1">
        <v>498.56387211215838</v>
      </c>
      <c r="J43" s="1">
        <v>4.4803555226155813</v>
      </c>
      <c r="N43" s="1">
        <f t="shared" si="0"/>
        <v>-131029.5772370398</v>
      </c>
      <c r="O43" s="1">
        <f t="shared" si="1"/>
        <v>-3.1087429767949288</v>
      </c>
      <c r="P43" s="1">
        <f t="shared" si="2"/>
        <v>-1.7594158507926148</v>
      </c>
    </row>
    <row r="44" spans="1:16" x14ac:dyDescent="0.3">
      <c r="C44" s="1">
        <v>37</v>
      </c>
      <c r="E44" s="1">
        <v>7177597.244363077</v>
      </c>
      <c r="F44" s="1">
        <v>456.09522981267583</v>
      </c>
      <c r="G44" s="1">
        <v>5.4267145093635243</v>
      </c>
      <c r="H44" s="1">
        <v>7040194.9631363517</v>
      </c>
      <c r="I44" s="1">
        <v>449.54644902166586</v>
      </c>
      <c r="J44" s="1">
        <v>3.9954213898845268</v>
      </c>
      <c r="N44" s="1">
        <f t="shared" si="0"/>
        <v>-137402.28122672532</v>
      </c>
      <c r="O44" s="1">
        <f t="shared" si="1"/>
        <v>-6.5487807910099605</v>
      </c>
      <c r="P44" s="1">
        <f t="shared" si="2"/>
        <v>-1.4312931194789975</v>
      </c>
    </row>
    <row r="45" spans="1:16" x14ac:dyDescent="0.3">
      <c r="C45" s="1">
        <v>38</v>
      </c>
      <c r="E45" s="1">
        <v>7287361.1215556404</v>
      </c>
      <c r="F45" s="1">
        <v>494.60768712169596</v>
      </c>
      <c r="G45" s="1">
        <v>4.5605452316099573</v>
      </c>
      <c r="H45" s="1">
        <v>7169454.4798649652</v>
      </c>
      <c r="I45" s="1">
        <v>489.63681376895113</v>
      </c>
      <c r="J45" s="1">
        <v>3.4154522256322819</v>
      </c>
      <c r="N45" s="1">
        <f t="shared" si="0"/>
        <v>-117906.64169067517</v>
      </c>
      <c r="O45" s="1">
        <f t="shared" si="1"/>
        <v>-4.9708733527448317</v>
      </c>
      <c r="P45" s="1">
        <f t="shared" si="2"/>
        <v>-1.1450930059776754</v>
      </c>
    </row>
    <row r="46" spans="1:16" x14ac:dyDescent="0.3">
      <c r="C46" s="1">
        <v>39</v>
      </c>
      <c r="E46" s="1">
        <v>7598881.231347261</v>
      </c>
      <c r="F46" s="1">
        <v>445.06503071095563</v>
      </c>
      <c r="G46" s="1">
        <v>4.5669896397671312</v>
      </c>
      <c r="H46" s="1">
        <v>7504687.3160801232</v>
      </c>
      <c r="I46" s="1">
        <v>440.61639002576783</v>
      </c>
      <c r="J46" s="1">
        <v>3.6588688593496981</v>
      </c>
      <c r="N46" s="1">
        <f t="shared" si="0"/>
        <v>-94193.915267137811</v>
      </c>
      <c r="O46" s="1">
        <f t="shared" si="1"/>
        <v>-4.4486406851877973</v>
      </c>
      <c r="P46" s="1">
        <f t="shared" si="2"/>
        <v>-0.90812078041743316</v>
      </c>
    </row>
    <row r="47" spans="1:16" x14ac:dyDescent="0.3">
      <c r="C47" s="1">
        <v>40</v>
      </c>
      <c r="E47" s="1">
        <v>7262028.1517472193</v>
      </c>
      <c r="F47" s="1">
        <v>431.42890223848474</v>
      </c>
      <c r="G47" s="1">
        <v>5.3309690214555907</v>
      </c>
      <c r="H47" s="1">
        <v>7157910.4484245069</v>
      </c>
      <c r="I47" s="1">
        <v>427.82168972795517</v>
      </c>
      <c r="J47" s="1">
        <v>3.7925276706458755</v>
      </c>
      <c r="N47" s="1">
        <f t="shared" si="0"/>
        <v>-104117.70332271233</v>
      </c>
      <c r="O47" s="1">
        <f t="shared" si="1"/>
        <v>-3.607212510529564</v>
      </c>
      <c r="P47" s="1">
        <f t="shared" si="2"/>
        <v>-1.5384413508097152</v>
      </c>
    </row>
    <row r="48" spans="1:16" x14ac:dyDescent="0.3">
      <c r="C48" s="1">
        <v>41</v>
      </c>
      <c r="E48" s="1">
        <v>8632349.4230476841</v>
      </c>
      <c r="F48" s="1">
        <v>444.25585666167524</v>
      </c>
      <c r="G48" s="1">
        <v>5.4769643001047665</v>
      </c>
      <c r="H48" s="1">
        <v>8503876.3616873007</v>
      </c>
      <c r="I48" s="1">
        <v>439.71074142188746</v>
      </c>
      <c r="J48" s="1">
        <v>4.073029720368484</v>
      </c>
      <c r="N48" s="1">
        <f t="shared" si="0"/>
        <v>-128473.06136038341</v>
      </c>
      <c r="O48" s="1">
        <f t="shared" si="1"/>
        <v>-4.5451152397877763</v>
      </c>
      <c r="P48" s="1">
        <f t="shared" si="2"/>
        <v>-1.4039345797362826</v>
      </c>
    </row>
    <row r="49" spans="3:16" x14ac:dyDescent="0.3">
      <c r="C49" s="1">
        <v>42</v>
      </c>
      <c r="E49" s="1">
        <v>8116170.3389706872</v>
      </c>
      <c r="F49" s="1">
        <v>496.35063274764013</v>
      </c>
      <c r="G49" s="1">
        <v>6.2125050913896374</v>
      </c>
      <c r="H49" s="1">
        <v>7904380.6731462795</v>
      </c>
      <c r="I49" s="1">
        <v>488.19273804064784</v>
      </c>
      <c r="J49" s="1">
        <v>4.5859284385813659</v>
      </c>
      <c r="N49" s="1">
        <f t="shared" si="0"/>
        <v>-211789.66582440771</v>
      </c>
      <c r="O49" s="1">
        <f t="shared" si="1"/>
        <v>-8.1578947069922947</v>
      </c>
      <c r="P49" s="1">
        <f t="shared" si="2"/>
        <v>-1.6265766528082715</v>
      </c>
    </row>
    <row r="50" spans="3:16" x14ac:dyDescent="0.3">
      <c r="C50" s="1">
        <v>43</v>
      </c>
      <c r="E50" s="1">
        <v>5738480.290461204</v>
      </c>
      <c r="F50" s="1">
        <v>477.13647023813604</v>
      </c>
      <c r="G50" s="1">
        <v>4.5718531716534478</v>
      </c>
      <c r="H50" s="1">
        <v>5692369.4591338374</v>
      </c>
      <c r="I50" s="1">
        <v>475.56868954406536</v>
      </c>
      <c r="J50" s="1">
        <v>3.837371107337137</v>
      </c>
      <c r="N50" s="1">
        <f t="shared" si="0"/>
        <v>-46110.831327366643</v>
      </c>
      <c r="O50" s="1">
        <f t="shared" si="1"/>
        <v>-1.5677806940706773</v>
      </c>
      <c r="P50" s="1">
        <f t="shared" si="2"/>
        <v>-0.7344820643163108</v>
      </c>
    </row>
    <row r="51" spans="3:16" x14ac:dyDescent="0.3">
      <c r="C51" s="1">
        <v>44</v>
      </c>
      <c r="E51" s="1">
        <v>5892639.494219969</v>
      </c>
      <c r="F51" s="1">
        <v>469.61625331292527</v>
      </c>
      <c r="G51" s="1">
        <v>5.1110572344922058</v>
      </c>
      <c r="H51" s="1">
        <v>5801894.2246236717</v>
      </c>
      <c r="I51" s="1">
        <v>466.56105178989407</v>
      </c>
      <c r="J51" s="1">
        <v>4.1915721520000897</v>
      </c>
      <c r="N51" s="1">
        <f t="shared" si="0"/>
        <v>-90745.269596297294</v>
      </c>
      <c r="O51" s="1">
        <f t="shared" si="1"/>
        <v>-3.0552015230312008</v>
      </c>
      <c r="P51" s="1">
        <f t="shared" si="2"/>
        <v>-0.91948508249211613</v>
      </c>
    </row>
    <row r="52" spans="3:16" x14ac:dyDescent="0.3">
      <c r="C52" s="1">
        <v>45</v>
      </c>
      <c r="E52" s="1">
        <v>10414523.802444635</v>
      </c>
      <c r="F52" s="1">
        <v>452.21390421038762</v>
      </c>
      <c r="G52" s="1">
        <v>5.2079655568520238</v>
      </c>
      <c r="H52" s="1">
        <v>10234978.95594948</v>
      </c>
      <c r="I52" s="1">
        <v>444.91552923885718</v>
      </c>
      <c r="J52" s="1">
        <v>3.6550686094132279</v>
      </c>
      <c r="N52" s="1">
        <f t="shared" si="0"/>
        <v>-179544.84649515525</v>
      </c>
      <c r="O52" s="1">
        <f t="shared" si="1"/>
        <v>-7.2983749715304498</v>
      </c>
      <c r="P52" s="1">
        <f t="shared" si="2"/>
        <v>-1.5528969474387959</v>
      </c>
    </row>
    <row r="53" spans="3:16" x14ac:dyDescent="0.3">
      <c r="C53" s="1">
        <v>46</v>
      </c>
      <c r="E53" s="1">
        <v>6484532.7024971182</v>
      </c>
      <c r="F53" s="1">
        <v>494.2965546532667</v>
      </c>
      <c r="G53" s="1">
        <v>5.6532709843640383</v>
      </c>
      <c r="H53" s="1">
        <v>6400480.7501109242</v>
      </c>
      <c r="I53" s="1">
        <v>492.03461365260119</v>
      </c>
      <c r="J53" s="1">
        <v>4.7005181472404116</v>
      </c>
      <c r="N53" s="1">
        <f t="shared" si="0"/>
        <v>-84051.952386193909</v>
      </c>
      <c r="O53" s="1">
        <f t="shared" si="1"/>
        <v>-2.2619410006655016</v>
      </c>
      <c r="P53" s="1">
        <f t="shared" si="2"/>
        <v>-0.95275283712362668</v>
      </c>
    </row>
    <row r="54" spans="3:16" x14ac:dyDescent="0.3">
      <c r="C54" s="1">
        <v>47</v>
      </c>
      <c r="E54" s="1">
        <v>6946208.1592949191</v>
      </c>
      <c r="F54" s="1">
        <v>485.69726400558511</v>
      </c>
      <c r="G54" s="1">
        <v>6.7197683490260083</v>
      </c>
      <c r="H54" s="1">
        <v>6876060.3953627897</v>
      </c>
      <c r="I54" s="1">
        <v>482.63340943804116</v>
      </c>
      <c r="J54" s="1">
        <v>5.5669828046143595</v>
      </c>
      <c r="N54" s="1">
        <f t="shared" si="0"/>
        <v>-70147.763932129368</v>
      </c>
      <c r="O54" s="1">
        <f t="shared" si="1"/>
        <v>-3.0638545675439559</v>
      </c>
      <c r="P54" s="1">
        <f t="shared" si="2"/>
        <v>-1.1527855444116488</v>
      </c>
    </row>
    <row r="55" spans="3:16" x14ac:dyDescent="0.3">
      <c r="C55" s="1">
        <v>48</v>
      </c>
      <c r="E55" s="1">
        <v>7094589.8716158057</v>
      </c>
      <c r="F55" s="1">
        <v>457.18716366046203</v>
      </c>
      <c r="G55" s="1">
        <v>4.9879421845007723</v>
      </c>
      <c r="H55" s="1">
        <v>6997049.3331453605</v>
      </c>
      <c r="I55" s="1">
        <v>453.71599957660209</v>
      </c>
      <c r="J55" s="1">
        <v>4.1973354856568443</v>
      </c>
      <c r="N55" s="1">
        <f t="shared" si="0"/>
        <v>-97540.538470445201</v>
      </c>
      <c r="O55" s="1">
        <f t="shared" si="1"/>
        <v>-3.4711640838599465</v>
      </c>
      <c r="P55" s="1">
        <f t="shared" si="2"/>
        <v>-0.79060669884392798</v>
      </c>
    </row>
    <row r="56" spans="3:16" x14ac:dyDescent="0.3">
      <c r="C56" s="1">
        <v>49</v>
      </c>
      <c r="E56" s="1">
        <v>8562684.0291618332</v>
      </c>
      <c r="F56" s="1">
        <v>483.78447108756887</v>
      </c>
      <c r="G56" s="1">
        <v>5.4202507903549062</v>
      </c>
      <c r="H56" s="1">
        <v>8431810.0907408465</v>
      </c>
      <c r="I56" s="1">
        <v>479.67332362818934</v>
      </c>
      <c r="J56" s="1">
        <v>3.5832259242171425</v>
      </c>
      <c r="N56" s="1">
        <f t="shared" si="0"/>
        <v>-130873.93842098676</v>
      </c>
      <c r="O56" s="1">
        <f t="shared" si="1"/>
        <v>-4.1111474593795378</v>
      </c>
      <c r="P56" s="1">
        <f t="shared" si="2"/>
        <v>-1.8370248661377637</v>
      </c>
    </row>
    <row r="57" spans="3:16" x14ac:dyDescent="0.3">
      <c r="C57" s="1">
        <v>50</v>
      </c>
      <c r="E57" s="1">
        <v>9019952.2569243349</v>
      </c>
      <c r="F57" s="1">
        <v>518.43771093845965</v>
      </c>
      <c r="G57" s="1">
        <v>5.2955112517442835</v>
      </c>
      <c r="H57" s="1">
        <v>8872505.1390865818</v>
      </c>
      <c r="I57" s="1">
        <v>512.43214727576424</v>
      </c>
      <c r="J57" s="1">
        <v>4.2790081884448554</v>
      </c>
      <c r="N57" s="1">
        <f t="shared" si="0"/>
        <v>-147447.11783775315</v>
      </c>
      <c r="O57" s="1">
        <f t="shared" si="1"/>
        <v>-6.0055636626954083</v>
      </c>
      <c r="P57" s="1">
        <f t="shared" si="2"/>
        <v>-1.0165030632994281</v>
      </c>
    </row>
    <row r="58" spans="3:16" x14ac:dyDescent="0.3">
      <c r="C58" s="1">
        <v>51</v>
      </c>
      <c r="E58" s="1">
        <v>6660778.9267821303</v>
      </c>
      <c r="F58" s="1">
        <v>471.43543680309728</v>
      </c>
      <c r="G58" s="1">
        <v>5.1613685367969051</v>
      </c>
      <c r="H58" s="1">
        <v>6559309.29115267</v>
      </c>
      <c r="I58" s="1">
        <v>468.05249082516815</v>
      </c>
      <c r="J58" s="1">
        <v>3.6370586043762825</v>
      </c>
      <c r="N58" s="1">
        <f t="shared" si="0"/>
        <v>-101469.63562946022</v>
      </c>
      <c r="O58" s="1">
        <f t="shared" si="1"/>
        <v>-3.3829459779291255</v>
      </c>
      <c r="P58" s="1">
        <f t="shared" si="2"/>
        <v>-1.5243099324206226</v>
      </c>
    </row>
    <row r="59" spans="3:16" x14ac:dyDescent="0.3">
      <c r="C59" s="1">
        <v>52</v>
      </c>
      <c r="E59" s="1">
        <v>6303528.7895489987</v>
      </c>
      <c r="F59" s="1">
        <v>439.37624028575829</v>
      </c>
      <c r="G59" s="1">
        <v>4.2097682132295438</v>
      </c>
      <c r="H59" s="1">
        <v>6248576.4021806363</v>
      </c>
      <c r="I59" s="1">
        <v>436.6089426808598</v>
      </c>
      <c r="J59" s="1">
        <v>3.1506047522185692</v>
      </c>
      <c r="N59" s="1">
        <f t="shared" si="0"/>
        <v>-54952.387368362397</v>
      </c>
      <c r="O59" s="1">
        <f t="shared" si="1"/>
        <v>-2.7672976048984879</v>
      </c>
      <c r="P59" s="1">
        <f t="shared" si="2"/>
        <v>-1.0591634610109746</v>
      </c>
    </row>
    <row r="60" spans="3:16" x14ac:dyDescent="0.3">
      <c r="C60" s="1">
        <v>53</v>
      </c>
      <c r="E60" s="1">
        <v>6879778.3013597038</v>
      </c>
      <c r="F60" s="1">
        <v>475.33213543123571</v>
      </c>
      <c r="G60" s="1">
        <v>5.8447107879217546</v>
      </c>
      <c r="H60" s="1">
        <v>6815263.3086641282</v>
      </c>
      <c r="I60" s="1">
        <v>472.70107532396605</v>
      </c>
      <c r="J60" s="1">
        <v>4.5009319781195796</v>
      </c>
      <c r="N60" s="1">
        <f t="shared" si="0"/>
        <v>-64514.99269557558</v>
      </c>
      <c r="O60" s="1">
        <f t="shared" si="1"/>
        <v>-2.6310601072696613</v>
      </c>
      <c r="P60" s="1">
        <f t="shared" si="2"/>
        <v>-1.343778809802175</v>
      </c>
    </row>
    <row r="61" spans="3:16" x14ac:dyDescent="0.3">
      <c r="C61" s="1">
        <v>54</v>
      </c>
      <c r="E61" s="1">
        <v>9190741.229494879</v>
      </c>
      <c r="F61" s="1">
        <v>446.33572250350085</v>
      </c>
      <c r="G61" s="1">
        <v>3.9912499440925728</v>
      </c>
      <c r="H61" s="1">
        <v>9108410.9926996548</v>
      </c>
      <c r="I61" s="1">
        <v>443.32591495680367</v>
      </c>
      <c r="J61" s="1">
        <v>2.9376629600559183</v>
      </c>
      <c r="N61" s="1">
        <f t="shared" si="0"/>
        <v>-82330.236795224249</v>
      </c>
      <c r="O61" s="1">
        <f t="shared" si="1"/>
        <v>-3.009807546697175</v>
      </c>
      <c r="P61" s="1">
        <f t="shared" si="2"/>
        <v>-1.0535869840366545</v>
      </c>
    </row>
    <row r="62" spans="3:16" x14ac:dyDescent="0.3">
      <c r="C62" s="1">
        <v>55</v>
      </c>
      <c r="E62" s="1">
        <v>7489945.9769052481</v>
      </c>
      <c r="F62" s="1">
        <v>496.22784983112967</v>
      </c>
      <c r="G62" s="1">
        <v>3.691890834969902</v>
      </c>
      <c r="H62" s="1">
        <v>7393844.3942126622</v>
      </c>
      <c r="I62" s="1">
        <v>491.33676284488672</v>
      </c>
      <c r="J62" s="1">
        <v>2.9376873946957422</v>
      </c>
      <c r="N62" s="1">
        <f t="shared" si="0"/>
        <v>-96101.582692585886</v>
      </c>
      <c r="O62" s="1">
        <f t="shared" si="1"/>
        <v>-4.8910869862429536</v>
      </c>
      <c r="P62" s="1">
        <f t="shared" si="2"/>
        <v>-0.75420344027415975</v>
      </c>
    </row>
    <row r="63" spans="3:16" x14ac:dyDescent="0.3">
      <c r="C63" s="1">
        <v>56</v>
      </c>
      <c r="E63" s="1">
        <v>6178509.2193205776</v>
      </c>
      <c r="F63" s="1">
        <v>480.99160621745909</v>
      </c>
      <c r="G63" s="1">
        <v>5.2140041547020317</v>
      </c>
      <c r="H63" s="1">
        <v>6081757.7476115515</v>
      </c>
      <c r="I63" s="1">
        <v>477.58324988051675</v>
      </c>
      <c r="J63" s="1">
        <v>3.3645241460689332</v>
      </c>
      <c r="N63" s="1">
        <f t="shared" si="0"/>
        <v>-96751.471709026024</v>
      </c>
      <c r="O63" s="1">
        <f t="shared" si="1"/>
        <v>-3.4083563369423473</v>
      </c>
      <c r="P63" s="1">
        <f t="shared" si="2"/>
        <v>-1.8494800086330985</v>
      </c>
    </row>
    <row r="64" spans="3:16" x14ac:dyDescent="0.3">
      <c r="C64" s="1">
        <v>57</v>
      </c>
      <c r="E64" s="1">
        <v>7401720.5300368518</v>
      </c>
      <c r="F64" s="1">
        <v>474.88434209321895</v>
      </c>
      <c r="G64" s="1">
        <v>5.3980309030177187</v>
      </c>
      <c r="H64" s="1">
        <v>7301179.7735971361</v>
      </c>
      <c r="I64" s="1">
        <v>470.19549178229562</v>
      </c>
      <c r="J64" s="1">
        <v>4.4687712398205477</v>
      </c>
      <c r="N64" s="1">
        <f t="shared" si="0"/>
        <v>-100540.75643971562</v>
      </c>
      <c r="O64" s="1">
        <f t="shared" si="1"/>
        <v>-4.6888503109233284</v>
      </c>
      <c r="P64" s="1">
        <f t="shared" si="2"/>
        <v>-0.92925966319717102</v>
      </c>
    </row>
    <row r="65" spans="3:16" x14ac:dyDescent="0.3">
      <c r="C65" s="1">
        <v>58</v>
      </c>
      <c r="E65" s="1">
        <v>7111614.7431272985</v>
      </c>
      <c r="F65" s="1">
        <v>499.13593125741625</v>
      </c>
      <c r="G65" s="1">
        <v>4.486673721540372</v>
      </c>
      <c r="H65" s="1">
        <v>6864522.7085250597</v>
      </c>
      <c r="I65" s="1">
        <v>487.10092540908704</v>
      </c>
      <c r="J65" s="1">
        <v>3.1579580455245417</v>
      </c>
      <c r="N65" s="1">
        <f t="shared" si="0"/>
        <v>-247092.0346022388</v>
      </c>
      <c r="O65" s="1">
        <f t="shared" si="1"/>
        <v>-12.035005848329206</v>
      </c>
      <c r="P65" s="1">
        <f t="shared" si="2"/>
        <v>-1.3287156760158303</v>
      </c>
    </row>
    <row r="66" spans="3:16" x14ac:dyDescent="0.3">
      <c r="C66" s="1">
        <v>59</v>
      </c>
      <c r="E66" s="1">
        <v>8552320.7891455628</v>
      </c>
      <c r="F66" s="1">
        <v>435.99476249894167</v>
      </c>
      <c r="G66" s="1">
        <v>4.8742649428918616</v>
      </c>
      <c r="H66" s="1">
        <v>8414398.3755012881</v>
      </c>
      <c r="I66" s="1">
        <v>432.02888651964378</v>
      </c>
      <c r="J66" s="1">
        <v>3.6305242561010154</v>
      </c>
      <c r="N66" s="1">
        <f t="shared" si="0"/>
        <v>-137922.4136442747</v>
      </c>
      <c r="O66" s="1">
        <f t="shared" si="1"/>
        <v>-3.9658759792978913</v>
      </c>
      <c r="P66" s="1">
        <f t="shared" si="2"/>
        <v>-1.2437406867908463</v>
      </c>
    </row>
    <row r="67" spans="3:16" x14ac:dyDescent="0.3">
      <c r="C67" s="1">
        <v>60</v>
      </c>
      <c r="E67" s="1">
        <v>7508560.8004194582</v>
      </c>
      <c r="F67" s="1">
        <v>500.02711758311011</v>
      </c>
      <c r="G67" s="1">
        <v>4.4195695550581018</v>
      </c>
      <c r="H67" s="1">
        <v>7374063.1111764992</v>
      </c>
      <c r="I67" s="1">
        <v>495.42752990297242</v>
      </c>
      <c r="J67" s="1">
        <v>2.8552645752644508</v>
      </c>
      <c r="N67" s="1">
        <f t="shared" si="0"/>
        <v>-134497.68924295902</v>
      </c>
      <c r="O67" s="1">
        <f t="shared" si="1"/>
        <v>-4.599587680137688</v>
      </c>
      <c r="P67" s="1">
        <f t="shared" si="2"/>
        <v>-1.564304979793651</v>
      </c>
    </row>
    <row r="68" spans="3:16" x14ac:dyDescent="0.3">
      <c r="C68" s="1">
        <v>61</v>
      </c>
      <c r="E68" s="1">
        <v>6844752.3481847495</v>
      </c>
      <c r="F68" s="1">
        <v>461.0388855656314</v>
      </c>
      <c r="G68" s="1">
        <v>4.5364605058514735</v>
      </c>
      <c r="H68" s="1">
        <v>6763578.8361716755</v>
      </c>
      <c r="I68" s="1">
        <v>456.53083909556102</v>
      </c>
      <c r="J68" s="1">
        <v>3.8208463525606011</v>
      </c>
      <c r="N68" s="1">
        <f t="shared" si="0"/>
        <v>-81173.512013074011</v>
      </c>
      <c r="O68" s="1">
        <f t="shared" si="1"/>
        <v>-4.5080464700703828</v>
      </c>
      <c r="P68" s="1">
        <f t="shared" si="2"/>
        <v>-0.71561415329087241</v>
      </c>
    </row>
    <row r="69" spans="3:16" x14ac:dyDescent="0.3">
      <c r="C69" s="1">
        <v>62</v>
      </c>
      <c r="E69" s="1">
        <v>7748251.394021634</v>
      </c>
      <c r="F69" s="1">
        <v>466.94627311677294</v>
      </c>
      <c r="G69" s="1">
        <v>3.5034936285014924</v>
      </c>
      <c r="H69" s="1">
        <v>7693501.546148832</v>
      </c>
      <c r="I69" s="1">
        <v>464.90381350167144</v>
      </c>
      <c r="J69" s="1">
        <v>2.9333786042325052</v>
      </c>
      <c r="N69" s="1">
        <f t="shared" si="0"/>
        <v>-54749.847872802056</v>
      </c>
      <c r="O69" s="1">
        <f t="shared" si="1"/>
        <v>-2.0424596151015066</v>
      </c>
      <c r="P69" s="1">
        <f t="shared" si="2"/>
        <v>-0.57011502426898719</v>
      </c>
    </row>
    <row r="70" spans="3:16" x14ac:dyDescent="0.3">
      <c r="C70" s="1">
        <v>63</v>
      </c>
      <c r="E70" s="1">
        <v>10191267.20641185</v>
      </c>
      <c r="F70" s="1">
        <v>492.36549696678492</v>
      </c>
      <c r="G70" s="1">
        <v>3.7768803958157222</v>
      </c>
      <c r="H70" s="1">
        <v>10099414.111467822</v>
      </c>
      <c r="I70" s="1">
        <v>488.65953539943757</v>
      </c>
      <c r="J70" s="1">
        <v>2.9353052190606763</v>
      </c>
      <c r="N70" s="1">
        <f t="shared" si="0"/>
        <v>-91853.094944028184</v>
      </c>
      <c r="O70" s="1">
        <f t="shared" si="1"/>
        <v>-3.7059615673473445</v>
      </c>
      <c r="P70" s="1">
        <f t="shared" si="2"/>
        <v>-0.8415751767550459</v>
      </c>
    </row>
    <row r="71" spans="3:16" x14ac:dyDescent="0.3">
      <c r="C71" s="1">
        <v>64</v>
      </c>
      <c r="E71" s="1">
        <v>6035189.9834421575</v>
      </c>
      <c r="F71" s="1">
        <v>462.1645760390341</v>
      </c>
      <c r="G71" s="1">
        <v>6.0060544024618956</v>
      </c>
      <c r="H71" s="1">
        <v>5939691.1442193519</v>
      </c>
      <c r="I71" s="1">
        <v>457.2559190927031</v>
      </c>
      <c r="J71" s="1">
        <v>4.3469516002436084</v>
      </c>
      <c r="N71" s="1">
        <f t="shared" ref="N71:N134" si="7">IF(LEN($C71)&gt;0,H71-E71,"")</f>
        <v>-95498.839222805575</v>
      </c>
      <c r="O71" s="1">
        <f t="shared" ref="O71:O134" si="8">IF(LEN($C71)&gt;0,I71-F71,"")</f>
        <v>-4.908656946331007</v>
      </c>
      <c r="P71" s="1">
        <f t="shared" ref="P71:P134" si="9">IF(LEN($C71)&gt;0,J71-G71,"")</f>
        <v>-1.6591028022182872</v>
      </c>
    </row>
    <row r="72" spans="3:16" x14ac:dyDescent="0.3">
      <c r="C72" s="1">
        <v>65</v>
      </c>
      <c r="E72" s="1">
        <v>8761601.1495900005</v>
      </c>
      <c r="F72" s="1">
        <v>485.08511707802376</v>
      </c>
      <c r="G72" s="1">
        <v>4.8572743923951718</v>
      </c>
      <c r="H72" s="1">
        <v>8545182.8923937865</v>
      </c>
      <c r="I72" s="1">
        <v>476.65736728746049</v>
      </c>
      <c r="J72" s="1">
        <v>3.3276670415835006</v>
      </c>
      <c r="N72" s="1">
        <f t="shared" si="7"/>
        <v>-216418.25719621405</v>
      </c>
      <c r="O72" s="1">
        <f t="shared" si="8"/>
        <v>-8.4277497905632686</v>
      </c>
      <c r="P72" s="1">
        <f t="shared" si="9"/>
        <v>-1.5296073508116712</v>
      </c>
    </row>
    <row r="73" spans="3:16" x14ac:dyDescent="0.3">
      <c r="C73" s="1">
        <v>66</v>
      </c>
      <c r="E73" s="1">
        <v>6151130.1651100703</v>
      </c>
      <c r="F73" s="1">
        <v>478.13478309242436</v>
      </c>
      <c r="G73" s="1">
        <v>5.7472580999119307</v>
      </c>
      <c r="H73" s="1">
        <v>6072420.6405720394</v>
      </c>
      <c r="I73" s="1">
        <v>474.58692872826862</v>
      </c>
      <c r="J73" s="1">
        <v>4.2056822501782118</v>
      </c>
      <c r="N73" s="1">
        <f t="shared" si="7"/>
        <v>-78709.524538030848</v>
      </c>
      <c r="O73" s="1">
        <f t="shared" si="8"/>
        <v>-3.5478543641557394</v>
      </c>
      <c r="P73" s="1">
        <f t="shared" si="9"/>
        <v>-1.5415758497337189</v>
      </c>
    </row>
    <row r="74" spans="3:16" x14ac:dyDescent="0.3">
      <c r="C74" s="1">
        <v>67</v>
      </c>
      <c r="E74" s="1">
        <v>7796547.468011179</v>
      </c>
      <c r="F74" s="1">
        <v>491.35405606763698</v>
      </c>
      <c r="G74" s="1">
        <v>4.954675124982546</v>
      </c>
      <c r="H74" s="1">
        <v>7719250.0484488169</v>
      </c>
      <c r="I74" s="1">
        <v>487.27480901693718</v>
      </c>
      <c r="J74" s="1">
        <v>4.0985020303669266</v>
      </c>
      <c r="N74" s="1">
        <f t="shared" si="7"/>
        <v>-77297.419562362134</v>
      </c>
      <c r="O74" s="1">
        <f t="shared" si="8"/>
        <v>-4.0792470506997915</v>
      </c>
      <c r="P74" s="1">
        <f t="shared" si="9"/>
        <v>-0.85617309461561941</v>
      </c>
    </row>
    <row r="75" spans="3:16" x14ac:dyDescent="0.3">
      <c r="C75" s="1">
        <v>68</v>
      </c>
      <c r="E75" s="1">
        <v>6241498.3856026996</v>
      </c>
      <c r="F75" s="1">
        <v>436.41529653912119</v>
      </c>
      <c r="G75" s="1">
        <v>4.2697121320431242</v>
      </c>
      <c r="H75" s="1">
        <v>6173226.3820510143</v>
      </c>
      <c r="I75" s="1">
        <v>433.22631185720496</v>
      </c>
      <c r="J75" s="1">
        <v>2.8744128998477727</v>
      </c>
      <c r="N75" s="1">
        <f t="shared" si="7"/>
        <v>-68272.003551685251</v>
      </c>
      <c r="O75" s="1">
        <f t="shared" si="8"/>
        <v>-3.1889846819162244</v>
      </c>
      <c r="P75" s="1">
        <f t="shared" si="9"/>
        <v>-1.3952992321953515</v>
      </c>
    </row>
    <row r="76" spans="3:16" x14ac:dyDescent="0.3">
      <c r="C76" s="1">
        <v>69</v>
      </c>
      <c r="E76" s="1">
        <v>8929416.1460842527</v>
      </c>
      <c r="F76" s="1">
        <v>450.98402607471462</v>
      </c>
      <c r="G76" s="1">
        <v>4.6783775014603535</v>
      </c>
      <c r="H76" s="1">
        <v>8757801.1533836853</v>
      </c>
      <c r="I76" s="1">
        <v>443.52195694726186</v>
      </c>
      <c r="J76" s="1">
        <v>3.2919482821106021</v>
      </c>
      <c r="N76" s="1">
        <f t="shared" si="7"/>
        <v>-171614.99270056747</v>
      </c>
      <c r="O76" s="1">
        <f t="shared" si="8"/>
        <v>-7.4620691274527644</v>
      </c>
      <c r="P76" s="1">
        <f t="shared" si="9"/>
        <v>-1.3864292193497514</v>
      </c>
    </row>
    <row r="77" spans="3:16" x14ac:dyDescent="0.3">
      <c r="C77" s="1">
        <v>70</v>
      </c>
      <c r="E77" s="1">
        <v>6158616.8402634878</v>
      </c>
      <c r="F77" s="1">
        <v>464.21270854395812</v>
      </c>
      <c r="G77" s="1">
        <v>5.4773357476964737</v>
      </c>
      <c r="H77" s="1">
        <v>6054003.1987014571</v>
      </c>
      <c r="I77" s="1">
        <v>459.31176422985993</v>
      </c>
      <c r="J77" s="1">
        <v>3.1789835478850779</v>
      </c>
      <c r="N77" s="1">
        <f t="shared" si="7"/>
        <v>-104613.64156203065</v>
      </c>
      <c r="O77" s="1">
        <f t="shared" si="8"/>
        <v>-4.900944314098183</v>
      </c>
      <c r="P77" s="1">
        <f t="shared" si="9"/>
        <v>-2.2983521998113958</v>
      </c>
    </row>
    <row r="78" spans="3:16" x14ac:dyDescent="0.3">
      <c r="C78" s="1">
        <v>71</v>
      </c>
      <c r="E78" s="1">
        <v>5754069.5141607132</v>
      </c>
      <c r="F78" s="1">
        <v>441.59135895645568</v>
      </c>
      <c r="G78" s="1">
        <v>5.1946148405787129</v>
      </c>
      <c r="H78" s="1">
        <v>5683488.7072528834</v>
      </c>
      <c r="I78" s="1">
        <v>438.91749177591322</v>
      </c>
      <c r="J78" s="1">
        <v>4.2300940480568103</v>
      </c>
      <c r="N78" s="1">
        <f t="shared" si="7"/>
        <v>-70580.806907829829</v>
      </c>
      <c r="O78" s="1">
        <f t="shared" si="8"/>
        <v>-2.6738671805424588</v>
      </c>
      <c r="P78" s="1">
        <f t="shared" si="9"/>
        <v>-0.96452079252190259</v>
      </c>
    </row>
    <row r="79" spans="3:16" x14ac:dyDescent="0.3">
      <c r="C79" s="1">
        <v>72</v>
      </c>
      <c r="E79" s="1">
        <v>6824562.0793162249</v>
      </c>
      <c r="F79" s="1">
        <v>438.42035273968162</v>
      </c>
      <c r="G79" s="1">
        <v>5.4832211031160671</v>
      </c>
      <c r="H79" s="1">
        <v>6739033.0530861253</v>
      </c>
      <c r="I79" s="1">
        <v>435.97901582234346</v>
      </c>
      <c r="J79" s="1">
        <v>4.1849485617147861</v>
      </c>
      <c r="N79" s="1">
        <f t="shared" si="7"/>
        <v>-85529.026230099611</v>
      </c>
      <c r="O79" s="1">
        <f t="shared" si="8"/>
        <v>-2.4413369173381625</v>
      </c>
      <c r="P79" s="1">
        <f t="shared" si="9"/>
        <v>-1.298272541401281</v>
      </c>
    </row>
    <row r="80" spans="3:16" x14ac:dyDescent="0.3">
      <c r="C80" s="1">
        <v>73</v>
      </c>
      <c r="E80" s="1">
        <v>7308717.6564451307</v>
      </c>
      <c r="F80" s="1">
        <v>504.74548401373562</v>
      </c>
      <c r="G80" s="1">
        <v>6.6495029719009136</v>
      </c>
      <c r="H80" s="1">
        <v>7140660.3444080083</v>
      </c>
      <c r="I80" s="1">
        <v>497.07908283580548</v>
      </c>
      <c r="J80" s="1">
        <v>4.4488419502172309</v>
      </c>
      <c r="N80" s="1">
        <f t="shared" si="7"/>
        <v>-168057.31203712244</v>
      </c>
      <c r="O80" s="1">
        <f t="shared" si="8"/>
        <v>-7.6664011779301404</v>
      </c>
      <c r="P80" s="1">
        <f t="shared" si="9"/>
        <v>-2.2006610216836826</v>
      </c>
    </row>
    <row r="81" spans="3:16" x14ac:dyDescent="0.3">
      <c r="C81" s="1">
        <v>74</v>
      </c>
      <c r="E81" s="1">
        <v>6162091.8774308395</v>
      </c>
      <c r="F81" s="1">
        <v>453.64666369320832</v>
      </c>
      <c r="G81" s="1">
        <v>5.841544650165801</v>
      </c>
      <c r="H81" s="1">
        <v>6069106.0993319098</v>
      </c>
      <c r="I81" s="1">
        <v>450.65646828829421</v>
      </c>
      <c r="J81" s="1">
        <v>3.8748041362147236</v>
      </c>
      <c r="N81" s="1">
        <f t="shared" si="7"/>
        <v>-92985.778098929673</v>
      </c>
      <c r="O81" s="1">
        <f t="shared" si="8"/>
        <v>-2.9901954049141182</v>
      </c>
      <c r="P81" s="1">
        <f t="shared" si="9"/>
        <v>-1.9667405139510774</v>
      </c>
    </row>
    <row r="82" spans="3:16" x14ac:dyDescent="0.3">
      <c r="C82" s="1">
        <v>75</v>
      </c>
      <c r="E82" s="1">
        <v>7846021.5196325751</v>
      </c>
      <c r="F82" s="1">
        <v>442.6551091285354</v>
      </c>
      <c r="G82" s="1">
        <v>5.2454277326554051</v>
      </c>
      <c r="H82" s="1">
        <v>7745664.6839950699</v>
      </c>
      <c r="I82" s="1">
        <v>439.97457851203558</v>
      </c>
      <c r="J82" s="1">
        <v>4.0086246754145307</v>
      </c>
      <c r="N82" s="1">
        <f t="shared" si="7"/>
        <v>-100356.83563750517</v>
      </c>
      <c r="O82" s="1">
        <f t="shared" si="8"/>
        <v>-2.6805306164998228</v>
      </c>
      <c r="P82" s="1">
        <f t="shared" si="9"/>
        <v>-1.2368030572408744</v>
      </c>
    </row>
    <row r="83" spans="3:16" x14ac:dyDescent="0.3">
      <c r="C83" s="1">
        <v>76</v>
      </c>
      <c r="E83" s="1">
        <v>5547510.8466131557</v>
      </c>
      <c r="F83" s="1">
        <v>463.95107472191074</v>
      </c>
      <c r="G83" s="1">
        <v>4.8709629456624404</v>
      </c>
      <c r="H83" s="1">
        <v>5466983.2416926296</v>
      </c>
      <c r="I83" s="1">
        <v>461.62462676910332</v>
      </c>
      <c r="J83" s="1">
        <v>3.6045565150011951</v>
      </c>
      <c r="N83" s="1">
        <f t="shared" si="7"/>
        <v>-80527.604920526035</v>
      </c>
      <c r="O83" s="1">
        <f t="shared" si="8"/>
        <v>-2.3264479528074276</v>
      </c>
      <c r="P83" s="1">
        <f t="shared" si="9"/>
        <v>-1.2664064306612453</v>
      </c>
    </row>
    <row r="84" spans="3:16" x14ac:dyDescent="0.3">
      <c r="C84" s="1">
        <v>77</v>
      </c>
      <c r="E84" s="1">
        <v>6775158.530338373</v>
      </c>
      <c r="F84" s="1">
        <v>474.36565789247879</v>
      </c>
      <c r="G84" s="1">
        <v>4.7797615858224578</v>
      </c>
      <c r="H84" s="1">
        <v>6706459.1168013122</v>
      </c>
      <c r="I84" s="1">
        <v>472.14256794563062</v>
      </c>
      <c r="J84" s="1">
        <v>3.8929355627554934</v>
      </c>
      <c r="N84" s="1">
        <f t="shared" si="7"/>
        <v>-68699.413537060842</v>
      </c>
      <c r="O84" s="1">
        <f t="shared" si="8"/>
        <v>-2.2230899468481766</v>
      </c>
      <c r="P84" s="1">
        <f t="shared" si="9"/>
        <v>-0.88682602306696445</v>
      </c>
    </row>
    <row r="85" spans="3:16" x14ac:dyDescent="0.3">
      <c r="C85" s="1">
        <v>78</v>
      </c>
      <c r="E85" s="1">
        <v>7212584.8583542444</v>
      </c>
      <c r="F85" s="1">
        <v>473.79306993917669</v>
      </c>
      <c r="G85" s="1">
        <v>4.4295807999248984</v>
      </c>
      <c r="H85" s="1">
        <v>7111565.5514710573</v>
      </c>
      <c r="I85" s="1">
        <v>468.27767395854664</v>
      </c>
      <c r="J85" s="1">
        <v>3.2364984331041162</v>
      </c>
      <c r="N85" s="1">
        <f t="shared" si="7"/>
        <v>-101019.30688318703</v>
      </c>
      <c r="O85" s="1">
        <f t="shared" si="8"/>
        <v>-5.5153959806300463</v>
      </c>
      <c r="P85" s="1">
        <f t="shared" si="9"/>
        <v>-1.1930823668207822</v>
      </c>
    </row>
    <row r="86" spans="3:16" x14ac:dyDescent="0.3">
      <c r="C86" s="1">
        <v>79</v>
      </c>
      <c r="E86" s="1">
        <v>6902653.1059796689</v>
      </c>
      <c r="F86" s="1">
        <v>466.66505323863402</v>
      </c>
      <c r="G86" s="1">
        <v>5.6912188568886117</v>
      </c>
      <c r="H86" s="1">
        <v>6760733.8086730074</v>
      </c>
      <c r="I86" s="1">
        <v>460.1362790510326</v>
      </c>
      <c r="J86" s="1">
        <v>4.2213821105943392</v>
      </c>
      <c r="N86" s="1">
        <f t="shared" si="7"/>
        <v>-141919.29730666149</v>
      </c>
      <c r="O86" s="1">
        <f t="shared" si="8"/>
        <v>-6.5287741876014138</v>
      </c>
      <c r="P86" s="1">
        <f t="shared" si="9"/>
        <v>-1.4698367462942725</v>
      </c>
    </row>
    <row r="87" spans="3:16" x14ac:dyDescent="0.3">
      <c r="C87" s="1">
        <v>80</v>
      </c>
      <c r="E87" s="1">
        <v>6683488.2311301185</v>
      </c>
      <c r="F87" s="1">
        <v>493.19982396186168</v>
      </c>
      <c r="G87" s="1">
        <v>5.1949797573052265</v>
      </c>
      <c r="H87" s="1">
        <v>6592519.0395441735</v>
      </c>
      <c r="I87" s="1">
        <v>490.19679094235028</v>
      </c>
      <c r="J87" s="1">
        <v>3.8782579851917207</v>
      </c>
      <c r="N87" s="1">
        <f t="shared" si="7"/>
        <v>-90969.191585944965</v>
      </c>
      <c r="O87" s="1">
        <f t="shared" si="8"/>
        <v>-3.0030330195114061</v>
      </c>
      <c r="P87" s="1">
        <f t="shared" si="9"/>
        <v>-1.3167217721135058</v>
      </c>
    </row>
    <row r="88" spans="3:16" x14ac:dyDescent="0.3">
      <c r="C88" s="1">
        <v>81</v>
      </c>
      <c r="E88" s="1">
        <v>6301449.7891017403</v>
      </c>
      <c r="F88" s="1">
        <v>444.58055101369098</v>
      </c>
      <c r="G88" s="1">
        <v>6.1965409791411021</v>
      </c>
      <c r="H88" s="1">
        <v>6210877.6190917734</v>
      </c>
      <c r="I88" s="1">
        <v>441.11309847020925</v>
      </c>
      <c r="J88" s="1">
        <v>5.2368530237811211</v>
      </c>
      <c r="N88" s="1">
        <f t="shared" si="7"/>
        <v>-90572.17000996694</v>
      </c>
      <c r="O88" s="1">
        <f t="shared" si="8"/>
        <v>-3.4674525434817269</v>
      </c>
      <c r="P88" s="1">
        <f t="shared" si="9"/>
        <v>-0.95968795535998108</v>
      </c>
    </row>
    <row r="89" spans="3:16" x14ac:dyDescent="0.3">
      <c r="C89" s="1">
        <v>82</v>
      </c>
      <c r="E89" s="1">
        <v>9831456.0247679688</v>
      </c>
      <c r="F89" s="1">
        <v>499.66704008009327</v>
      </c>
      <c r="G89" s="1">
        <v>5.2746726138338857</v>
      </c>
      <c r="H89" s="1">
        <v>9751545.1320668757</v>
      </c>
      <c r="I89" s="1">
        <v>496.57201952784493</v>
      </c>
      <c r="J89" s="1">
        <v>4.5089836507548764</v>
      </c>
      <c r="N89" s="1">
        <f t="shared" si="7"/>
        <v>-79910.892701093107</v>
      </c>
      <c r="O89" s="1">
        <f t="shared" si="8"/>
        <v>-3.0950205522483429</v>
      </c>
      <c r="P89" s="1">
        <f t="shared" si="9"/>
        <v>-0.76568896307900935</v>
      </c>
    </row>
    <row r="90" spans="3:16" x14ac:dyDescent="0.3">
      <c r="C90" s="1">
        <v>83</v>
      </c>
      <c r="E90" s="1">
        <v>7925115.3149491576</v>
      </c>
      <c r="F90" s="1">
        <v>484.10436384106077</v>
      </c>
      <c r="G90" s="1">
        <v>3.949555584556681</v>
      </c>
      <c r="H90" s="1">
        <v>7827404.4632950975</v>
      </c>
      <c r="I90" s="1">
        <v>480.16405055569777</v>
      </c>
      <c r="J90" s="1">
        <v>3.3448480729979941</v>
      </c>
      <c r="N90" s="1">
        <f t="shared" si="7"/>
        <v>-97710.851654060185</v>
      </c>
      <c r="O90" s="1">
        <f t="shared" si="8"/>
        <v>-3.9403132853630041</v>
      </c>
      <c r="P90" s="1">
        <f t="shared" si="9"/>
        <v>-0.60470751155868685</v>
      </c>
    </row>
    <row r="91" spans="3:16" x14ac:dyDescent="0.3">
      <c r="C91" s="1">
        <v>84</v>
      </c>
      <c r="E91" s="1">
        <v>5118629.2646476291</v>
      </c>
      <c r="F91" s="1">
        <v>468.67045005647316</v>
      </c>
      <c r="G91" s="1">
        <v>5.2996596618552836</v>
      </c>
      <c r="H91" s="1">
        <v>5037852.804591747</v>
      </c>
      <c r="I91" s="1">
        <v>465.64712433189374</v>
      </c>
      <c r="J91" s="1">
        <v>4.2976674729695006</v>
      </c>
      <c r="N91" s="1">
        <f t="shared" si="7"/>
        <v>-80776.460055882111</v>
      </c>
      <c r="O91" s="1">
        <f t="shared" si="8"/>
        <v>-3.0233257245794221</v>
      </c>
      <c r="P91" s="1">
        <f t="shared" si="9"/>
        <v>-1.001992188885783</v>
      </c>
    </row>
    <row r="92" spans="3:16" x14ac:dyDescent="0.3">
      <c r="C92" s="1">
        <v>85</v>
      </c>
      <c r="E92" s="1">
        <v>6430083.9089357434</v>
      </c>
      <c r="F92" s="1">
        <v>485.62818553860529</v>
      </c>
      <c r="G92" s="1">
        <v>5.3011382143469792</v>
      </c>
      <c r="H92" s="1">
        <v>6375671.9243877018</v>
      </c>
      <c r="I92" s="1">
        <v>484.09634143253083</v>
      </c>
      <c r="J92" s="1">
        <v>4.6249513107247679</v>
      </c>
      <c r="N92" s="1">
        <f t="shared" si="7"/>
        <v>-54411.984548041597</v>
      </c>
      <c r="O92" s="1">
        <f t="shared" si="8"/>
        <v>-1.531844106074459</v>
      </c>
      <c r="P92" s="1">
        <f t="shared" si="9"/>
        <v>-0.67618690362221123</v>
      </c>
    </row>
    <row r="93" spans="3:16" x14ac:dyDescent="0.3">
      <c r="C93" s="1">
        <v>86</v>
      </c>
      <c r="E93" s="1">
        <v>7709548.0805038912</v>
      </c>
      <c r="F93" s="1">
        <v>435.46348031005249</v>
      </c>
      <c r="G93" s="1">
        <v>5.5799273179394318</v>
      </c>
      <c r="H93" s="1">
        <v>7626261.7307478804</v>
      </c>
      <c r="I93" s="1">
        <v>432.93951801379791</v>
      </c>
      <c r="J93" s="1">
        <v>4.6155372627084761</v>
      </c>
      <c r="N93" s="1">
        <f t="shared" si="7"/>
        <v>-83286.349756010808</v>
      </c>
      <c r="O93" s="1">
        <f t="shared" si="8"/>
        <v>-2.5239622962545809</v>
      </c>
      <c r="P93" s="1">
        <f t="shared" si="9"/>
        <v>-0.96439005523095567</v>
      </c>
    </row>
    <row r="94" spans="3:16" x14ac:dyDescent="0.3">
      <c r="C94" s="1">
        <v>87</v>
      </c>
      <c r="E94" s="1">
        <v>8332576.6899196794</v>
      </c>
      <c r="F94" s="1">
        <v>486.5064989328946</v>
      </c>
      <c r="G94" s="1">
        <v>5.2729577708931288</v>
      </c>
      <c r="H94" s="1">
        <v>8242717.3014476793</v>
      </c>
      <c r="I94" s="1">
        <v>483.43795963985974</v>
      </c>
      <c r="J94" s="1">
        <v>4.1818807367752671</v>
      </c>
      <c r="N94" s="1">
        <f t="shared" si="7"/>
        <v>-89859.388472000137</v>
      </c>
      <c r="O94" s="1">
        <f t="shared" si="8"/>
        <v>-3.0685392930348598</v>
      </c>
      <c r="P94" s="1">
        <f t="shared" si="9"/>
        <v>-1.0910770341178617</v>
      </c>
    </row>
    <row r="95" spans="3:16" x14ac:dyDescent="0.3">
      <c r="C95" s="1">
        <v>88</v>
      </c>
      <c r="E95" s="1">
        <v>10176074.404313041</v>
      </c>
      <c r="F95" s="1">
        <v>489.35920399283373</v>
      </c>
      <c r="G95" s="1">
        <v>3.8233929284903088</v>
      </c>
      <c r="H95" s="1">
        <v>10092734.834217701</v>
      </c>
      <c r="I95" s="1">
        <v>485.75173175297317</v>
      </c>
      <c r="J95" s="1">
        <v>3.038330226606492</v>
      </c>
      <c r="N95" s="1">
        <f t="shared" si="7"/>
        <v>-83339.57009533979</v>
      </c>
      <c r="O95" s="1">
        <f t="shared" si="8"/>
        <v>-3.6074722398605559</v>
      </c>
      <c r="P95" s="1">
        <f t="shared" si="9"/>
        <v>-0.78506270188381677</v>
      </c>
    </row>
    <row r="96" spans="3:16" x14ac:dyDescent="0.3">
      <c r="C96" s="1">
        <v>89</v>
      </c>
      <c r="E96" s="1">
        <v>7428933.2101402907</v>
      </c>
      <c r="F96" s="1">
        <v>457.24431673457514</v>
      </c>
      <c r="G96" s="1">
        <v>4.9743846346044158</v>
      </c>
      <c r="H96" s="1">
        <v>7363477.9230648819</v>
      </c>
      <c r="I96" s="1">
        <v>453.89587791633346</v>
      </c>
      <c r="J96" s="1">
        <v>4.0720537645103612</v>
      </c>
      <c r="N96" s="1">
        <f t="shared" si="7"/>
        <v>-65455.287075408734</v>
      </c>
      <c r="O96" s="1">
        <f t="shared" si="8"/>
        <v>-3.3484388182416751</v>
      </c>
      <c r="P96" s="1">
        <f t="shared" si="9"/>
        <v>-0.90233087009405466</v>
      </c>
    </row>
    <row r="97" spans="3:16" x14ac:dyDescent="0.3">
      <c r="C97" s="1">
        <v>90</v>
      </c>
      <c r="E97" s="1">
        <v>8012150.1757481694</v>
      </c>
      <c r="F97" s="1">
        <v>489.87272469534213</v>
      </c>
      <c r="G97" s="1">
        <v>5.6264541270752533</v>
      </c>
      <c r="H97" s="1">
        <v>7881761.4971404998</v>
      </c>
      <c r="I97" s="1">
        <v>484.68755015455412</v>
      </c>
      <c r="J97" s="1">
        <v>4.4031416845403459</v>
      </c>
      <c r="N97" s="1">
        <f t="shared" si="7"/>
        <v>-130388.67860766966</v>
      </c>
      <c r="O97" s="1">
        <f t="shared" si="8"/>
        <v>-5.1851745407880117</v>
      </c>
      <c r="P97" s="1">
        <f t="shared" si="9"/>
        <v>-1.2233124425349073</v>
      </c>
    </row>
    <row r="98" spans="3:16" x14ac:dyDescent="0.3">
      <c r="C98" s="1">
        <v>91</v>
      </c>
      <c r="E98" s="1">
        <v>9774589.4639628548</v>
      </c>
      <c r="F98" s="1">
        <v>491.83220654085522</v>
      </c>
      <c r="G98" s="1">
        <v>4.9985845158708733</v>
      </c>
      <c r="H98" s="1">
        <v>9580667.212542247</v>
      </c>
      <c r="I98" s="1">
        <v>482.73947270878114</v>
      </c>
      <c r="J98" s="1">
        <v>3.1857491495394266</v>
      </c>
      <c r="N98" s="1">
        <f t="shared" si="7"/>
        <v>-193922.25142060779</v>
      </c>
      <c r="O98" s="1">
        <f t="shared" si="8"/>
        <v>-9.0927338320740887</v>
      </c>
      <c r="P98" s="1">
        <f t="shared" si="9"/>
        <v>-1.8128353663314467</v>
      </c>
    </row>
    <row r="99" spans="3:16" x14ac:dyDescent="0.3">
      <c r="C99" s="1">
        <v>92</v>
      </c>
      <c r="E99" s="1">
        <v>9104500.5904884171</v>
      </c>
      <c r="F99" s="1">
        <v>478.75421818931886</v>
      </c>
      <c r="G99" s="1">
        <v>4.7269033847803765</v>
      </c>
      <c r="H99" s="1">
        <v>9011902.2168322373</v>
      </c>
      <c r="I99" s="1">
        <v>475.30754013539456</v>
      </c>
      <c r="J99" s="1">
        <v>3.9997703154090352</v>
      </c>
      <c r="N99" s="1">
        <f t="shared" si="7"/>
        <v>-92598.373656179756</v>
      </c>
      <c r="O99" s="1">
        <f t="shared" si="8"/>
        <v>-3.4466780539243018</v>
      </c>
      <c r="P99" s="1">
        <f t="shared" si="9"/>
        <v>-0.72713306937134137</v>
      </c>
    </row>
    <row r="100" spans="3:16" x14ac:dyDescent="0.3">
      <c r="C100" s="1">
        <v>93</v>
      </c>
      <c r="E100" s="1">
        <v>6610733.1591481119</v>
      </c>
      <c r="F100" s="1">
        <v>449.301060713948</v>
      </c>
      <c r="G100" s="1">
        <v>5.1975645055349577</v>
      </c>
      <c r="H100" s="1">
        <v>6565323.136035908</v>
      </c>
      <c r="I100" s="1">
        <v>447.47736221892904</v>
      </c>
      <c r="J100" s="1">
        <v>4.1375616223698799</v>
      </c>
      <c r="N100" s="1">
        <f t="shared" si="7"/>
        <v>-45410.023112203926</v>
      </c>
      <c r="O100" s="1">
        <f t="shared" si="8"/>
        <v>-1.8236984950189594</v>
      </c>
      <c r="P100" s="1">
        <f t="shared" si="9"/>
        <v>-1.0600028831650778</v>
      </c>
    </row>
    <row r="101" spans="3:16" x14ac:dyDescent="0.3">
      <c r="C101" s="1">
        <v>94</v>
      </c>
      <c r="E101" s="1">
        <v>8261418.9797308249</v>
      </c>
      <c r="F101" s="1">
        <v>450.71622637972359</v>
      </c>
      <c r="G101" s="1">
        <v>4.829754108022386</v>
      </c>
      <c r="H101" s="1">
        <v>8077900.3655424565</v>
      </c>
      <c r="I101" s="1">
        <v>443.09298324456358</v>
      </c>
      <c r="J101" s="1">
        <v>3.2952307534563694</v>
      </c>
      <c r="N101" s="1">
        <f t="shared" si="7"/>
        <v>-183518.61418836843</v>
      </c>
      <c r="O101" s="1">
        <f t="shared" si="8"/>
        <v>-7.6232431351600098</v>
      </c>
      <c r="P101" s="1">
        <f t="shared" si="9"/>
        <v>-1.5345233545660166</v>
      </c>
    </row>
    <row r="102" spans="3:16" x14ac:dyDescent="0.3">
      <c r="C102" s="1">
        <v>95</v>
      </c>
      <c r="E102" s="1">
        <v>6495676.6602649549</v>
      </c>
      <c r="F102" s="1">
        <v>470.19434562247568</v>
      </c>
      <c r="G102" s="1">
        <v>5.220052422729978</v>
      </c>
      <c r="H102" s="1">
        <v>6457835.8727577031</v>
      </c>
      <c r="I102" s="1">
        <v>468.5549892206671</v>
      </c>
      <c r="J102" s="1">
        <v>4.5870675224725854</v>
      </c>
      <c r="N102" s="1">
        <f t="shared" si="7"/>
        <v>-37840.787507251836</v>
      </c>
      <c r="O102" s="1">
        <f t="shared" si="8"/>
        <v>-1.639356401808584</v>
      </c>
      <c r="P102" s="1">
        <f t="shared" si="9"/>
        <v>-0.63298490025739262</v>
      </c>
    </row>
    <row r="103" spans="3:16" x14ac:dyDescent="0.3">
      <c r="C103" s="1">
        <v>96</v>
      </c>
      <c r="E103" s="1">
        <v>9840560.2854025047</v>
      </c>
      <c r="F103" s="1">
        <v>465.62548749943841</v>
      </c>
      <c r="G103" s="1">
        <v>5.2574573020289321</v>
      </c>
      <c r="H103" s="1">
        <v>9704766.1855823379</v>
      </c>
      <c r="I103" s="1">
        <v>460.26422254914257</v>
      </c>
      <c r="J103" s="1">
        <v>3.5545681178586559</v>
      </c>
      <c r="N103" s="1">
        <f t="shared" si="7"/>
        <v>-135794.09982016683</v>
      </c>
      <c r="O103" s="1">
        <f t="shared" si="8"/>
        <v>-5.3612649502958334</v>
      </c>
      <c r="P103" s="1">
        <f t="shared" si="9"/>
        <v>-1.7028891841702762</v>
      </c>
    </row>
    <row r="104" spans="3:16" x14ac:dyDescent="0.3">
      <c r="C104" s="1">
        <v>97</v>
      </c>
      <c r="E104" s="1">
        <v>7306279.8770141136</v>
      </c>
      <c r="F104" s="1">
        <v>483.11639007539509</v>
      </c>
      <c r="G104" s="1">
        <v>4.2977294773766941</v>
      </c>
      <c r="H104" s="1">
        <v>7216827.8259856636</v>
      </c>
      <c r="I104" s="1">
        <v>480.24681040662324</v>
      </c>
      <c r="J104" s="1">
        <v>2.9128739259395666</v>
      </c>
      <c r="N104" s="1">
        <f t="shared" si="7"/>
        <v>-89452.05102845002</v>
      </c>
      <c r="O104" s="1">
        <f t="shared" si="8"/>
        <v>-2.8695796687718484</v>
      </c>
      <c r="P104" s="1">
        <f t="shared" si="9"/>
        <v>-1.3848555514371275</v>
      </c>
    </row>
    <row r="105" spans="3:16" x14ac:dyDescent="0.3">
      <c r="C105" s="1">
        <v>98</v>
      </c>
      <c r="E105" s="1">
        <v>7483477.4958122801</v>
      </c>
      <c r="F105" s="1">
        <v>491.23107218198061</v>
      </c>
      <c r="G105" s="1">
        <v>4.4209396932722536</v>
      </c>
      <c r="H105" s="1">
        <v>7338321.9104518397</v>
      </c>
      <c r="I105" s="1">
        <v>485.92504168046776</v>
      </c>
      <c r="J105" s="1">
        <v>3.0014321664886623</v>
      </c>
      <c r="N105" s="1">
        <f t="shared" si="7"/>
        <v>-145155.58536044043</v>
      </c>
      <c r="O105" s="1">
        <f t="shared" si="8"/>
        <v>-5.3060305015128506</v>
      </c>
      <c r="P105" s="1">
        <f t="shared" si="9"/>
        <v>-1.4195075267835913</v>
      </c>
    </row>
    <row r="106" spans="3:16" x14ac:dyDescent="0.3">
      <c r="C106" s="1">
        <v>99</v>
      </c>
      <c r="E106" s="1">
        <v>8455151.3956131861</v>
      </c>
      <c r="F106" s="1">
        <v>511.08697972389638</v>
      </c>
      <c r="G106" s="1">
        <v>6.3236357474269154</v>
      </c>
      <c r="H106" s="1">
        <v>8237971.1679612705</v>
      </c>
      <c r="I106" s="1">
        <v>498.47533988669142</v>
      </c>
      <c r="J106" s="1">
        <v>4.2920706437579357</v>
      </c>
      <c r="N106" s="1">
        <f t="shared" si="7"/>
        <v>-217180.22765191551</v>
      </c>
      <c r="O106" s="1">
        <f t="shared" si="8"/>
        <v>-12.611639837204962</v>
      </c>
      <c r="P106" s="1">
        <f t="shared" si="9"/>
        <v>-2.0315651036689797</v>
      </c>
    </row>
    <row r="107" spans="3:16" x14ac:dyDescent="0.3">
      <c r="C107" s="1">
        <v>100</v>
      </c>
      <c r="E107" s="1">
        <v>5913573.2411659928</v>
      </c>
      <c r="F107" s="1">
        <v>489.09524291593198</v>
      </c>
      <c r="G107" s="1">
        <v>4.6840640315883393</v>
      </c>
      <c r="H107" s="1">
        <v>5777959.3416105937</v>
      </c>
      <c r="I107" s="1">
        <v>483.85784529450478</v>
      </c>
      <c r="J107" s="1">
        <v>3.4582887294450728</v>
      </c>
      <c r="N107" s="1">
        <f t="shared" si="7"/>
        <v>-135613.89955539908</v>
      </c>
      <c r="O107" s="1">
        <f t="shared" si="8"/>
        <v>-5.237397621427192</v>
      </c>
      <c r="P107" s="1">
        <f t="shared" si="9"/>
        <v>-1.2257753021432665</v>
      </c>
    </row>
    <row r="108" spans="3:16" x14ac:dyDescent="0.3">
      <c r="C108" s="1">
        <v>101</v>
      </c>
      <c r="E108" s="1">
        <v>7788231.7575375037</v>
      </c>
      <c r="F108" s="1">
        <v>484.86379762214051</v>
      </c>
      <c r="G108" s="1">
        <v>5.1248596290050674</v>
      </c>
      <c r="H108" s="1">
        <v>7674609.960366915</v>
      </c>
      <c r="I108" s="1">
        <v>479.67621634885143</v>
      </c>
      <c r="J108" s="1">
        <v>3.8626341793753509</v>
      </c>
      <c r="N108" s="1">
        <f t="shared" si="7"/>
        <v>-113621.79717058875</v>
      </c>
      <c r="O108" s="1">
        <f t="shared" si="8"/>
        <v>-5.1875812732890836</v>
      </c>
      <c r="P108" s="1">
        <f t="shared" si="9"/>
        <v>-1.2622254496297165</v>
      </c>
    </row>
    <row r="109" spans="3:16" x14ac:dyDescent="0.3">
      <c r="C109" s="1">
        <v>102</v>
      </c>
      <c r="E109" s="1">
        <v>5565598.0707848193</v>
      </c>
      <c r="F109" s="1">
        <v>492.18763454579477</v>
      </c>
      <c r="G109" s="1">
        <v>6.7212315651153531</v>
      </c>
      <c r="H109" s="1">
        <v>5498420.1057227012</v>
      </c>
      <c r="I109" s="1">
        <v>489.48427714931489</v>
      </c>
      <c r="J109" s="1">
        <v>5.5854249240421607</v>
      </c>
      <c r="N109" s="1">
        <f t="shared" si="7"/>
        <v>-67177.965062118135</v>
      </c>
      <c r="O109" s="1">
        <f t="shared" si="8"/>
        <v>-2.7033573964798734</v>
      </c>
      <c r="P109" s="1">
        <f t="shared" si="9"/>
        <v>-1.1358066410731924</v>
      </c>
    </row>
    <row r="110" spans="3:16" x14ac:dyDescent="0.3">
      <c r="C110" s="1">
        <v>103</v>
      </c>
      <c r="E110" s="1">
        <v>7034817.3054066803</v>
      </c>
      <c r="F110" s="1">
        <v>469.42124725194054</v>
      </c>
      <c r="G110" s="1">
        <v>6.24497816761109</v>
      </c>
      <c r="H110" s="1">
        <v>6948617.3245174149</v>
      </c>
      <c r="I110" s="1">
        <v>467.41888160818638</v>
      </c>
      <c r="J110" s="1">
        <v>4.4262014003790489</v>
      </c>
      <c r="N110" s="1">
        <f t="shared" si="7"/>
        <v>-86199.980889265426</v>
      </c>
      <c r="O110" s="1">
        <f t="shared" si="8"/>
        <v>-2.0023656437541604</v>
      </c>
      <c r="P110" s="1">
        <f t="shared" si="9"/>
        <v>-1.8187767672320412</v>
      </c>
    </row>
    <row r="111" spans="3:16" x14ac:dyDescent="0.3">
      <c r="C111" s="1">
        <v>104</v>
      </c>
      <c r="E111" s="1">
        <v>7716986.4862561664</v>
      </c>
      <c r="F111" s="1">
        <v>437.30216795793604</v>
      </c>
      <c r="G111" s="1">
        <v>4.2271240025358914</v>
      </c>
      <c r="H111" s="1">
        <v>7625114.3226549765</v>
      </c>
      <c r="I111" s="1">
        <v>433.47772888215519</v>
      </c>
      <c r="J111" s="1">
        <v>2.9889359820638157</v>
      </c>
      <c r="N111" s="1">
        <f t="shared" si="7"/>
        <v>-91872.163601189852</v>
      </c>
      <c r="O111" s="1">
        <f t="shared" si="8"/>
        <v>-3.8244390757808446</v>
      </c>
      <c r="P111" s="1">
        <f t="shared" si="9"/>
        <v>-1.2381880204720757</v>
      </c>
    </row>
    <row r="112" spans="3:16" x14ac:dyDescent="0.3">
      <c r="C112" s="1">
        <v>105</v>
      </c>
      <c r="E112" s="1">
        <v>7163629.6377681978</v>
      </c>
      <c r="F112" s="1">
        <v>487.96393815401711</v>
      </c>
      <c r="G112" s="1">
        <v>4.6032654929210928</v>
      </c>
      <c r="H112" s="1">
        <v>7087966.0050930148</v>
      </c>
      <c r="I112" s="1">
        <v>484.7754461467228</v>
      </c>
      <c r="J112" s="1">
        <v>3.959330342521671</v>
      </c>
      <c r="N112" s="1">
        <f t="shared" si="7"/>
        <v>-75663.632675183006</v>
      </c>
      <c r="O112" s="1">
        <f t="shared" si="8"/>
        <v>-3.1884920072943146</v>
      </c>
      <c r="P112" s="1">
        <f t="shared" si="9"/>
        <v>-0.64393515039942173</v>
      </c>
    </row>
    <row r="113" spans="3:16" x14ac:dyDescent="0.3">
      <c r="C113" s="1">
        <v>106</v>
      </c>
      <c r="E113" s="1">
        <v>7813618.178519113</v>
      </c>
      <c r="F113" s="1">
        <v>492.78607538229267</v>
      </c>
      <c r="G113" s="1">
        <v>5.5682691655881698</v>
      </c>
      <c r="H113" s="1">
        <v>7730303.7781170206</v>
      </c>
      <c r="I113" s="1">
        <v>489.24490776933487</v>
      </c>
      <c r="J113" s="1">
        <v>4.6440609691314929</v>
      </c>
      <c r="N113" s="1">
        <f t="shared" si="7"/>
        <v>-83314.400402092375</v>
      </c>
      <c r="O113" s="1">
        <f t="shared" si="8"/>
        <v>-3.5411676129577927</v>
      </c>
      <c r="P113" s="1">
        <f t="shared" si="9"/>
        <v>-0.92420819645667684</v>
      </c>
    </row>
    <row r="114" spans="3:16" x14ac:dyDescent="0.3">
      <c r="C114" s="1">
        <v>107</v>
      </c>
      <c r="E114" s="1">
        <v>8719648.0956260338</v>
      </c>
      <c r="F114" s="1">
        <v>464.65803319951533</v>
      </c>
      <c r="G114" s="1">
        <v>5.0591090723456862</v>
      </c>
      <c r="H114" s="1">
        <v>8619406.9767516777</v>
      </c>
      <c r="I114" s="1">
        <v>461.30294842872428</v>
      </c>
      <c r="J114" s="1">
        <v>3.7371694923610201</v>
      </c>
      <c r="N114" s="1">
        <f t="shared" si="7"/>
        <v>-100241.11887435615</v>
      </c>
      <c r="O114" s="1">
        <f t="shared" si="8"/>
        <v>-3.3550847707910521</v>
      </c>
      <c r="P114" s="1">
        <f t="shared" si="9"/>
        <v>-1.321939579984666</v>
      </c>
    </row>
    <row r="115" spans="3:16" x14ac:dyDescent="0.3">
      <c r="C115" s="1">
        <v>108</v>
      </c>
      <c r="E115" s="1">
        <v>9263050.4668378532</v>
      </c>
      <c r="F115" s="1">
        <v>474.93718222984461</v>
      </c>
      <c r="G115" s="1">
        <v>3.8255193875869504</v>
      </c>
      <c r="H115" s="1">
        <v>9107527.7320589218</v>
      </c>
      <c r="I115" s="1">
        <v>467.59028476371947</v>
      </c>
      <c r="J115" s="1">
        <v>2.6123592276449537</v>
      </c>
      <c r="N115" s="1">
        <f t="shared" si="7"/>
        <v>-155522.73477893136</v>
      </c>
      <c r="O115" s="1">
        <f t="shared" si="8"/>
        <v>-7.3468974661251423</v>
      </c>
      <c r="P115" s="1">
        <f t="shared" si="9"/>
        <v>-1.2131601599419968</v>
      </c>
    </row>
    <row r="116" spans="3:16" x14ac:dyDescent="0.3">
      <c r="C116" s="1">
        <v>109</v>
      </c>
      <c r="E116" s="1">
        <v>5576041.0852686781</v>
      </c>
      <c r="F116" s="1">
        <v>489.75969135794026</v>
      </c>
      <c r="G116" s="1">
        <v>5.4235474231649219</v>
      </c>
      <c r="H116" s="1">
        <v>5516989.5484197438</v>
      </c>
      <c r="I116" s="1">
        <v>486.73522718910681</v>
      </c>
      <c r="J116" s="1">
        <v>4.010428036764055</v>
      </c>
      <c r="N116" s="1">
        <f t="shared" si="7"/>
        <v>-59051.536848934367</v>
      </c>
      <c r="O116" s="1">
        <f t="shared" si="8"/>
        <v>-3.0244641688334468</v>
      </c>
      <c r="P116" s="1">
        <f t="shared" si="9"/>
        <v>-1.4131193864008669</v>
      </c>
    </row>
    <row r="117" spans="3:16" x14ac:dyDescent="0.3">
      <c r="C117" s="1">
        <v>110</v>
      </c>
      <c r="E117" s="1">
        <v>8061502.4556768397</v>
      </c>
      <c r="F117" s="1">
        <v>453.01978937944637</v>
      </c>
      <c r="G117" s="1">
        <v>4.3558921194558566</v>
      </c>
      <c r="H117" s="1">
        <v>8009757.0049956776</v>
      </c>
      <c r="I117" s="1">
        <v>451.38978164270844</v>
      </c>
      <c r="J117" s="1">
        <v>3.5623262943164402</v>
      </c>
      <c r="N117" s="1">
        <f t="shared" si="7"/>
        <v>-51745.450681162067</v>
      </c>
      <c r="O117" s="1">
        <f t="shared" si="8"/>
        <v>-1.6300077367379231</v>
      </c>
      <c r="P117" s="1">
        <f t="shared" si="9"/>
        <v>-0.79356582513941643</v>
      </c>
    </row>
    <row r="118" spans="3:16" x14ac:dyDescent="0.3">
      <c r="C118" s="1">
        <v>111</v>
      </c>
      <c r="E118" s="1">
        <v>7384494.5541911265</v>
      </c>
      <c r="F118" s="1">
        <v>431.15269295892091</v>
      </c>
      <c r="G118" s="1">
        <v>6.9907836758178963</v>
      </c>
      <c r="H118" s="1">
        <v>7336419.8382145735</v>
      </c>
      <c r="I118" s="1">
        <v>428.98556055197236</v>
      </c>
      <c r="J118" s="1">
        <v>5.9287262670249898</v>
      </c>
      <c r="N118" s="1">
        <f t="shared" si="7"/>
        <v>-48074.715976553038</v>
      </c>
      <c r="O118" s="1">
        <f t="shared" si="8"/>
        <v>-2.1671324069485536</v>
      </c>
      <c r="P118" s="1">
        <f t="shared" si="9"/>
        <v>-1.0620574087929064</v>
      </c>
    </row>
    <row r="119" spans="3:16" x14ac:dyDescent="0.3">
      <c r="C119" s="1">
        <v>112</v>
      </c>
      <c r="E119" s="1">
        <v>7253451.6865189206</v>
      </c>
      <c r="F119" s="1">
        <v>472.40548955863517</v>
      </c>
      <c r="G119" s="1">
        <v>5.3189716167803303</v>
      </c>
      <c r="H119" s="1">
        <v>7201219.0694321161</v>
      </c>
      <c r="I119" s="1">
        <v>470.24608311643419</v>
      </c>
      <c r="J119" s="1">
        <v>4.5176116980716383</v>
      </c>
      <c r="N119" s="1">
        <f t="shared" si="7"/>
        <v>-52232.617086804472</v>
      </c>
      <c r="O119" s="1">
        <f t="shared" si="8"/>
        <v>-2.1594064422009751</v>
      </c>
      <c r="P119" s="1">
        <f t="shared" si="9"/>
        <v>-0.80135991870869194</v>
      </c>
    </row>
    <row r="120" spans="3:16" x14ac:dyDescent="0.3">
      <c r="C120" s="1">
        <v>113</v>
      </c>
      <c r="E120" s="1">
        <v>6783144.682309892</v>
      </c>
      <c r="F120" s="1">
        <v>471.11838775653678</v>
      </c>
      <c r="G120" s="1">
        <v>5.7037555692210864</v>
      </c>
      <c r="H120" s="1">
        <v>6697372.9625232043</v>
      </c>
      <c r="I120" s="1">
        <v>466.65948707949917</v>
      </c>
      <c r="J120" s="1">
        <v>4.2811665983529643</v>
      </c>
      <c r="N120" s="1">
        <f t="shared" si="7"/>
        <v>-85771.719786687754</v>
      </c>
      <c r="O120" s="1">
        <f t="shared" si="8"/>
        <v>-4.4589006770376045</v>
      </c>
      <c r="P120" s="1">
        <f t="shared" si="9"/>
        <v>-1.4225889708681221</v>
      </c>
    </row>
    <row r="121" spans="3:16" x14ac:dyDescent="0.3">
      <c r="C121" s="1">
        <v>114</v>
      </c>
      <c r="E121" s="1">
        <v>6984232.8999407981</v>
      </c>
      <c r="F121" s="1">
        <v>478.85984060923084</v>
      </c>
      <c r="G121" s="1">
        <v>4.6193622408861774</v>
      </c>
      <c r="H121" s="1">
        <v>6902302.0823012032</v>
      </c>
      <c r="I121" s="1">
        <v>475.47286896393376</v>
      </c>
      <c r="J121" s="1">
        <v>3.6415203652459143</v>
      </c>
      <c r="N121" s="1">
        <f t="shared" si="7"/>
        <v>-81930.817639594898</v>
      </c>
      <c r="O121" s="1">
        <f t="shared" si="8"/>
        <v>-3.3869716452970806</v>
      </c>
      <c r="P121" s="1">
        <f t="shared" si="9"/>
        <v>-0.97784187564026315</v>
      </c>
    </row>
    <row r="122" spans="3:16" x14ac:dyDescent="0.3">
      <c r="C122" s="1">
        <v>115</v>
      </c>
      <c r="E122" s="1">
        <v>6449965.6745571131</v>
      </c>
      <c r="F122" s="1">
        <v>488.58721210984083</v>
      </c>
      <c r="G122" s="1">
        <v>6.2096516993180826</v>
      </c>
      <c r="H122" s="1">
        <v>6302265.3666007966</v>
      </c>
      <c r="I122" s="1">
        <v>483.83972156104119</v>
      </c>
      <c r="J122" s="1">
        <v>4.3505296821253552</v>
      </c>
      <c r="N122" s="1">
        <f t="shared" si="7"/>
        <v>-147700.30795631651</v>
      </c>
      <c r="O122" s="1">
        <f t="shared" si="8"/>
        <v>-4.7474905487996466</v>
      </c>
      <c r="P122" s="1">
        <f t="shared" si="9"/>
        <v>-1.8591220171927274</v>
      </c>
    </row>
    <row r="123" spans="3:16" x14ac:dyDescent="0.3">
      <c r="C123" s="1">
        <v>116</v>
      </c>
      <c r="E123" s="1">
        <v>6856429.5420191791</v>
      </c>
      <c r="F123" s="1">
        <v>449.06893131485856</v>
      </c>
      <c r="G123" s="1">
        <v>4.7505131718581044</v>
      </c>
      <c r="H123" s="1">
        <v>6766991.7120620012</v>
      </c>
      <c r="I123" s="1">
        <v>446.26371599456729</v>
      </c>
      <c r="J123" s="1">
        <v>3.7140687887776278</v>
      </c>
      <c r="N123" s="1">
        <f t="shared" si="7"/>
        <v>-89437.829957177863</v>
      </c>
      <c r="O123" s="1">
        <f t="shared" si="8"/>
        <v>-2.8052153202912677</v>
      </c>
      <c r="P123" s="1">
        <f t="shared" si="9"/>
        <v>-1.0364443830804766</v>
      </c>
    </row>
    <row r="124" spans="3:16" x14ac:dyDescent="0.3">
      <c r="C124" s="1">
        <v>117</v>
      </c>
      <c r="E124" s="1">
        <v>8134606.7077390281</v>
      </c>
      <c r="F124" s="1">
        <v>491.55415625606798</v>
      </c>
      <c r="G124" s="1">
        <v>4.9296902023212281</v>
      </c>
      <c r="H124" s="1">
        <v>8023496.5799150541</v>
      </c>
      <c r="I124" s="1">
        <v>488.09499871720095</v>
      </c>
      <c r="J124" s="1">
        <v>3.9071065214566976</v>
      </c>
      <c r="N124" s="1">
        <f t="shared" si="7"/>
        <v>-111110.12782397401</v>
      </c>
      <c r="O124" s="1">
        <f t="shared" si="8"/>
        <v>-3.4591575388670321</v>
      </c>
      <c r="P124" s="1">
        <f t="shared" si="9"/>
        <v>-1.0225836808645306</v>
      </c>
    </row>
    <row r="125" spans="3:16" x14ac:dyDescent="0.3">
      <c r="C125" s="1">
        <v>118</v>
      </c>
      <c r="E125" s="1">
        <v>9122780.6186704468</v>
      </c>
      <c r="F125" s="1">
        <v>490.97566390069051</v>
      </c>
      <c r="G125" s="1">
        <v>4.6688686969477606</v>
      </c>
      <c r="H125" s="1">
        <v>9047653.4526466001</v>
      </c>
      <c r="I125" s="1">
        <v>487.59286913052387</v>
      </c>
      <c r="J125" s="1">
        <v>3.6962315714672327</v>
      </c>
      <c r="N125" s="1">
        <f t="shared" si="7"/>
        <v>-75127.166023846716</v>
      </c>
      <c r="O125" s="1">
        <f t="shared" si="8"/>
        <v>-3.3827947701666403</v>
      </c>
      <c r="P125" s="1">
        <f t="shared" si="9"/>
        <v>-0.97263712548052794</v>
      </c>
    </row>
    <row r="126" spans="3:16" x14ac:dyDescent="0.3">
      <c r="C126" s="1">
        <v>119</v>
      </c>
      <c r="E126" s="1">
        <v>8332439.5079579391</v>
      </c>
      <c r="F126" s="1">
        <v>443.8573581587292</v>
      </c>
      <c r="G126" s="1">
        <v>5.2914612927353373</v>
      </c>
      <c r="H126" s="1">
        <v>8205449.3244950585</v>
      </c>
      <c r="I126" s="1">
        <v>439.1192036667191</v>
      </c>
      <c r="J126" s="1">
        <v>3.593921058372695</v>
      </c>
      <c r="N126" s="1">
        <f t="shared" si="7"/>
        <v>-126990.18346288055</v>
      </c>
      <c r="O126" s="1">
        <f t="shared" si="8"/>
        <v>-4.7381544920100964</v>
      </c>
      <c r="P126" s="1">
        <f t="shared" si="9"/>
        <v>-1.6975402343626422</v>
      </c>
    </row>
    <row r="127" spans="3:16" x14ac:dyDescent="0.3">
      <c r="C127" s="1">
        <v>120</v>
      </c>
      <c r="E127" s="1">
        <v>6643878.9555454412</v>
      </c>
      <c r="F127" s="1">
        <v>454.68463858748106</v>
      </c>
      <c r="G127" s="1">
        <v>5.5133004129509073</v>
      </c>
      <c r="H127" s="1">
        <v>6525805.2789889555</v>
      </c>
      <c r="I127" s="1">
        <v>449.16223709340358</v>
      </c>
      <c r="J127" s="1">
        <v>4.4695461460286134</v>
      </c>
      <c r="N127" s="1">
        <f t="shared" si="7"/>
        <v>-118073.67655648571</v>
      </c>
      <c r="O127" s="1">
        <f t="shared" si="8"/>
        <v>-5.522401494077485</v>
      </c>
      <c r="P127" s="1">
        <f t="shared" si="9"/>
        <v>-1.0437542669222939</v>
      </c>
    </row>
    <row r="128" spans="3:16" x14ac:dyDescent="0.3">
      <c r="C128" s="1">
        <v>121</v>
      </c>
      <c r="E128" s="1">
        <v>7860467.7714205328</v>
      </c>
      <c r="F128" s="1">
        <v>450.69938035318609</v>
      </c>
      <c r="G128" s="1">
        <v>5.2595435763652283</v>
      </c>
      <c r="H128" s="1">
        <v>7751730.1782908738</v>
      </c>
      <c r="I128" s="1">
        <v>443.96219054185906</v>
      </c>
      <c r="J128" s="1">
        <v>3.5206015950221046</v>
      </c>
      <c r="N128" s="1">
        <f t="shared" si="7"/>
        <v>-108737.59312965907</v>
      </c>
      <c r="O128" s="1">
        <f t="shared" si="8"/>
        <v>-6.7371898113270277</v>
      </c>
      <c r="P128" s="1">
        <f t="shared" si="9"/>
        <v>-1.7389419813431237</v>
      </c>
    </row>
    <row r="129" spans="3:16" x14ac:dyDescent="0.3">
      <c r="C129" s="1">
        <v>122</v>
      </c>
      <c r="E129" s="1">
        <v>6605987.8320949469</v>
      </c>
      <c r="F129" s="1">
        <v>483.0914715480672</v>
      </c>
      <c r="G129" s="1">
        <v>5.4316565589710954</v>
      </c>
      <c r="H129" s="1">
        <v>6528553.9368924899</v>
      </c>
      <c r="I129" s="1">
        <v>480.5405659880916</v>
      </c>
      <c r="J129" s="1">
        <v>3.9425655118099807</v>
      </c>
      <c r="N129" s="1">
        <f t="shared" si="7"/>
        <v>-77433.895202456973</v>
      </c>
      <c r="O129" s="1">
        <f t="shared" si="8"/>
        <v>-2.5509055599756039</v>
      </c>
      <c r="P129" s="1">
        <f t="shared" si="9"/>
        <v>-1.4890910471611147</v>
      </c>
    </row>
    <row r="130" spans="3:16" x14ac:dyDescent="0.3">
      <c r="C130" s="1">
        <v>123</v>
      </c>
      <c r="E130" s="1">
        <v>7414139.5999641446</v>
      </c>
      <c r="F130" s="1">
        <v>469.03207352328565</v>
      </c>
      <c r="G130" s="1">
        <v>4.4455428836706936</v>
      </c>
      <c r="H130" s="1">
        <v>7323505.4100676095</v>
      </c>
      <c r="I130" s="1">
        <v>465.17256762424648</v>
      </c>
      <c r="J130" s="1">
        <v>3.4367474118099208</v>
      </c>
      <c r="N130" s="1">
        <f t="shared" si="7"/>
        <v>-90634.189896535128</v>
      </c>
      <c r="O130" s="1">
        <f t="shared" si="8"/>
        <v>-3.8595058990391635</v>
      </c>
      <c r="P130" s="1">
        <f t="shared" si="9"/>
        <v>-1.0087954718607728</v>
      </c>
    </row>
    <row r="131" spans="3:16" x14ac:dyDescent="0.3">
      <c r="C131" s="1">
        <v>124</v>
      </c>
      <c r="E131" s="1">
        <v>7123685.4300101502</v>
      </c>
      <c r="F131" s="1">
        <v>455.6763435682422</v>
      </c>
      <c r="G131" s="1">
        <v>4.348188877427928</v>
      </c>
      <c r="H131" s="1">
        <v>7066071.1600028072</v>
      </c>
      <c r="I131" s="1">
        <v>453.94237501891979</v>
      </c>
      <c r="J131" s="1">
        <v>3.5888018346512398</v>
      </c>
      <c r="N131" s="1">
        <f t="shared" si="7"/>
        <v>-57614.270007343031</v>
      </c>
      <c r="O131" s="1">
        <f t="shared" si="8"/>
        <v>-1.7339685493224124</v>
      </c>
      <c r="P131" s="1">
        <f t="shared" si="9"/>
        <v>-0.75938704277668823</v>
      </c>
    </row>
    <row r="132" spans="3:16" x14ac:dyDescent="0.3">
      <c r="C132" s="1">
        <v>125</v>
      </c>
      <c r="E132" s="1">
        <v>7492549.4336887896</v>
      </c>
      <c r="F132" s="1">
        <v>498.0440151474541</v>
      </c>
      <c r="G132" s="1">
        <v>5.0114143705292964</v>
      </c>
      <c r="H132" s="1">
        <v>7406153.0965252016</v>
      </c>
      <c r="I132" s="1">
        <v>494.01200284862119</v>
      </c>
      <c r="J132" s="1">
        <v>3.8617346015600429</v>
      </c>
      <c r="N132" s="1">
        <f t="shared" si="7"/>
        <v>-86396.337163588032</v>
      </c>
      <c r="O132" s="1">
        <f t="shared" si="8"/>
        <v>-4.0320122988329103</v>
      </c>
      <c r="P132" s="1">
        <f t="shared" si="9"/>
        <v>-1.1496797689692535</v>
      </c>
    </row>
    <row r="133" spans="3:16" x14ac:dyDescent="0.3">
      <c r="C133" s="1">
        <v>126</v>
      </c>
      <c r="E133" s="1">
        <v>6225139.9537958698</v>
      </c>
      <c r="F133" s="1">
        <v>496.60922874819232</v>
      </c>
      <c r="G133" s="1">
        <v>4.7887212613066152</v>
      </c>
      <c r="H133" s="1">
        <v>6139865.8004451096</v>
      </c>
      <c r="I133" s="1">
        <v>493.01669761738134</v>
      </c>
      <c r="J133" s="1">
        <v>3.4263948723540962</v>
      </c>
      <c r="N133" s="1">
        <f t="shared" si="7"/>
        <v>-85274.153350760229</v>
      </c>
      <c r="O133" s="1">
        <f t="shared" si="8"/>
        <v>-3.5925311308109826</v>
      </c>
      <c r="P133" s="1">
        <f t="shared" si="9"/>
        <v>-1.362326388952519</v>
      </c>
    </row>
    <row r="134" spans="3:16" x14ac:dyDescent="0.3">
      <c r="C134" s="1">
        <v>127</v>
      </c>
      <c r="E134" s="1">
        <v>9259218.8251354471</v>
      </c>
      <c r="F134" s="1">
        <v>496.00050200433941</v>
      </c>
      <c r="G134" s="1">
        <v>4.8742924210874463</v>
      </c>
      <c r="H134" s="1">
        <v>9029189.6807860751</v>
      </c>
      <c r="I134" s="1">
        <v>488.25048391407199</v>
      </c>
      <c r="J134" s="1">
        <v>3.2943072762740764</v>
      </c>
      <c r="N134" s="1">
        <f t="shared" si="7"/>
        <v>-230029.14434937201</v>
      </c>
      <c r="O134" s="1">
        <f t="shared" si="8"/>
        <v>-7.7500180902674174</v>
      </c>
      <c r="P134" s="1">
        <f t="shared" si="9"/>
        <v>-1.5799851448133699</v>
      </c>
    </row>
    <row r="135" spans="3:16" x14ac:dyDescent="0.3">
      <c r="C135" s="1">
        <v>128</v>
      </c>
      <c r="E135" s="1">
        <v>7906909.8931535566</v>
      </c>
      <c r="F135" s="1">
        <v>495.31532060051768</v>
      </c>
      <c r="G135" s="1">
        <v>5.1421814287908019</v>
      </c>
      <c r="H135" s="1">
        <v>7779838.0258207014</v>
      </c>
      <c r="I135" s="1">
        <v>490.69383464571354</v>
      </c>
      <c r="J135" s="1">
        <v>4.0046760794595162</v>
      </c>
      <c r="N135" s="1">
        <f t="shared" ref="N135:N198" si="10">IF(LEN($C135)&gt;0,H135-E135,"")</f>
        <v>-127071.86733285524</v>
      </c>
      <c r="O135" s="1">
        <f t="shared" ref="O135:O198" si="11">IF(LEN($C135)&gt;0,I135-F135,"")</f>
        <v>-4.6214859548041431</v>
      </c>
      <c r="P135" s="1">
        <f t="shared" ref="P135:P198" si="12">IF(LEN($C135)&gt;0,J135-G135,"")</f>
        <v>-1.1375053493312857</v>
      </c>
    </row>
    <row r="136" spans="3:16" x14ac:dyDescent="0.3">
      <c r="C136" s="1">
        <v>129</v>
      </c>
      <c r="E136" s="1">
        <v>7708478.0308700847</v>
      </c>
      <c r="F136" s="1">
        <v>448.26645287766081</v>
      </c>
      <c r="G136" s="1">
        <v>6.3651179634805501</v>
      </c>
      <c r="H136" s="1">
        <v>7635630.8006804967</v>
      </c>
      <c r="I136" s="1">
        <v>446.24185116867591</v>
      </c>
      <c r="J136" s="1">
        <v>5.2075360383113214</v>
      </c>
      <c r="N136" s="1">
        <f t="shared" si="10"/>
        <v>-72847.230189587921</v>
      </c>
      <c r="O136" s="1">
        <f t="shared" si="11"/>
        <v>-2.0246017089849033</v>
      </c>
      <c r="P136" s="1">
        <f t="shared" si="12"/>
        <v>-1.1575819251692288</v>
      </c>
    </row>
    <row r="137" spans="3:16" x14ac:dyDescent="0.3">
      <c r="C137" s="1">
        <v>130</v>
      </c>
      <c r="E137" s="1">
        <v>7186403.9404414212</v>
      </c>
      <c r="F137" s="1">
        <v>452.10638899522849</v>
      </c>
      <c r="G137" s="1">
        <v>6.0300740927107217</v>
      </c>
      <c r="H137" s="1">
        <v>7044637.2205071533</v>
      </c>
      <c r="I137" s="1">
        <v>446.78359200347029</v>
      </c>
      <c r="J137" s="1">
        <v>4.5270344076687623</v>
      </c>
      <c r="N137" s="1">
        <f t="shared" si="10"/>
        <v>-141766.71993426792</v>
      </c>
      <c r="O137" s="1">
        <f t="shared" si="11"/>
        <v>-5.3227969917581959</v>
      </c>
      <c r="P137" s="1">
        <f t="shared" si="12"/>
        <v>-1.5030396850419594</v>
      </c>
    </row>
    <row r="138" spans="3:16" x14ac:dyDescent="0.3">
      <c r="C138" s="1">
        <v>131</v>
      </c>
      <c r="E138" s="1">
        <v>7127485.8568570586</v>
      </c>
      <c r="F138" s="1">
        <v>440.98494830918725</v>
      </c>
      <c r="G138" s="1">
        <v>4.3607658033325425</v>
      </c>
      <c r="H138" s="1">
        <v>6959113.9862178657</v>
      </c>
      <c r="I138" s="1">
        <v>433.88040769194276</v>
      </c>
      <c r="J138" s="1">
        <v>2.615396564947388</v>
      </c>
      <c r="N138" s="1">
        <f t="shared" si="10"/>
        <v>-168371.87063919287</v>
      </c>
      <c r="O138" s="1">
        <f t="shared" si="11"/>
        <v>-7.1045406172444814</v>
      </c>
      <c r="P138" s="1">
        <f t="shared" si="12"/>
        <v>-1.7453692383851545</v>
      </c>
    </row>
    <row r="139" spans="3:16" x14ac:dyDescent="0.3">
      <c r="C139" s="1">
        <v>132</v>
      </c>
      <c r="E139" s="1">
        <v>6229848.9095255872</v>
      </c>
      <c r="F139" s="1">
        <v>492.57839865405299</v>
      </c>
      <c r="G139" s="1">
        <v>5.2910366550511192</v>
      </c>
      <c r="H139" s="1">
        <v>6100487.2531272182</v>
      </c>
      <c r="I139" s="1">
        <v>487.43723506613895</v>
      </c>
      <c r="J139" s="1">
        <v>3.8337659116757217</v>
      </c>
      <c r="N139" s="1">
        <f t="shared" si="10"/>
        <v>-129361.656398369</v>
      </c>
      <c r="O139" s="1">
        <f t="shared" si="11"/>
        <v>-5.1411635879140363</v>
      </c>
      <c r="P139" s="1">
        <f t="shared" si="12"/>
        <v>-1.4572707433753975</v>
      </c>
    </row>
    <row r="140" spans="3:16" x14ac:dyDescent="0.3">
      <c r="C140" s="1">
        <v>133</v>
      </c>
      <c r="E140" s="1">
        <v>6447879.2244974962</v>
      </c>
      <c r="F140" s="1">
        <v>436.76808542452142</v>
      </c>
      <c r="G140" s="1">
        <v>5.4023373925272269</v>
      </c>
      <c r="H140" s="1">
        <v>6364437.190469997</v>
      </c>
      <c r="I140" s="1">
        <v>433.09865315149801</v>
      </c>
      <c r="J140" s="1">
        <v>3.906449044667474</v>
      </c>
      <c r="N140" s="1">
        <f t="shared" si="10"/>
        <v>-83442.034027499147</v>
      </c>
      <c r="O140" s="1">
        <f t="shared" si="11"/>
        <v>-3.6694322730234035</v>
      </c>
      <c r="P140" s="1">
        <f t="shared" si="12"/>
        <v>-1.4958883478597529</v>
      </c>
    </row>
    <row r="141" spans="3:16" x14ac:dyDescent="0.3">
      <c r="C141" s="1">
        <v>134</v>
      </c>
      <c r="E141" s="1">
        <v>6606952.4625128619</v>
      </c>
      <c r="F141" s="1">
        <v>450.72120617363953</v>
      </c>
      <c r="G141" s="1">
        <v>5.1360442628214944</v>
      </c>
      <c r="H141" s="1">
        <v>6500615.5500758514</v>
      </c>
      <c r="I141" s="1">
        <v>445.75370168346666</v>
      </c>
      <c r="J141" s="1">
        <v>3.6110268406306294</v>
      </c>
      <c r="N141" s="1">
        <f t="shared" si="10"/>
        <v>-106336.91243701056</v>
      </c>
      <c r="O141" s="1">
        <f t="shared" si="11"/>
        <v>-4.9675044901728711</v>
      </c>
      <c r="P141" s="1">
        <f t="shared" si="12"/>
        <v>-1.525017422190865</v>
      </c>
    </row>
    <row r="142" spans="3:16" x14ac:dyDescent="0.3">
      <c r="C142" s="1">
        <v>135</v>
      </c>
      <c r="E142" s="1">
        <v>6760047.9813934257</v>
      </c>
      <c r="F142" s="1">
        <v>466.79071001050499</v>
      </c>
      <c r="G142" s="1">
        <v>4.1083002394672663</v>
      </c>
      <c r="H142" s="1">
        <v>6686141.780694209</v>
      </c>
      <c r="I142" s="1">
        <v>464.54918109231704</v>
      </c>
      <c r="J142" s="1">
        <v>2.7293955022856946</v>
      </c>
      <c r="N142" s="1">
        <f t="shared" si="10"/>
        <v>-73906.200699216686</v>
      </c>
      <c r="O142" s="1">
        <f t="shared" si="11"/>
        <v>-2.241528918187953</v>
      </c>
      <c r="P142" s="1">
        <f t="shared" si="12"/>
        <v>-1.3789047371815717</v>
      </c>
    </row>
    <row r="143" spans="3:16" x14ac:dyDescent="0.3">
      <c r="C143" s="1">
        <v>136</v>
      </c>
      <c r="E143" s="1">
        <v>7578042.890314173</v>
      </c>
      <c r="F143" s="1">
        <v>446.42866531584326</v>
      </c>
      <c r="G143" s="1">
        <v>5.2034797640190291</v>
      </c>
      <c r="H143" s="1">
        <v>7423249.9282482518</v>
      </c>
      <c r="I143" s="1">
        <v>440.26663381220442</v>
      </c>
      <c r="J143" s="1">
        <v>3.6484779809493055</v>
      </c>
      <c r="N143" s="1">
        <f t="shared" si="10"/>
        <v>-154792.96206592117</v>
      </c>
      <c r="O143" s="1">
        <f t="shared" si="11"/>
        <v>-6.1620315036388433</v>
      </c>
      <c r="P143" s="1">
        <f t="shared" si="12"/>
        <v>-1.5550017830697236</v>
      </c>
    </row>
    <row r="144" spans="3:16" x14ac:dyDescent="0.3">
      <c r="C144" s="1">
        <v>137</v>
      </c>
      <c r="E144" s="1">
        <v>8310407.8303530645</v>
      </c>
      <c r="F144" s="1">
        <v>445.32497846676841</v>
      </c>
      <c r="G144" s="1">
        <v>4.4781940908311668</v>
      </c>
      <c r="H144" s="1">
        <v>8122731.3149373131</v>
      </c>
      <c r="I144" s="1">
        <v>439.53843013497487</v>
      </c>
      <c r="J144" s="1">
        <v>2.9298257302322979</v>
      </c>
      <c r="N144" s="1">
        <f t="shared" si="10"/>
        <v>-187676.51541575138</v>
      </c>
      <c r="O144" s="1">
        <f t="shared" si="11"/>
        <v>-5.78654833179354</v>
      </c>
      <c r="P144" s="1">
        <f t="shared" si="12"/>
        <v>-1.548368360598869</v>
      </c>
    </row>
    <row r="145" spans="3:16" x14ac:dyDescent="0.3">
      <c r="C145" s="1">
        <v>138</v>
      </c>
      <c r="E145" s="1">
        <v>9366580.7407936882</v>
      </c>
      <c r="F145" s="1">
        <v>490.65759647058718</v>
      </c>
      <c r="G145" s="1">
        <v>4.7844331425451045</v>
      </c>
      <c r="H145" s="1">
        <v>9272429.6414867584</v>
      </c>
      <c r="I145" s="1">
        <v>486.79244730902241</v>
      </c>
      <c r="J145" s="1">
        <v>4.020677951649434</v>
      </c>
      <c r="N145" s="1">
        <f t="shared" si="10"/>
        <v>-94151.099306929857</v>
      </c>
      <c r="O145" s="1">
        <f t="shared" si="11"/>
        <v>-3.8651491615647728</v>
      </c>
      <c r="P145" s="1">
        <f t="shared" si="12"/>
        <v>-0.76375519089567057</v>
      </c>
    </row>
    <row r="146" spans="3:16" x14ac:dyDescent="0.3">
      <c r="C146" s="1">
        <v>139</v>
      </c>
      <c r="E146" s="1">
        <v>6439047.5645410446</v>
      </c>
      <c r="F146" s="1">
        <v>469.94436673011722</v>
      </c>
      <c r="G146" s="1">
        <v>5.0519276810684559</v>
      </c>
      <c r="H146" s="1">
        <v>6360538.2455326002</v>
      </c>
      <c r="I146" s="1">
        <v>465.4622419702805</v>
      </c>
      <c r="J146" s="1">
        <v>3.7008340924267022</v>
      </c>
      <c r="N146" s="1">
        <f t="shared" si="10"/>
        <v>-78509.319008444436</v>
      </c>
      <c r="O146" s="1">
        <f t="shared" si="11"/>
        <v>-4.4821247598367222</v>
      </c>
      <c r="P146" s="1">
        <f t="shared" si="12"/>
        <v>-1.3510935886417537</v>
      </c>
    </row>
    <row r="147" spans="3:16" x14ac:dyDescent="0.3">
      <c r="C147" s="1">
        <v>140</v>
      </c>
      <c r="E147" s="1">
        <v>9540320.1334107928</v>
      </c>
      <c r="F147" s="1">
        <v>462.12853389430643</v>
      </c>
      <c r="G147" s="1">
        <v>6.9367187676716986</v>
      </c>
      <c r="H147" s="1">
        <v>9401024.661133213</v>
      </c>
      <c r="I147" s="1">
        <v>457.36529377315043</v>
      </c>
      <c r="J147" s="1">
        <v>5.7403493333227793</v>
      </c>
      <c r="N147" s="1">
        <f t="shared" si="10"/>
        <v>-139295.47227757983</v>
      </c>
      <c r="O147" s="1">
        <f t="shared" si="11"/>
        <v>-4.7632401211560023</v>
      </c>
      <c r="P147" s="1">
        <f t="shared" si="12"/>
        <v>-1.1963694343489193</v>
      </c>
    </row>
    <row r="148" spans="3:16" x14ac:dyDescent="0.3">
      <c r="C148" s="1">
        <v>141</v>
      </c>
      <c r="E148" s="1">
        <v>7881614.6709703878</v>
      </c>
      <c r="F148" s="1">
        <v>475.81069631290404</v>
      </c>
      <c r="G148" s="1">
        <v>4.5302215701829551</v>
      </c>
      <c r="H148" s="1">
        <v>7755135.9698816491</v>
      </c>
      <c r="I148" s="1">
        <v>469.23377376632544</v>
      </c>
      <c r="J148" s="1">
        <v>3.0332743099673878</v>
      </c>
      <c r="N148" s="1">
        <f t="shared" si="10"/>
        <v>-126478.70108873863</v>
      </c>
      <c r="O148" s="1">
        <f t="shared" si="11"/>
        <v>-6.5769225465786008</v>
      </c>
      <c r="P148" s="1">
        <f t="shared" si="12"/>
        <v>-1.4969472602155673</v>
      </c>
    </row>
    <row r="149" spans="3:16" x14ac:dyDescent="0.3">
      <c r="C149" s="1">
        <v>142</v>
      </c>
      <c r="E149" s="1">
        <v>6689706.1049277363</v>
      </c>
      <c r="F149" s="1">
        <v>468.10375602622514</v>
      </c>
      <c r="G149" s="1">
        <v>4.4133454416142088</v>
      </c>
      <c r="H149" s="1">
        <v>6611018.068824809</v>
      </c>
      <c r="I149" s="1">
        <v>465.70584159338404</v>
      </c>
      <c r="J149" s="1">
        <v>3.1085509308154631</v>
      </c>
      <c r="N149" s="1">
        <f t="shared" si="10"/>
        <v>-78688.03610292729</v>
      </c>
      <c r="O149" s="1">
        <f t="shared" si="11"/>
        <v>-2.3979144328411053</v>
      </c>
      <c r="P149" s="1">
        <f t="shared" si="12"/>
        <v>-1.3047945107987458</v>
      </c>
    </row>
    <row r="150" spans="3:16" x14ac:dyDescent="0.3">
      <c r="C150" s="1">
        <v>143</v>
      </c>
      <c r="E150" s="1">
        <v>7965813.5294519523</v>
      </c>
      <c r="F150" s="1">
        <v>499.570394168468</v>
      </c>
      <c r="G150" s="1">
        <v>4.2555521434364403</v>
      </c>
      <c r="H150" s="1">
        <v>7823662.6526638605</v>
      </c>
      <c r="I150" s="1">
        <v>492.21373324742677</v>
      </c>
      <c r="J150" s="1">
        <v>3.0106818872765735</v>
      </c>
      <c r="N150" s="1">
        <f t="shared" si="10"/>
        <v>-142150.87678809185</v>
      </c>
      <c r="O150" s="1">
        <f t="shared" si="11"/>
        <v>-7.3566609210412253</v>
      </c>
      <c r="P150" s="1">
        <f t="shared" si="12"/>
        <v>-1.2448702561598668</v>
      </c>
    </row>
    <row r="151" spans="3:16" x14ac:dyDescent="0.3">
      <c r="C151" s="1">
        <v>144</v>
      </c>
      <c r="E151" s="1">
        <v>8290768.8536487008</v>
      </c>
      <c r="F151" s="1">
        <v>482.15553921063128</v>
      </c>
      <c r="G151" s="1">
        <v>5.488487245340651</v>
      </c>
      <c r="H151" s="1">
        <v>8161382.4743266758</v>
      </c>
      <c r="I151" s="1">
        <v>477.40611190572082</v>
      </c>
      <c r="J151" s="1">
        <v>3.7775615133465239</v>
      </c>
      <c r="N151" s="1">
        <f t="shared" si="10"/>
        <v>-129386.37932202499</v>
      </c>
      <c r="O151" s="1">
        <f t="shared" si="11"/>
        <v>-4.749427304910455</v>
      </c>
      <c r="P151" s="1">
        <f t="shared" si="12"/>
        <v>-1.7109257319941271</v>
      </c>
    </row>
    <row r="152" spans="3:16" x14ac:dyDescent="0.3">
      <c r="C152" s="1">
        <v>145</v>
      </c>
      <c r="E152" s="1">
        <v>7103961.336238414</v>
      </c>
      <c r="F152" s="1">
        <v>478.45447580398792</v>
      </c>
      <c r="G152" s="1">
        <v>4.5710415167415537</v>
      </c>
      <c r="H152" s="1">
        <v>7034120.0479511786</v>
      </c>
      <c r="I152" s="1">
        <v>476.20178511019031</v>
      </c>
      <c r="J152" s="1">
        <v>3.7786815747882549</v>
      </c>
      <c r="N152" s="1">
        <f t="shared" si="10"/>
        <v>-69841.288287235424</v>
      </c>
      <c r="O152" s="1">
        <f t="shared" si="11"/>
        <v>-2.2526906937976037</v>
      </c>
      <c r="P152" s="1">
        <f t="shared" si="12"/>
        <v>-0.79235994195329873</v>
      </c>
    </row>
    <row r="153" spans="3:16" x14ac:dyDescent="0.3">
      <c r="C153" s="1">
        <v>146</v>
      </c>
      <c r="E153" s="1">
        <v>6952642.6167639866</v>
      </c>
      <c r="F153" s="1">
        <v>511.34319809881913</v>
      </c>
      <c r="G153" s="1">
        <v>4.7458746678292689</v>
      </c>
      <c r="H153" s="1">
        <v>6762707.2014183784</v>
      </c>
      <c r="I153" s="1">
        <v>501.97068585444993</v>
      </c>
      <c r="J153" s="1">
        <v>3.3445367884869874</v>
      </c>
      <c r="N153" s="1">
        <f t="shared" si="10"/>
        <v>-189935.41534560826</v>
      </c>
      <c r="O153" s="1">
        <f t="shared" si="11"/>
        <v>-9.3725122443692044</v>
      </c>
      <c r="P153" s="1">
        <f t="shared" si="12"/>
        <v>-1.4013378793422815</v>
      </c>
    </row>
    <row r="154" spans="3:16" x14ac:dyDescent="0.3">
      <c r="C154" s="1">
        <v>147</v>
      </c>
      <c r="E154" s="1">
        <v>7985136.3779044058</v>
      </c>
      <c r="F154" s="1">
        <v>474.68891626352951</v>
      </c>
      <c r="G154" s="1">
        <v>5.6559813156822454</v>
      </c>
      <c r="H154" s="1">
        <v>7853395.3265004111</v>
      </c>
      <c r="I154" s="1">
        <v>470.5353453180345</v>
      </c>
      <c r="J154" s="1">
        <v>3.8864028035299505</v>
      </c>
      <c r="N154" s="1">
        <f t="shared" si="10"/>
        <v>-131741.05140399467</v>
      </c>
      <c r="O154" s="1">
        <f t="shared" si="11"/>
        <v>-4.1535709454950052</v>
      </c>
      <c r="P154" s="1">
        <f t="shared" si="12"/>
        <v>-1.7695785121522949</v>
      </c>
    </row>
    <row r="155" spans="3:16" x14ac:dyDescent="0.3">
      <c r="C155" s="1">
        <v>148</v>
      </c>
      <c r="E155" s="1">
        <v>7557398.5923774028</v>
      </c>
      <c r="F155" s="1">
        <v>458.5726421440234</v>
      </c>
      <c r="G155" s="1">
        <v>5.4764337981312927</v>
      </c>
      <c r="H155" s="1">
        <v>7311254.9384841369</v>
      </c>
      <c r="I155" s="1">
        <v>446.22699850038305</v>
      </c>
      <c r="J155" s="1">
        <v>3.7680971870140634</v>
      </c>
      <c r="N155" s="1">
        <f t="shared" si="10"/>
        <v>-246143.65389326587</v>
      </c>
      <c r="O155" s="1">
        <f t="shared" si="11"/>
        <v>-12.345643643640358</v>
      </c>
      <c r="P155" s="1">
        <f t="shared" si="12"/>
        <v>-1.7083366111172293</v>
      </c>
    </row>
    <row r="156" spans="3:16" x14ac:dyDescent="0.3">
      <c r="C156" s="1">
        <v>149</v>
      </c>
      <c r="E156" s="1">
        <v>7216145.0942355646</v>
      </c>
      <c r="F156" s="1">
        <v>446.82514918319669</v>
      </c>
      <c r="G156" s="1">
        <v>5.3305648417605278</v>
      </c>
      <c r="H156" s="1">
        <v>7080358.2631891863</v>
      </c>
      <c r="I156" s="1">
        <v>439.62183437341326</v>
      </c>
      <c r="J156" s="1">
        <v>3.5377961445920039</v>
      </c>
      <c r="N156" s="1">
        <f t="shared" si="10"/>
        <v>-135786.83104637824</v>
      </c>
      <c r="O156" s="1">
        <f t="shared" si="11"/>
        <v>-7.2033148097834214</v>
      </c>
      <c r="P156" s="1">
        <f t="shared" si="12"/>
        <v>-1.7927686971685239</v>
      </c>
    </row>
    <row r="157" spans="3:16" x14ac:dyDescent="0.3">
      <c r="C157" s="1">
        <v>150</v>
      </c>
      <c r="E157" s="1">
        <v>7890314.9622447696</v>
      </c>
      <c r="F157" s="1">
        <v>443.80216563509987</v>
      </c>
      <c r="G157" s="1">
        <v>4.9041006284545654</v>
      </c>
      <c r="H157" s="1">
        <v>7769092.6774311941</v>
      </c>
      <c r="I157" s="1">
        <v>439.8267838848426</v>
      </c>
      <c r="J157" s="1">
        <v>3.2605496722040948</v>
      </c>
      <c r="N157" s="1">
        <f t="shared" si="10"/>
        <v>-121222.28481357545</v>
      </c>
      <c r="O157" s="1">
        <f t="shared" si="11"/>
        <v>-3.9753817502572701</v>
      </c>
      <c r="P157" s="1">
        <f t="shared" si="12"/>
        <v>-1.6435509562504707</v>
      </c>
    </row>
    <row r="158" spans="3:16" x14ac:dyDescent="0.3">
      <c r="C158" s="1">
        <v>151</v>
      </c>
      <c r="E158" s="1">
        <v>5374288.8362652315</v>
      </c>
      <c r="F158" s="1">
        <v>436.01398451392976</v>
      </c>
      <c r="G158" s="1">
        <v>4.6191132696555668</v>
      </c>
      <c r="H158" s="1">
        <v>5308851.3875996172</v>
      </c>
      <c r="I158" s="1">
        <v>433.60240344496265</v>
      </c>
      <c r="J158" s="1">
        <v>3.8086143843240938</v>
      </c>
      <c r="N158" s="1">
        <f t="shared" si="10"/>
        <v>-65437.44866561424</v>
      </c>
      <c r="O158" s="1">
        <f t="shared" si="11"/>
        <v>-2.4115810689671093</v>
      </c>
      <c r="P158" s="1">
        <f t="shared" si="12"/>
        <v>-0.81049888533147296</v>
      </c>
    </row>
    <row r="159" spans="3:16" x14ac:dyDescent="0.3">
      <c r="C159" s="1">
        <v>152</v>
      </c>
      <c r="E159" s="1">
        <v>6699982.264917803</v>
      </c>
      <c r="F159" s="1">
        <v>468.2061706165702</v>
      </c>
      <c r="G159" s="1">
        <v>4.1644199902078629</v>
      </c>
      <c r="H159" s="1">
        <v>6631907.4522937723</v>
      </c>
      <c r="I159" s="1">
        <v>465.32246626198281</v>
      </c>
      <c r="J159" s="1">
        <v>2.8974214383917429</v>
      </c>
      <c r="N159" s="1">
        <f t="shared" si="10"/>
        <v>-68074.812624030747</v>
      </c>
      <c r="O159" s="1">
        <f t="shared" si="11"/>
        <v>-2.8837043545873939</v>
      </c>
      <c r="P159" s="1">
        <f t="shared" si="12"/>
        <v>-1.26699855181612</v>
      </c>
    </row>
    <row r="160" spans="3:16" x14ac:dyDescent="0.3">
      <c r="C160" s="1">
        <v>153</v>
      </c>
      <c r="E160" s="1">
        <v>7341015.986916041</v>
      </c>
      <c r="F160" s="1">
        <v>451.68496216230557</v>
      </c>
      <c r="G160" s="1">
        <v>5.8291960029406908</v>
      </c>
      <c r="H160" s="1">
        <v>7223611.1624504747</v>
      </c>
      <c r="I160" s="1">
        <v>445.56957671730129</v>
      </c>
      <c r="J160" s="1">
        <v>4.4201381956141592</v>
      </c>
      <c r="N160" s="1">
        <f t="shared" si="10"/>
        <v>-117404.82446556631</v>
      </c>
      <c r="O160" s="1">
        <f t="shared" si="11"/>
        <v>-6.1153854450042786</v>
      </c>
      <c r="P160" s="1">
        <f t="shared" si="12"/>
        <v>-1.4090578073265316</v>
      </c>
    </row>
    <row r="161" spans="3:16" x14ac:dyDescent="0.3">
      <c r="C161" s="1">
        <v>154</v>
      </c>
      <c r="E161" s="1">
        <v>7955623.7810199745</v>
      </c>
      <c r="F161" s="1">
        <v>461.84688249452802</v>
      </c>
      <c r="G161" s="1">
        <v>5.4314091304712067</v>
      </c>
      <c r="H161" s="1">
        <v>7788818.2007385986</v>
      </c>
      <c r="I161" s="1">
        <v>456.28760578508769</v>
      </c>
      <c r="J161" s="1">
        <v>3.8223953322619306</v>
      </c>
      <c r="N161" s="1">
        <f t="shared" si="10"/>
        <v>-166805.58028137591</v>
      </c>
      <c r="O161" s="1">
        <f t="shared" si="11"/>
        <v>-5.5592767094403257</v>
      </c>
      <c r="P161" s="1">
        <f t="shared" si="12"/>
        <v>-1.609013798209276</v>
      </c>
    </row>
    <row r="162" spans="3:16" x14ac:dyDescent="0.3">
      <c r="C162" s="1">
        <v>155</v>
      </c>
      <c r="E162" s="1">
        <v>7726240.7148953099</v>
      </c>
      <c r="F162" s="1">
        <v>469.67510629133204</v>
      </c>
      <c r="G162" s="1">
        <v>5.012188899750309</v>
      </c>
      <c r="H162" s="1">
        <v>7635793.4888545526</v>
      </c>
      <c r="I162" s="1">
        <v>467.31054546475258</v>
      </c>
      <c r="J162" s="1">
        <v>3.6921149342897408</v>
      </c>
      <c r="N162" s="1">
        <f t="shared" si="10"/>
        <v>-90447.226040757261</v>
      </c>
      <c r="O162" s="1">
        <f t="shared" si="11"/>
        <v>-2.3645608265794635</v>
      </c>
      <c r="P162" s="1">
        <f t="shared" si="12"/>
        <v>-1.3200739654605682</v>
      </c>
    </row>
    <row r="163" spans="3:16" x14ac:dyDescent="0.3">
      <c r="C163" s="1">
        <v>156</v>
      </c>
      <c r="E163" s="1">
        <v>6904000.5795026729</v>
      </c>
      <c r="F163" s="1">
        <v>494.95844519540941</v>
      </c>
      <c r="G163" s="1">
        <v>5.3246127403678001</v>
      </c>
      <c r="H163" s="1">
        <v>6851092.1089962386</v>
      </c>
      <c r="I163" s="1">
        <v>493.11074706640335</v>
      </c>
      <c r="J163" s="1">
        <v>4.4491383768797919</v>
      </c>
      <c r="N163" s="1">
        <f t="shared" si="10"/>
        <v>-52908.470506434329</v>
      </c>
      <c r="O163" s="1">
        <f t="shared" si="11"/>
        <v>-1.8476981290060621</v>
      </c>
      <c r="P163" s="1">
        <f t="shared" si="12"/>
        <v>-0.87547436348800822</v>
      </c>
    </row>
    <row r="164" spans="3:16" x14ac:dyDescent="0.3">
      <c r="C164" s="1">
        <v>157</v>
      </c>
      <c r="E164" s="1">
        <v>7811153.5233886763</v>
      </c>
      <c r="F164" s="1">
        <v>444.66198212297252</v>
      </c>
      <c r="G164" s="1">
        <v>5.5201529132730309</v>
      </c>
      <c r="H164" s="1">
        <v>7717517.3407161208</v>
      </c>
      <c r="I164" s="1">
        <v>441.68401452945682</v>
      </c>
      <c r="J164" s="1">
        <v>4.1363482690411431</v>
      </c>
      <c r="N164" s="1">
        <f t="shared" si="10"/>
        <v>-93636.182672555558</v>
      </c>
      <c r="O164" s="1">
        <f t="shared" si="11"/>
        <v>-2.9779675935157002</v>
      </c>
      <c r="P164" s="1">
        <f t="shared" si="12"/>
        <v>-1.3838046442318879</v>
      </c>
    </row>
    <row r="165" spans="3:16" x14ac:dyDescent="0.3">
      <c r="C165" s="1">
        <v>158</v>
      </c>
      <c r="E165" s="1">
        <v>5880643.8956884425</v>
      </c>
      <c r="F165" s="1">
        <v>446.26953467742305</v>
      </c>
      <c r="G165" s="1">
        <v>5.927054783919008</v>
      </c>
      <c r="H165" s="1">
        <v>5772508.7544938028</v>
      </c>
      <c r="I165" s="1">
        <v>441.41634833844091</v>
      </c>
      <c r="J165" s="1">
        <v>4.3564958224393173</v>
      </c>
      <c r="N165" s="1">
        <f t="shared" si="10"/>
        <v>-108135.14119463973</v>
      </c>
      <c r="O165" s="1">
        <f t="shared" si="11"/>
        <v>-4.853186338982141</v>
      </c>
      <c r="P165" s="1">
        <f t="shared" si="12"/>
        <v>-1.5705589614796907</v>
      </c>
    </row>
    <row r="166" spans="3:16" x14ac:dyDescent="0.3">
      <c r="C166" s="1">
        <v>159</v>
      </c>
      <c r="E166" s="1">
        <v>7292418.6367897904</v>
      </c>
      <c r="F166" s="1">
        <v>470.00741388316493</v>
      </c>
      <c r="G166" s="1">
        <v>4.8481306071638723</v>
      </c>
      <c r="H166" s="1">
        <v>7182845.70106305</v>
      </c>
      <c r="I166" s="1">
        <v>465.23709430272373</v>
      </c>
      <c r="J166" s="1">
        <v>3.3022008015840449</v>
      </c>
      <c r="N166" s="1">
        <f t="shared" si="10"/>
        <v>-109572.9357267404</v>
      </c>
      <c r="O166" s="1">
        <f t="shared" si="11"/>
        <v>-4.7703195804411962</v>
      </c>
      <c r="P166" s="1">
        <f t="shared" si="12"/>
        <v>-1.5459298055798274</v>
      </c>
    </row>
    <row r="167" spans="3:16" x14ac:dyDescent="0.3">
      <c r="C167" s="1">
        <v>160</v>
      </c>
      <c r="E167" s="1">
        <v>5045012.3335451772</v>
      </c>
      <c r="F167" s="1">
        <v>436.92657565259577</v>
      </c>
      <c r="G167" s="1">
        <v>5.5650071689344749</v>
      </c>
      <c r="H167" s="1">
        <v>4940691.9169457303</v>
      </c>
      <c r="I167" s="1">
        <v>432.99010360451894</v>
      </c>
      <c r="J167" s="1">
        <v>3.7101607805337671</v>
      </c>
      <c r="N167" s="1">
        <f t="shared" si="10"/>
        <v>-104320.41659944691</v>
      </c>
      <c r="O167" s="1">
        <f t="shared" si="11"/>
        <v>-3.9364720480768369</v>
      </c>
      <c r="P167" s="1">
        <f t="shared" si="12"/>
        <v>-1.8548463884007078</v>
      </c>
    </row>
    <row r="168" spans="3:16" x14ac:dyDescent="0.3">
      <c r="C168" s="1">
        <v>161</v>
      </c>
      <c r="E168" s="1">
        <v>6158792.4434762159</v>
      </c>
      <c r="F168" s="1">
        <v>447.0680324115487</v>
      </c>
      <c r="G168" s="1">
        <v>5.3137974754739083</v>
      </c>
      <c r="H168" s="1">
        <v>6076154.9316279981</v>
      </c>
      <c r="I168" s="1">
        <v>442.40455577032299</v>
      </c>
      <c r="J168" s="1">
        <v>3.8283420421010628</v>
      </c>
      <c r="N168" s="1">
        <f t="shared" si="10"/>
        <v>-82637.511848217808</v>
      </c>
      <c r="O168" s="1">
        <f t="shared" si="11"/>
        <v>-4.6634766412257136</v>
      </c>
      <c r="P168" s="1">
        <f t="shared" si="12"/>
        <v>-1.4854554333728456</v>
      </c>
    </row>
    <row r="169" spans="3:16" x14ac:dyDescent="0.3">
      <c r="C169" s="1">
        <v>162</v>
      </c>
      <c r="E169" s="1">
        <v>6549213.8036049129</v>
      </c>
      <c r="F169" s="1">
        <v>471.76184456267094</v>
      </c>
      <c r="G169" s="1">
        <v>6.0567456925220613</v>
      </c>
      <c r="H169" s="1">
        <v>6447539.0452863909</v>
      </c>
      <c r="I169" s="1">
        <v>468.62190506205849</v>
      </c>
      <c r="J169" s="1">
        <v>4.6420920446247971</v>
      </c>
      <c r="N169" s="1">
        <f t="shared" si="10"/>
        <v>-101674.75831852201</v>
      </c>
      <c r="O169" s="1">
        <f t="shared" si="11"/>
        <v>-3.1399395006124564</v>
      </c>
      <c r="P169" s="1">
        <f t="shared" si="12"/>
        <v>-1.4146536478972642</v>
      </c>
    </row>
    <row r="170" spans="3:16" x14ac:dyDescent="0.3">
      <c r="C170" s="1">
        <v>163</v>
      </c>
      <c r="E170" s="1">
        <v>7097873.1627946971</v>
      </c>
      <c r="F170" s="1">
        <v>430.30109938752935</v>
      </c>
      <c r="G170" s="1">
        <v>5.7083454944068857</v>
      </c>
      <c r="H170" s="1">
        <v>6989300.7481847033</v>
      </c>
      <c r="I170" s="1">
        <v>426.67321145822712</v>
      </c>
      <c r="J170" s="1">
        <v>4.240925647691367</v>
      </c>
      <c r="N170" s="1">
        <f t="shared" si="10"/>
        <v>-108572.41460999381</v>
      </c>
      <c r="O170" s="1">
        <f t="shared" si="11"/>
        <v>-3.6278879293022328</v>
      </c>
      <c r="P170" s="1">
        <f t="shared" si="12"/>
        <v>-1.4674198467155186</v>
      </c>
    </row>
    <row r="171" spans="3:16" x14ac:dyDescent="0.3">
      <c r="C171" s="1">
        <v>164</v>
      </c>
      <c r="E171" s="1">
        <v>6219920.7771211918</v>
      </c>
      <c r="F171" s="1">
        <v>479.14966930891626</v>
      </c>
      <c r="G171" s="1">
        <v>5.8522098784811316</v>
      </c>
      <c r="H171" s="1">
        <v>6109130.0516381348</v>
      </c>
      <c r="I171" s="1">
        <v>474.68301173322664</v>
      </c>
      <c r="J171" s="1">
        <v>4.7604979511262586</v>
      </c>
      <c r="N171" s="1">
        <f t="shared" si="10"/>
        <v>-110790.72548305709</v>
      </c>
      <c r="O171" s="1">
        <f t="shared" si="11"/>
        <v>-4.4666575756896236</v>
      </c>
      <c r="P171" s="1">
        <f t="shared" si="12"/>
        <v>-1.091711927354873</v>
      </c>
    </row>
    <row r="172" spans="3:16" x14ac:dyDescent="0.3">
      <c r="C172" s="1">
        <v>165</v>
      </c>
      <c r="E172" s="1">
        <v>8009906.6663823985</v>
      </c>
      <c r="F172" s="1">
        <v>477.14032663546482</v>
      </c>
      <c r="G172" s="1">
        <v>4.7982764093407804</v>
      </c>
      <c r="H172" s="1">
        <v>7926480.793341659</v>
      </c>
      <c r="I172" s="1">
        <v>474.93806630688226</v>
      </c>
      <c r="J172" s="1">
        <v>3.7104197356783848</v>
      </c>
      <c r="N172" s="1">
        <f t="shared" si="10"/>
        <v>-83425.873040739447</v>
      </c>
      <c r="O172" s="1">
        <f t="shared" si="11"/>
        <v>-2.2022603285825539</v>
      </c>
      <c r="P172" s="1">
        <f t="shared" si="12"/>
        <v>-1.0878566736623956</v>
      </c>
    </row>
    <row r="173" spans="3:16" x14ac:dyDescent="0.3">
      <c r="C173" s="1">
        <v>166</v>
      </c>
      <c r="E173" s="1">
        <v>8975820.2720448077</v>
      </c>
      <c r="F173" s="1">
        <v>480.40486165635315</v>
      </c>
      <c r="G173" s="1">
        <v>4.2591356843358881</v>
      </c>
      <c r="H173" s="1">
        <v>8743514.4436661061</v>
      </c>
      <c r="I173" s="1">
        <v>471.27264689623843</v>
      </c>
      <c r="J173" s="1">
        <v>2.7469302085027354</v>
      </c>
      <c r="N173" s="1">
        <f t="shared" si="10"/>
        <v>-232305.82837870158</v>
      </c>
      <c r="O173" s="1">
        <f t="shared" si="11"/>
        <v>-9.1322147601147208</v>
      </c>
      <c r="P173" s="1">
        <f t="shared" si="12"/>
        <v>-1.5122054758331527</v>
      </c>
    </row>
    <row r="174" spans="3:16" x14ac:dyDescent="0.3">
      <c r="C174" s="1">
        <v>167</v>
      </c>
      <c r="E174" s="1">
        <v>6583418.4341588225</v>
      </c>
      <c r="F174" s="1">
        <v>487.89564983627878</v>
      </c>
      <c r="G174" s="1">
        <v>4.7256592312362677</v>
      </c>
      <c r="H174" s="1">
        <v>6490821.1860290235</v>
      </c>
      <c r="I174" s="1">
        <v>484.86136677637921</v>
      </c>
      <c r="J174" s="1">
        <v>3.3404935730399057</v>
      </c>
      <c r="N174" s="1">
        <f t="shared" si="10"/>
        <v>-92597.248129799031</v>
      </c>
      <c r="O174" s="1">
        <f t="shared" si="11"/>
        <v>-3.0342830598995647</v>
      </c>
      <c r="P174" s="1">
        <f t="shared" si="12"/>
        <v>-1.3851656581963621</v>
      </c>
    </row>
    <row r="175" spans="3:16" x14ac:dyDescent="0.3">
      <c r="C175" s="1">
        <v>168</v>
      </c>
      <c r="E175" s="1">
        <v>7458291.9284364413</v>
      </c>
      <c r="F175" s="1">
        <v>490.55060734417862</v>
      </c>
      <c r="G175" s="1">
        <v>5.750947161941796</v>
      </c>
      <c r="H175" s="1">
        <v>7285933.3723618006</v>
      </c>
      <c r="I175" s="1">
        <v>484.15615055371399</v>
      </c>
      <c r="J175" s="1">
        <v>4.3019765403757093</v>
      </c>
      <c r="N175" s="1">
        <f t="shared" si="10"/>
        <v>-172358.55607464071</v>
      </c>
      <c r="O175" s="1">
        <f t="shared" si="11"/>
        <v>-6.3944567904646306</v>
      </c>
      <c r="P175" s="1">
        <f t="shared" si="12"/>
        <v>-1.4489706215660867</v>
      </c>
    </row>
    <row r="176" spans="3:16" x14ac:dyDescent="0.3">
      <c r="C176" s="1">
        <v>169</v>
      </c>
      <c r="E176" s="1">
        <v>6673532.999053332</v>
      </c>
      <c r="F176" s="1">
        <v>485.12540696216212</v>
      </c>
      <c r="G176" s="1">
        <v>4.3338363532644211</v>
      </c>
      <c r="H176" s="1">
        <v>6550793.262052672</v>
      </c>
      <c r="I176" s="1">
        <v>478.74680778917246</v>
      </c>
      <c r="J176" s="1">
        <v>3.1705134785906415</v>
      </c>
      <c r="N176" s="1">
        <f t="shared" si="10"/>
        <v>-122739.73700066004</v>
      </c>
      <c r="O176" s="1">
        <f t="shared" si="11"/>
        <v>-6.3785991729896523</v>
      </c>
      <c r="P176" s="1">
        <f t="shared" si="12"/>
        <v>-1.1633228746737796</v>
      </c>
    </row>
    <row r="177" spans="3:16" x14ac:dyDescent="0.3">
      <c r="C177" s="1">
        <v>170</v>
      </c>
      <c r="E177" s="1">
        <v>9967419.5137415584</v>
      </c>
      <c r="F177" s="1">
        <v>465.80393208056313</v>
      </c>
      <c r="G177" s="1">
        <v>4.8761855243883252</v>
      </c>
      <c r="H177" s="1">
        <v>9682825.8439229671</v>
      </c>
      <c r="I177" s="1">
        <v>456.29626721324189</v>
      </c>
      <c r="J177" s="1">
        <v>3.2993078703293128</v>
      </c>
      <c r="N177" s="1">
        <f t="shared" si="10"/>
        <v>-284593.66981859133</v>
      </c>
      <c r="O177" s="1">
        <f t="shared" si="11"/>
        <v>-9.5076648673212389</v>
      </c>
      <c r="P177" s="1">
        <f t="shared" si="12"/>
        <v>-1.5768776540590124</v>
      </c>
    </row>
    <row r="178" spans="3:16" x14ac:dyDescent="0.3">
      <c r="C178" s="1">
        <v>171</v>
      </c>
      <c r="E178" s="1">
        <v>7566295.4541635988</v>
      </c>
      <c r="F178" s="1">
        <v>469.68660155378427</v>
      </c>
      <c r="G178" s="1">
        <v>6.1794255793051329</v>
      </c>
      <c r="H178" s="1">
        <v>7459416.6261052676</v>
      </c>
      <c r="I178" s="1">
        <v>465.0638416191793</v>
      </c>
      <c r="J178" s="1">
        <v>4.6183106493692945</v>
      </c>
      <c r="N178" s="1">
        <f t="shared" si="10"/>
        <v>-106878.82805833127</v>
      </c>
      <c r="O178" s="1">
        <f t="shared" si="11"/>
        <v>-4.6227599346049715</v>
      </c>
      <c r="P178" s="1">
        <f t="shared" si="12"/>
        <v>-1.5611149299358384</v>
      </c>
    </row>
    <row r="179" spans="3:16" x14ac:dyDescent="0.3">
      <c r="C179" s="1">
        <v>172</v>
      </c>
      <c r="E179" s="1">
        <v>7826196.2367877094</v>
      </c>
      <c r="F179" s="1">
        <v>442.46561747417587</v>
      </c>
      <c r="G179" s="1">
        <v>4.6474572999195241</v>
      </c>
      <c r="H179" s="1">
        <v>7718359.6657891562</v>
      </c>
      <c r="I179" s="1">
        <v>437.53239601845485</v>
      </c>
      <c r="J179" s="1">
        <v>3.6119866643851446</v>
      </c>
      <c r="N179" s="1">
        <f t="shared" si="10"/>
        <v>-107836.57099855319</v>
      </c>
      <c r="O179" s="1">
        <f t="shared" si="11"/>
        <v>-4.933221455721025</v>
      </c>
      <c r="P179" s="1">
        <f t="shared" si="12"/>
        <v>-1.0354706355343795</v>
      </c>
    </row>
    <row r="180" spans="3:16" x14ac:dyDescent="0.3">
      <c r="C180" s="1">
        <v>173</v>
      </c>
      <c r="E180" s="1">
        <v>7160209.7491354747</v>
      </c>
      <c r="F180" s="1">
        <v>492.51400200418425</v>
      </c>
      <c r="G180" s="1">
        <v>4.8176852866765465</v>
      </c>
      <c r="H180" s="1">
        <v>7085230.4029398691</v>
      </c>
      <c r="I180" s="1">
        <v>488.64135357829622</v>
      </c>
      <c r="J180" s="1">
        <v>3.7724967597918222</v>
      </c>
      <c r="N180" s="1">
        <f t="shared" si="10"/>
        <v>-74979.346195605583</v>
      </c>
      <c r="O180" s="1">
        <f t="shared" si="11"/>
        <v>-3.8726484258880305</v>
      </c>
      <c r="P180" s="1">
        <f t="shared" si="12"/>
        <v>-1.0451885268847243</v>
      </c>
    </row>
    <row r="181" spans="3:16" x14ac:dyDescent="0.3">
      <c r="C181" s="1">
        <v>174</v>
      </c>
      <c r="E181" s="1">
        <v>7075053.4246868063</v>
      </c>
      <c r="F181" s="1">
        <v>452.28454357000425</v>
      </c>
      <c r="G181" s="1">
        <v>4.4095874550801772</v>
      </c>
      <c r="H181" s="1">
        <v>6974232.3079267172</v>
      </c>
      <c r="I181" s="1">
        <v>447.60971890091253</v>
      </c>
      <c r="J181" s="1">
        <v>3.3529150011042108</v>
      </c>
      <c r="N181" s="1">
        <f t="shared" si="10"/>
        <v>-100821.11676008906</v>
      </c>
      <c r="O181" s="1">
        <f t="shared" si="11"/>
        <v>-4.6748246690917199</v>
      </c>
      <c r="P181" s="1">
        <f t="shared" si="12"/>
        <v>-1.0566724539759664</v>
      </c>
    </row>
    <row r="182" spans="3:16" x14ac:dyDescent="0.3">
      <c r="C182" s="1">
        <v>175</v>
      </c>
      <c r="E182" s="1">
        <v>7801500.1204873594</v>
      </c>
      <c r="F182" s="1">
        <v>460.62213042150557</v>
      </c>
      <c r="G182" s="1">
        <v>4.2846344202860358</v>
      </c>
      <c r="H182" s="1">
        <v>7722605.086460568</v>
      </c>
      <c r="I182" s="1">
        <v>457.55973950472986</v>
      </c>
      <c r="J182" s="1">
        <v>3.1780593342387</v>
      </c>
      <c r="N182" s="1">
        <f t="shared" si="10"/>
        <v>-78895.034026791342</v>
      </c>
      <c r="O182" s="1">
        <f t="shared" si="11"/>
        <v>-3.062390916775712</v>
      </c>
      <c r="P182" s="1">
        <f t="shared" si="12"/>
        <v>-1.1065750860473358</v>
      </c>
    </row>
    <row r="183" spans="3:16" x14ac:dyDescent="0.3">
      <c r="C183" s="1">
        <v>176</v>
      </c>
      <c r="E183" s="1">
        <v>6836977.2347766822</v>
      </c>
      <c r="F183" s="1">
        <v>474.61279544336259</v>
      </c>
      <c r="G183" s="1">
        <v>5.9374785342301264</v>
      </c>
      <c r="H183" s="1">
        <v>6712804.4634261988</v>
      </c>
      <c r="I183" s="1">
        <v>470.58934786552351</v>
      </c>
      <c r="J183" s="1">
        <v>4.13777554439603</v>
      </c>
      <c r="N183" s="1">
        <f t="shared" si="10"/>
        <v>-124172.77135048341</v>
      </c>
      <c r="O183" s="1">
        <f t="shared" si="11"/>
        <v>-4.0234475778390788</v>
      </c>
      <c r="P183" s="1">
        <f t="shared" si="12"/>
        <v>-1.7997029898340964</v>
      </c>
    </row>
    <row r="184" spans="3:16" x14ac:dyDescent="0.3">
      <c r="C184" s="1">
        <v>177</v>
      </c>
      <c r="E184" s="1">
        <v>7903961.2656000871</v>
      </c>
      <c r="F184" s="1">
        <v>448.06480571807361</v>
      </c>
      <c r="G184" s="1">
        <v>5.1353039972966803</v>
      </c>
      <c r="H184" s="1">
        <v>7651932.8952748924</v>
      </c>
      <c r="I184" s="1">
        <v>439.83709315089374</v>
      </c>
      <c r="J184" s="1">
        <v>3.1427452261176732</v>
      </c>
      <c r="N184" s="1">
        <f t="shared" si="10"/>
        <v>-252028.37032519467</v>
      </c>
      <c r="O184" s="1">
        <f t="shared" si="11"/>
        <v>-8.2277125671798785</v>
      </c>
      <c r="P184" s="1">
        <f t="shared" si="12"/>
        <v>-1.9925587711790071</v>
      </c>
    </row>
    <row r="185" spans="3:16" x14ac:dyDescent="0.3">
      <c r="C185" s="1">
        <v>178</v>
      </c>
      <c r="E185" s="1">
        <v>6278623.6619318193</v>
      </c>
      <c r="F185" s="1">
        <v>434.93455602336661</v>
      </c>
      <c r="G185" s="1">
        <v>4.1112462147424695</v>
      </c>
      <c r="H185" s="1">
        <v>6192522.4811565727</v>
      </c>
      <c r="I185" s="1">
        <v>430.82259714663752</v>
      </c>
      <c r="J185" s="1">
        <v>3.0234189869233834</v>
      </c>
      <c r="N185" s="1">
        <f t="shared" si="10"/>
        <v>-86101.180775246583</v>
      </c>
      <c r="O185" s="1">
        <f t="shared" si="11"/>
        <v>-4.1119588767290907</v>
      </c>
      <c r="P185" s="1">
        <f t="shared" si="12"/>
        <v>-1.0878272278190861</v>
      </c>
    </row>
    <row r="186" spans="3:16" x14ac:dyDescent="0.3">
      <c r="C186" s="1">
        <v>179</v>
      </c>
      <c r="E186" s="1">
        <v>6561735.6206844896</v>
      </c>
      <c r="F186" s="1">
        <v>451.85026779125133</v>
      </c>
      <c r="G186" s="1">
        <v>5.7888367449298439</v>
      </c>
      <c r="H186" s="1">
        <v>6452850.9194156211</v>
      </c>
      <c r="I186" s="1">
        <v>445.77657279712133</v>
      </c>
      <c r="J186" s="1">
        <v>4.5409056451929777</v>
      </c>
      <c r="N186" s="1">
        <f t="shared" si="10"/>
        <v>-108884.70126886852</v>
      </c>
      <c r="O186" s="1">
        <f t="shared" si="11"/>
        <v>-6.073694994129994</v>
      </c>
      <c r="P186" s="1">
        <f t="shared" si="12"/>
        <v>-1.2479310997368662</v>
      </c>
    </row>
    <row r="187" spans="3:16" x14ac:dyDescent="0.3">
      <c r="C187" s="1">
        <v>180</v>
      </c>
      <c r="E187" s="1">
        <v>7455153.7440985534</v>
      </c>
      <c r="F187" s="1">
        <v>480.72324956913775</v>
      </c>
      <c r="G187" s="1">
        <v>3.6882259218491829</v>
      </c>
      <c r="H187" s="1">
        <v>7371099.4243616797</v>
      </c>
      <c r="I187" s="1">
        <v>477.46219561501795</v>
      </c>
      <c r="J187" s="1">
        <v>2.5328171388505218</v>
      </c>
      <c r="N187" s="1">
        <f t="shared" si="10"/>
        <v>-84054.319736873731</v>
      </c>
      <c r="O187" s="1">
        <f t="shared" si="11"/>
        <v>-3.2610539541198023</v>
      </c>
      <c r="P187" s="1">
        <f t="shared" si="12"/>
        <v>-1.155408782998661</v>
      </c>
    </row>
    <row r="188" spans="3:16" x14ac:dyDescent="0.3">
      <c r="C188" s="1">
        <v>181</v>
      </c>
      <c r="E188" s="1">
        <v>8125976.413624214</v>
      </c>
      <c r="F188" s="1">
        <v>473.13597728682703</v>
      </c>
      <c r="G188" s="1">
        <v>4.5699081769352574</v>
      </c>
      <c r="H188" s="1">
        <v>8081972.5969157452</v>
      </c>
      <c r="I188" s="1">
        <v>471.47276035990188</v>
      </c>
      <c r="J188" s="1">
        <v>3.7930441431525432</v>
      </c>
      <c r="N188" s="1">
        <f t="shared" si="10"/>
        <v>-44003.816708468832</v>
      </c>
      <c r="O188" s="1">
        <f t="shared" si="11"/>
        <v>-1.6632169269251449</v>
      </c>
      <c r="P188" s="1">
        <f t="shared" si="12"/>
        <v>-0.77686403378271418</v>
      </c>
    </row>
    <row r="189" spans="3:16" x14ac:dyDescent="0.3">
      <c r="C189" s="1">
        <v>182</v>
      </c>
      <c r="E189" s="1">
        <v>6167466.2685893765</v>
      </c>
      <c r="F189" s="1">
        <v>488.09514140776622</v>
      </c>
      <c r="G189" s="1">
        <v>5.5102300503549735</v>
      </c>
      <c r="H189" s="1">
        <v>6084345.3707012441</v>
      </c>
      <c r="I189" s="1">
        <v>483.67030315698906</v>
      </c>
      <c r="J189" s="1">
        <v>4.4814985100858102</v>
      </c>
      <c r="N189" s="1">
        <f t="shared" si="10"/>
        <v>-83120.897888132371</v>
      </c>
      <c r="O189" s="1">
        <f t="shared" si="11"/>
        <v>-4.4248382507771566</v>
      </c>
      <c r="P189" s="1">
        <f t="shared" si="12"/>
        <v>-1.0287315402691632</v>
      </c>
    </row>
    <row r="190" spans="3:16" x14ac:dyDescent="0.3">
      <c r="C190" s="1">
        <v>183</v>
      </c>
      <c r="E190" s="1">
        <v>7362650.7913812716</v>
      </c>
      <c r="F190" s="1">
        <v>466.11467135134211</v>
      </c>
      <c r="G190" s="1">
        <v>5.5230924752114641</v>
      </c>
      <c r="H190" s="1">
        <v>7192494.6920330385</v>
      </c>
      <c r="I190" s="1">
        <v>461.28336038062258</v>
      </c>
      <c r="J190" s="1">
        <v>3.4437454738792246</v>
      </c>
      <c r="N190" s="1">
        <f t="shared" si="10"/>
        <v>-170156.09934823308</v>
      </c>
      <c r="O190" s="1">
        <f t="shared" si="11"/>
        <v>-4.8313109707195281</v>
      </c>
      <c r="P190" s="1">
        <f t="shared" si="12"/>
        <v>-2.0793470013322395</v>
      </c>
    </row>
    <row r="191" spans="3:16" x14ac:dyDescent="0.3">
      <c r="C191" s="1">
        <v>184</v>
      </c>
      <c r="E191" s="1">
        <v>7799193.1759371217</v>
      </c>
      <c r="F191" s="1">
        <v>485.63617550608075</v>
      </c>
      <c r="G191" s="1">
        <v>6.2089134962985248</v>
      </c>
      <c r="H191" s="1">
        <v>7708587.8486427031</v>
      </c>
      <c r="I191" s="1">
        <v>481.07730902051901</v>
      </c>
      <c r="J191" s="1">
        <v>5.1750817572045396</v>
      </c>
      <c r="N191" s="1">
        <f t="shared" si="10"/>
        <v>-90605.327294418588</v>
      </c>
      <c r="O191" s="1">
        <f t="shared" si="11"/>
        <v>-4.5588664855617367</v>
      </c>
      <c r="P191" s="1">
        <f t="shared" si="12"/>
        <v>-1.0338317390939853</v>
      </c>
    </row>
    <row r="192" spans="3:16" x14ac:dyDescent="0.3">
      <c r="C192" s="1">
        <v>185</v>
      </c>
      <c r="E192" s="1">
        <v>8309762.8420192646</v>
      </c>
      <c r="F192" s="1">
        <v>491.93357513620742</v>
      </c>
      <c r="G192" s="1">
        <v>5.3818910271498153</v>
      </c>
      <c r="H192" s="1">
        <v>8111040.488320508</v>
      </c>
      <c r="I192" s="1">
        <v>481.93399029723736</v>
      </c>
      <c r="J192" s="1">
        <v>3.860861666340532</v>
      </c>
      <c r="N192" s="1">
        <f t="shared" si="10"/>
        <v>-198722.35369875655</v>
      </c>
      <c r="O192" s="1">
        <f t="shared" si="11"/>
        <v>-9.9995848389700654</v>
      </c>
      <c r="P192" s="1">
        <f t="shared" si="12"/>
        <v>-1.5210293608092833</v>
      </c>
    </row>
    <row r="193" spans="3:16" x14ac:dyDescent="0.3">
      <c r="C193" s="1">
        <v>186</v>
      </c>
      <c r="E193" s="1">
        <v>6975855.1995463409</v>
      </c>
      <c r="F193" s="1">
        <v>464.34186565620655</v>
      </c>
      <c r="G193" s="1">
        <v>4.2482282867856354</v>
      </c>
      <c r="H193" s="1">
        <v>6830643.610754882</v>
      </c>
      <c r="I193" s="1">
        <v>457.86796664217525</v>
      </c>
      <c r="J193" s="1">
        <v>3.0252516973609991</v>
      </c>
      <c r="N193" s="1">
        <f t="shared" si="10"/>
        <v>-145211.58879145887</v>
      </c>
      <c r="O193" s="1">
        <f t="shared" si="11"/>
        <v>-6.4738990140313035</v>
      </c>
      <c r="P193" s="1">
        <f t="shared" si="12"/>
        <v>-1.2229765894246363</v>
      </c>
    </row>
    <row r="194" spans="3:16" x14ac:dyDescent="0.3">
      <c r="C194" s="1">
        <v>187</v>
      </c>
      <c r="E194" s="1">
        <v>8974533.6772083603</v>
      </c>
      <c r="F194" s="1">
        <v>449.56083136044083</v>
      </c>
      <c r="G194" s="1">
        <v>5.2852230646249643</v>
      </c>
      <c r="H194" s="1">
        <v>8859361.0720825549</v>
      </c>
      <c r="I194" s="1">
        <v>444.36277138243338</v>
      </c>
      <c r="J194" s="1">
        <v>3.8123839726494895</v>
      </c>
      <c r="N194" s="1">
        <f t="shared" si="10"/>
        <v>-115172.60512580536</v>
      </c>
      <c r="O194" s="1">
        <f t="shared" si="11"/>
        <v>-5.1980599780074499</v>
      </c>
      <c r="P194" s="1">
        <f t="shared" si="12"/>
        <v>-1.4728390919754748</v>
      </c>
    </row>
    <row r="195" spans="3:16" x14ac:dyDescent="0.3">
      <c r="C195" s="1">
        <v>188</v>
      </c>
      <c r="E195" s="1">
        <v>8002237.7137797708</v>
      </c>
      <c r="F195" s="1">
        <v>487.27747136343112</v>
      </c>
      <c r="G195" s="1">
        <v>3.8317230811003644</v>
      </c>
      <c r="H195" s="1">
        <v>7875557.6405949211</v>
      </c>
      <c r="I195" s="1">
        <v>480.71136441851297</v>
      </c>
      <c r="J195" s="1">
        <v>2.3093001761002245</v>
      </c>
      <c r="N195" s="1">
        <f t="shared" si="10"/>
        <v>-126680.07318484969</v>
      </c>
      <c r="O195" s="1">
        <f t="shared" si="11"/>
        <v>-6.5661069449181468</v>
      </c>
      <c r="P195" s="1">
        <f t="shared" si="12"/>
        <v>-1.5224229050001399</v>
      </c>
    </row>
    <row r="196" spans="3:16" x14ac:dyDescent="0.3">
      <c r="C196" s="1">
        <v>189</v>
      </c>
      <c r="E196" s="1">
        <v>6955060.4811426373</v>
      </c>
      <c r="F196" s="1">
        <v>438.24604969542753</v>
      </c>
      <c r="G196" s="1">
        <v>4.2844147574287019</v>
      </c>
      <c r="H196" s="1">
        <v>6892009.7348818341</v>
      </c>
      <c r="I196" s="1">
        <v>436.0810151525028</v>
      </c>
      <c r="J196" s="1">
        <v>3.1285676457390204</v>
      </c>
      <c r="N196" s="1">
        <f t="shared" si="10"/>
        <v>-63050.746260803193</v>
      </c>
      <c r="O196" s="1">
        <f t="shared" si="11"/>
        <v>-2.1650345429247295</v>
      </c>
      <c r="P196" s="1">
        <f t="shared" si="12"/>
        <v>-1.1558471116896816</v>
      </c>
    </row>
    <row r="197" spans="3:16" x14ac:dyDescent="0.3">
      <c r="C197" s="1">
        <v>190</v>
      </c>
      <c r="E197" s="1">
        <v>6439340.6133193504</v>
      </c>
      <c r="F197" s="1">
        <v>469.12249381036969</v>
      </c>
      <c r="G197" s="1">
        <v>5.9304303437135202</v>
      </c>
      <c r="H197" s="1">
        <v>6357952.3328028126</v>
      </c>
      <c r="I197" s="1">
        <v>465.81377205773282</v>
      </c>
      <c r="J197" s="1">
        <v>4.4081152030525175</v>
      </c>
      <c r="N197" s="1">
        <f t="shared" si="10"/>
        <v>-81388.280516537838</v>
      </c>
      <c r="O197" s="1">
        <f t="shared" si="11"/>
        <v>-3.3087217526368704</v>
      </c>
      <c r="P197" s="1">
        <f t="shared" si="12"/>
        <v>-1.5223151406610027</v>
      </c>
    </row>
    <row r="198" spans="3:16" x14ac:dyDescent="0.3">
      <c r="C198" s="1">
        <v>191</v>
      </c>
      <c r="E198" s="1">
        <v>6928146.9500995409</v>
      </c>
      <c r="F198" s="1">
        <v>483.00922505790487</v>
      </c>
      <c r="G198" s="1">
        <v>4.8985973288274263</v>
      </c>
      <c r="H198" s="1">
        <v>6788550.2813271079</v>
      </c>
      <c r="I198" s="1">
        <v>478.7567359239157</v>
      </c>
      <c r="J198" s="1">
        <v>3.193009344769278</v>
      </c>
      <c r="N198" s="1">
        <f t="shared" si="10"/>
        <v>-139596.66877243295</v>
      </c>
      <c r="O198" s="1">
        <f t="shared" si="11"/>
        <v>-4.2524891339891724</v>
      </c>
      <c r="P198" s="1">
        <f t="shared" si="12"/>
        <v>-1.7055879840581483</v>
      </c>
    </row>
    <row r="199" spans="3:16" x14ac:dyDescent="0.3">
      <c r="C199" s="1">
        <v>192</v>
      </c>
      <c r="E199" s="1">
        <v>6743379.4588094903</v>
      </c>
      <c r="F199" s="1">
        <v>442.36451954923791</v>
      </c>
      <c r="G199" s="1">
        <v>5.5900419979100793</v>
      </c>
      <c r="H199" s="1">
        <v>6630365.8807649137</v>
      </c>
      <c r="I199" s="1">
        <v>437.13187083876682</v>
      </c>
      <c r="J199" s="1">
        <v>3.9758239510171953</v>
      </c>
      <c r="N199" s="1">
        <f t="shared" ref="N199:N262" si="13">IF(LEN($C199)&gt;0,H199-E199,"")</f>
        <v>-113013.57804457657</v>
      </c>
      <c r="O199" s="1">
        <f t="shared" ref="O199:O262" si="14">IF(LEN($C199)&gt;0,I199-F199,"")</f>
        <v>-5.2326487104710964</v>
      </c>
      <c r="P199" s="1">
        <f t="shared" ref="P199:P262" si="15">IF(LEN($C199)&gt;0,J199-G199,"")</f>
        <v>-1.614218046892884</v>
      </c>
    </row>
    <row r="200" spans="3:16" x14ac:dyDescent="0.3">
      <c r="C200" s="1">
        <v>193</v>
      </c>
      <c r="E200" s="1">
        <v>8285654.5440728292</v>
      </c>
      <c r="F200" s="1">
        <v>479.92423524551413</v>
      </c>
      <c r="G200" s="1">
        <v>3.5556777073421317</v>
      </c>
      <c r="H200" s="1">
        <v>8204301.1468039406</v>
      </c>
      <c r="I200" s="1">
        <v>476.64256195091878</v>
      </c>
      <c r="J200" s="1">
        <v>2.6940673316478247</v>
      </c>
      <c r="N200" s="1">
        <f t="shared" si="13"/>
        <v>-81353.397268888541</v>
      </c>
      <c r="O200" s="1">
        <f t="shared" si="14"/>
        <v>-3.2816732945953504</v>
      </c>
      <c r="P200" s="1">
        <f t="shared" si="15"/>
        <v>-0.86161037569430698</v>
      </c>
    </row>
    <row r="201" spans="3:16" x14ac:dyDescent="0.3">
      <c r="C201" s="1">
        <v>194</v>
      </c>
      <c r="E201" s="1">
        <v>8565410.1113208793</v>
      </c>
      <c r="F201" s="1">
        <v>443.73646161510675</v>
      </c>
      <c r="G201" s="1">
        <v>5.3274452806866464</v>
      </c>
      <c r="H201" s="1">
        <v>8434053.1875016745</v>
      </c>
      <c r="I201" s="1">
        <v>439.22605130857323</v>
      </c>
      <c r="J201" s="1">
        <v>3.8961370331654028</v>
      </c>
      <c r="N201" s="1">
        <f t="shared" si="13"/>
        <v>-131356.92381920479</v>
      </c>
      <c r="O201" s="1">
        <f t="shared" si="14"/>
        <v>-4.5104103065335153</v>
      </c>
      <c r="P201" s="1">
        <f t="shared" si="15"/>
        <v>-1.4313082475212435</v>
      </c>
    </row>
    <row r="202" spans="3:16" x14ac:dyDescent="0.3">
      <c r="C202" s="1">
        <v>195</v>
      </c>
      <c r="E202" s="1">
        <v>5847208.4426450599</v>
      </c>
      <c r="F202" s="1">
        <v>483.17228387202766</v>
      </c>
      <c r="G202" s="1">
        <v>5.0862322147428918</v>
      </c>
      <c r="H202" s="1">
        <v>5744499.2695337078</v>
      </c>
      <c r="I202" s="1">
        <v>479.3563018580569</v>
      </c>
      <c r="J202" s="1">
        <v>3.886259041059783</v>
      </c>
      <c r="N202" s="1">
        <f t="shared" si="13"/>
        <v>-102709.17311135214</v>
      </c>
      <c r="O202" s="1">
        <f t="shared" si="14"/>
        <v>-3.8159820139707676</v>
      </c>
      <c r="P202" s="1">
        <f t="shared" si="15"/>
        <v>-1.1999731736831087</v>
      </c>
    </row>
    <row r="203" spans="3:16" x14ac:dyDescent="0.3">
      <c r="C203" s="1">
        <v>196</v>
      </c>
      <c r="E203" s="1">
        <v>8016130.7817416079</v>
      </c>
      <c r="F203" s="1">
        <v>474.5580794747865</v>
      </c>
      <c r="G203" s="1">
        <v>5.3674249736145949</v>
      </c>
      <c r="H203" s="1">
        <v>7951034.3286865605</v>
      </c>
      <c r="I203" s="1">
        <v>472.41681717079359</v>
      </c>
      <c r="J203" s="1">
        <v>4.4411167161392733</v>
      </c>
      <c r="N203" s="1">
        <f t="shared" si="13"/>
        <v>-65096.45305504743</v>
      </c>
      <c r="O203" s="1">
        <f t="shared" si="14"/>
        <v>-2.1412623039929031</v>
      </c>
      <c r="P203" s="1">
        <f t="shared" si="15"/>
        <v>-0.92630825747532164</v>
      </c>
    </row>
    <row r="204" spans="3:16" x14ac:dyDescent="0.3">
      <c r="C204" s="1">
        <v>197</v>
      </c>
      <c r="E204" s="1">
        <v>5861076.7293302519</v>
      </c>
      <c r="F204" s="1">
        <v>466.95310092159536</v>
      </c>
      <c r="G204" s="1">
        <v>5.8136531076092677</v>
      </c>
      <c r="H204" s="1">
        <v>5760053.3713167822</v>
      </c>
      <c r="I204" s="1">
        <v>463.31749303855577</v>
      </c>
      <c r="J204" s="1">
        <v>4.3217164271965949</v>
      </c>
      <c r="N204" s="1">
        <f t="shared" si="13"/>
        <v>-101023.35801346973</v>
      </c>
      <c r="O204" s="1">
        <f t="shared" si="14"/>
        <v>-3.6356078830395973</v>
      </c>
      <c r="P204" s="1">
        <f t="shared" si="15"/>
        <v>-1.4919366804126728</v>
      </c>
    </row>
    <row r="205" spans="3:16" x14ac:dyDescent="0.3">
      <c r="C205" s="1">
        <v>198</v>
      </c>
      <c r="E205" s="1">
        <v>7815993.7579564517</v>
      </c>
      <c r="F205" s="1">
        <v>464.73810250637666</v>
      </c>
      <c r="G205" s="1">
        <v>5.7662605169882486</v>
      </c>
      <c r="H205" s="1">
        <v>7617088.0629979204</v>
      </c>
      <c r="I205" s="1">
        <v>459.53732760242661</v>
      </c>
      <c r="J205" s="1">
        <v>4.0801578472075501</v>
      </c>
      <c r="N205" s="1">
        <f t="shared" si="13"/>
        <v>-198905.6949585313</v>
      </c>
      <c r="O205" s="1">
        <f t="shared" si="14"/>
        <v>-5.2007749039500482</v>
      </c>
      <c r="P205" s="1">
        <f t="shared" si="15"/>
        <v>-1.6861026697806984</v>
      </c>
    </row>
    <row r="206" spans="3:16" x14ac:dyDescent="0.3">
      <c r="C206" s="1">
        <v>199</v>
      </c>
      <c r="E206" s="1">
        <v>7369027.1453966582</v>
      </c>
      <c r="F206" s="1">
        <v>493.12540343096367</v>
      </c>
      <c r="G206" s="1">
        <v>4.8164224225625913</v>
      </c>
      <c r="H206" s="1">
        <v>7261054.9591316385</v>
      </c>
      <c r="I206" s="1">
        <v>489.16154485459424</v>
      </c>
      <c r="J206" s="1">
        <v>3.9008839389760577</v>
      </c>
      <c r="N206" s="1">
        <f t="shared" si="13"/>
        <v>-107972.1862650197</v>
      </c>
      <c r="O206" s="1">
        <f t="shared" si="14"/>
        <v>-3.9638585763694323</v>
      </c>
      <c r="P206" s="1">
        <f t="shared" si="15"/>
        <v>-0.91553848358653367</v>
      </c>
    </row>
    <row r="207" spans="3:16" x14ac:dyDescent="0.3">
      <c r="C207" s="1">
        <v>200</v>
      </c>
      <c r="E207" s="1">
        <v>6955394.277405832</v>
      </c>
      <c r="F207" s="1">
        <v>456.84697351328197</v>
      </c>
      <c r="G207" s="1">
        <v>5.2264974642422226</v>
      </c>
      <c r="H207" s="1">
        <v>6740622.3765042312</v>
      </c>
      <c r="I207" s="1">
        <v>447.60480878613765</v>
      </c>
      <c r="J207" s="1">
        <v>3.5333521725440917</v>
      </c>
      <c r="N207" s="1">
        <f t="shared" si="13"/>
        <v>-214771.90090160072</v>
      </c>
      <c r="O207" s="1">
        <f t="shared" si="14"/>
        <v>-9.2421647271443135</v>
      </c>
      <c r="P207" s="1">
        <f t="shared" si="15"/>
        <v>-1.6931452916981309</v>
      </c>
    </row>
    <row r="208" spans="3:16" x14ac:dyDescent="0.3">
      <c r="C208" s="1">
        <v>201</v>
      </c>
      <c r="E208" s="1">
        <v>7940877.9851411497</v>
      </c>
      <c r="F208" s="1">
        <v>448.11816299902284</v>
      </c>
      <c r="G208" s="1">
        <v>5.3227460362750509</v>
      </c>
      <c r="H208" s="1">
        <v>7762097.3665340608</v>
      </c>
      <c r="I208" s="1">
        <v>441.54663098954495</v>
      </c>
      <c r="J208" s="1">
        <v>3.4244503676377507</v>
      </c>
      <c r="N208" s="1">
        <f t="shared" si="13"/>
        <v>-178780.61860708892</v>
      </c>
      <c r="O208" s="1">
        <f t="shared" si="14"/>
        <v>-6.5715320094778917</v>
      </c>
      <c r="P208" s="1">
        <f t="shared" si="15"/>
        <v>-1.8982956686373003</v>
      </c>
    </row>
    <row r="209" spans="3:16" x14ac:dyDescent="0.3">
      <c r="C209" s="1">
        <v>202</v>
      </c>
      <c r="E209" s="1">
        <v>7766441.8240214791</v>
      </c>
      <c r="F209" s="1">
        <v>479.13607148803248</v>
      </c>
      <c r="G209" s="1">
        <v>4.8264491047387086</v>
      </c>
      <c r="H209" s="1">
        <v>7623879.9766478548</v>
      </c>
      <c r="I209" s="1">
        <v>473.85786655581973</v>
      </c>
      <c r="J209" s="1">
        <v>3.6068222581676057</v>
      </c>
      <c r="N209" s="1">
        <f t="shared" si="13"/>
        <v>-142561.84737362433</v>
      </c>
      <c r="O209" s="1">
        <f t="shared" si="14"/>
        <v>-5.2782049322127591</v>
      </c>
      <c r="P209" s="1">
        <f t="shared" si="15"/>
        <v>-1.2196268465711029</v>
      </c>
    </row>
    <row r="210" spans="3:16" x14ac:dyDescent="0.3">
      <c r="C210" s="1">
        <v>203</v>
      </c>
      <c r="E210" s="1">
        <v>7119767.6306744087</v>
      </c>
      <c r="F210" s="1">
        <v>495.21357213138953</v>
      </c>
      <c r="G210" s="1">
        <v>6.4974064294288993</v>
      </c>
      <c r="H210" s="1">
        <v>6968762.2590133129</v>
      </c>
      <c r="I210" s="1">
        <v>490.34596657634165</v>
      </c>
      <c r="J210" s="1">
        <v>5.1094462826439768</v>
      </c>
      <c r="N210" s="1">
        <f t="shared" si="13"/>
        <v>-151005.37166109588</v>
      </c>
      <c r="O210" s="1">
        <f t="shared" si="14"/>
        <v>-4.8676055550478736</v>
      </c>
      <c r="P210" s="1">
        <f t="shared" si="15"/>
        <v>-1.3879601467849225</v>
      </c>
    </row>
    <row r="211" spans="3:16" x14ac:dyDescent="0.3">
      <c r="C211" s="1">
        <v>204</v>
      </c>
      <c r="E211" s="1">
        <v>7287006.6161252214</v>
      </c>
      <c r="F211" s="1">
        <v>483.81896103506767</v>
      </c>
      <c r="G211" s="1">
        <v>7.3519853362959138</v>
      </c>
      <c r="H211" s="1">
        <v>7153284.7795162611</v>
      </c>
      <c r="I211" s="1">
        <v>481.77329133909427</v>
      </c>
      <c r="J211" s="1">
        <v>5.5482688015973674</v>
      </c>
      <c r="N211" s="1">
        <f t="shared" si="13"/>
        <v>-133721.83660896029</v>
      </c>
      <c r="O211" s="1">
        <f t="shared" si="14"/>
        <v>-2.0456696959734018</v>
      </c>
      <c r="P211" s="1">
        <f t="shared" si="15"/>
        <v>-1.8037165346985464</v>
      </c>
    </row>
    <row r="212" spans="3:16" x14ac:dyDescent="0.3">
      <c r="C212" s="1">
        <v>205</v>
      </c>
      <c r="E212" s="1">
        <v>8157822.3410865152</v>
      </c>
      <c r="F212" s="1">
        <v>481.27840671766302</v>
      </c>
      <c r="G212" s="1">
        <v>3.7084037907608929</v>
      </c>
      <c r="H212" s="1">
        <v>8071235.8277200153</v>
      </c>
      <c r="I212" s="1">
        <v>477.39138781028174</v>
      </c>
      <c r="J212" s="1">
        <v>2.6731627910918188</v>
      </c>
      <c r="N212" s="1">
        <f t="shared" si="13"/>
        <v>-86586.513366499916</v>
      </c>
      <c r="O212" s="1">
        <f t="shared" si="14"/>
        <v>-3.8870189073812753</v>
      </c>
      <c r="P212" s="1">
        <f t="shared" si="15"/>
        <v>-1.0352409996690741</v>
      </c>
    </row>
    <row r="213" spans="3:16" x14ac:dyDescent="0.3">
      <c r="C213" s="1">
        <v>206</v>
      </c>
      <c r="E213" s="1">
        <v>6569235.9129857728</v>
      </c>
      <c r="F213" s="1">
        <v>504.84521626032432</v>
      </c>
      <c r="G213" s="1">
        <v>4.7948004896795098</v>
      </c>
      <c r="H213" s="1">
        <v>6477145.6161279688</v>
      </c>
      <c r="I213" s="1">
        <v>500.71950294483281</v>
      </c>
      <c r="J213" s="1">
        <v>3.9512474276087719</v>
      </c>
      <c r="N213" s="1">
        <f t="shared" si="13"/>
        <v>-92090.29685780406</v>
      </c>
      <c r="O213" s="1">
        <f t="shared" si="14"/>
        <v>-4.1257133154915095</v>
      </c>
      <c r="P213" s="1">
        <f t="shared" si="15"/>
        <v>-0.84355306207073788</v>
      </c>
    </row>
    <row r="214" spans="3:16" x14ac:dyDescent="0.3">
      <c r="C214" s="1">
        <v>207</v>
      </c>
      <c r="E214" s="1">
        <v>5311703.9123601271</v>
      </c>
      <c r="F214" s="1">
        <v>457.11525792890535</v>
      </c>
      <c r="G214" s="1">
        <v>5.8057129795331583</v>
      </c>
      <c r="H214" s="1">
        <v>5215878.4312270936</v>
      </c>
      <c r="I214" s="1">
        <v>453.92738858371604</v>
      </c>
      <c r="J214" s="1">
        <v>4.3979362407570655</v>
      </c>
      <c r="N214" s="1">
        <f t="shared" si="13"/>
        <v>-95825.481133033521</v>
      </c>
      <c r="O214" s="1">
        <f t="shared" si="14"/>
        <v>-3.1878693451893128</v>
      </c>
      <c r="P214" s="1">
        <f t="shared" si="15"/>
        <v>-1.4077767387760929</v>
      </c>
    </row>
    <row r="215" spans="3:16" x14ac:dyDescent="0.3">
      <c r="C215" s="1">
        <v>208</v>
      </c>
      <c r="E215" s="1">
        <v>7890538.8671246646</v>
      </c>
      <c r="F215" s="1">
        <v>456.87392960248496</v>
      </c>
      <c r="G215" s="1">
        <v>5.8756729456056913</v>
      </c>
      <c r="H215" s="1">
        <v>7662367.3392744139</v>
      </c>
      <c r="I215" s="1">
        <v>447.74642071614375</v>
      </c>
      <c r="J215" s="1">
        <v>3.906825324041475</v>
      </c>
      <c r="N215" s="1">
        <f t="shared" si="13"/>
        <v>-228171.52785025071</v>
      </c>
      <c r="O215" s="1">
        <f t="shared" si="14"/>
        <v>-9.1275088863412179</v>
      </c>
      <c r="P215" s="1">
        <f t="shared" si="15"/>
        <v>-1.9688476215642163</v>
      </c>
    </row>
    <row r="216" spans="3:16" x14ac:dyDescent="0.3">
      <c r="C216" s="1">
        <v>209</v>
      </c>
      <c r="E216" s="1">
        <v>7520187.9698706511</v>
      </c>
      <c r="F216" s="1">
        <v>484.14946200482927</v>
      </c>
      <c r="G216" s="1">
        <v>5.3522174543565297</v>
      </c>
      <c r="H216" s="1">
        <v>7463037.0244945493</v>
      </c>
      <c r="I216" s="1">
        <v>482.47900175933358</v>
      </c>
      <c r="J216" s="1">
        <v>4.3797318091987529</v>
      </c>
      <c r="N216" s="1">
        <f t="shared" si="13"/>
        <v>-57150.945376101881</v>
      </c>
      <c r="O216" s="1">
        <f t="shared" si="14"/>
        <v>-1.6704602454956898</v>
      </c>
      <c r="P216" s="1">
        <f t="shared" si="15"/>
        <v>-0.9724856451577768</v>
      </c>
    </row>
    <row r="217" spans="3:16" x14ac:dyDescent="0.3">
      <c r="C217" s="1">
        <v>210</v>
      </c>
      <c r="E217" s="1">
        <v>7557994.2239588248</v>
      </c>
      <c r="F217" s="1">
        <v>465.09746519759574</v>
      </c>
      <c r="G217" s="1">
        <v>4.6746826194210396</v>
      </c>
      <c r="H217" s="1">
        <v>7408089.4627475385</v>
      </c>
      <c r="I217" s="1">
        <v>457.9646369657433</v>
      </c>
      <c r="J217" s="1">
        <v>3.3447303659207996</v>
      </c>
      <c r="N217" s="1">
        <f t="shared" si="13"/>
        <v>-149904.7612112863</v>
      </c>
      <c r="O217" s="1">
        <f t="shared" si="14"/>
        <v>-7.132828231852443</v>
      </c>
      <c r="P217" s="1">
        <f t="shared" si="15"/>
        <v>-1.3299522535002399</v>
      </c>
    </row>
    <row r="218" spans="3:16" x14ac:dyDescent="0.3">
      <c r="C218" s="1">
        <v>211</v>
      </c>
      <c r="E218" s="1">
        <v>5877769.0774433026</v>
      </c>
      <c r="F218" s="1">
        <v>457.48790049666013</v>
      </c>
      <c r="G218" s="1">
        <v>4.9463532538200052</v>
      </c>
      <c r="H218" s="1">
        <v>5833715.3075859966</v>
      </c>
      <c r="I218" s="1">
        <v>456.00075799713966</v>
      </c>
      <c r="J218" s="1">
        <v>4.1521004131791983</v>
      </c>
      <c r="N218" s="1">
        <f t="shared" si="13"/>
        <v>-44053.769857306033</v>
      </c>
      <c r="O218" s="1">
        <f t="shared" si="14"/>
        <v>-1.4871424995204734</v>
      </c>
      <c r="P218" s="1">
        <f t="shared" si="15"/>
        <v>-0.79425284064080692</v>
      </c>
    </row>
    <row r="219" spans="3:16" x14ac:dyDescent="0.3">
      <c r="C219" s="1">
        <v>212</v>
      </c>
      <c r="E219" s="1">
        <v>7848437.9594786633</v>
      </c>
      <c r="F219" s="1">
        <v>493.44600483316725</v>
      </c>
      <c r="G219" s="1">
        <v>5.454608220118442</v>
      </c>
      <c r="H219" s="1">
        <v>7692701.0157213826</v>
      </c>
      <c r="I219" s="1">
        <v>486.69341129107318</v>
      </c>
      <c r="J219" s="1">
        <v>4.3025390793231084</v>
      </c>
      <c r="N219" s="1">
        <f t="shared" si="13"/>
        <v>-155736.94375728071</v>
      </c>
      <c r="O219" s="1">
        <f t="shared" si="14"/>
        <v>-6.7525935420940755</v>
      </c>
      <c r="P219" s="1">
        <f t="shared" si="15"/>
        <v>-1.1520691407953336</v>
      </c>
    </row>
    <row r="220" spans="3:16" x14ac:dyDescent="0.3">
      <c r="C220" s="1">
        <v>213</v>
      </c>
      <c r="E220" s="1">
        <v>8263068.7379376823</v>
      </c>
      <c r="F220" s="1">
        <v>453.66803985757167</v>
      </c>
      <c r="G220" s="1">
        <v>4.604511528814621</v>
      </c>
      <c r="H220" s="1">
        <v>8137750.6974680042</v>
      </c>
      <c r="I220" s="1">
        <v>449.55105845732373</v>
      </c>
      <c r="J220" s="1">
        <v>3.2115466363372049</v>
      </c>
      <c r="N220" s="1">
        <f t="shared" si="13"/>
        <v>-125318.04046967812</v>
      </c>
      <c r="O220" s="1">
        <f t="shared" si="14"/>
        <v>-4.116981400247937</v>
      </c>
      <c r="P220" s="1">
        <f t="shared" si="15"/>
        <v>-1.3929648924774161</v>
      </c>
    </row>
    <row r="221" spans="3:16" x14ac:dyDescent="0.3">
      <c r="C221" s="1">
        <v>214</v>
      </c>
      <c r="E221" s="1">
        <v>6683094.3228240702</v>
      </c>
      <c r="F221" s="1">
        <v>489.31034273029246</v>
      </c>
      <c r="G221" s="1">
        <v>4.310272164692269</v>
      </c>
      <c r="H221" s="1">
        <v>6503859.1365936948</v>
      </c>
      <c r="I221" s="1">
        <v>480.64554109433686</v>
      </c>
      <c r="J221" s="1">
        <v>2.810156607631618</v>
      </c>
      <c r="N221" s="1">
        <f t="shared" si="13"/>
        <v>-179235.18623037543</v>
      </c>
      <c r="O221" s="1">
        <f t="shared" si="14"/>
        <v>-8.6648016359555982</v>
      </c>
      <c r="P221" s="1">
        <f t="shared" si="15"/>
        <v>-1.500115557060651</v>
      </c>
    </row>
    <row r="222" spans="3:16" x14ac:dyDescent="0.3">
      <c r="C222" s="1">
        <v>215</v>
      </c>
      <c r="E222" s="1">
        <v>7527970.3937262828</v>
      </c>
      <c r="F222" s="1">
        <v>477.40474333097541</v>
      </c>
      <c r="G222" s="1">
        <v>4.269707625469799</v>
      </c>
      <c r="H222" s="1">
        <v>7405782.2272333</v>
      </c>
      <c r="I222" s="1">
        <v>472.11748488724493</v>
      </c>
      <c r="J222" s="1">
        <v>3.187023238288639</v>
      </c>
      <c r="N222" s="1">
        <f t="shared" si="13"/>
        <v>-122188.16649298277</v>
      </c>
      <c r="O222" s="1">
        <f t="shared" si="14"/>
        <v>-5.2872584437304795</v>
      </c>
      <c r="P222" s="1">
        <f t="shared" si="15"/>
        <v>-1.08268438718116</v>
      </c>
    </row>
    <row r="223" spans="3:16" x14ac:dyDescent="0.3">
      <c r="C223" s="1">
        <v>216</v>
      </c>
      <c r="E223" s="1">
        <v>7308997.4519208716</v>
      </c>
      <c r="F223" s="1">
        <v>466.81304816728868</v>
      </c>
      <c r="G223" s="1">
        <v>6.0147694389064341</v>
      </c>
      <c r="H223" s="1">
        <v>7237142.7842101995</v>
      </c>
      <c r="I223" s="1">
        <v>464.12564802758089</v>
      </c>
      <c r="J223" s="1">
        <v>5.0281300413472856</v>
      </c>
      <c r="N223" s="1">
        <f t="shared" si="13"/>
        <v>-71854.667710672133</v>
      </c>
      <c r="O223" s="1">
        <f t="shared" si="14"/>
        <v>-2.6874001397077905</v>
      </c>
      <c r="P223" s="1">
        <f t="shared" si="15"/>
        <v>-0.98663939755914853</v>
      </c>
    </row>
    <row r="224" spans="3:16" x14ac:dyDescent="0.3">
      <c r="C224" s="1">
        <v>217</v>
      </c>
      <c r="E224" s="1">
        <v>5418052.5492390785</v>
      </c>
      <c r="F224" s="1">
        <v>451.60323597611836</v>
      </c>
      <c r="G224" s="1">
        <v>5.3927695200370902</v>
      </c>
      <c r="H224" s="1">
        <v>5319219.9022311186</v>
      </c>
      <c r="I224" s="1">
        <v>448.47619575346528</v>
      </c>
      <c r="J224" s="1">
        <v>3.8520066658103631</v>
      </c>
      <c r="N224" s="1">
        <f t="shared" si="13"/>
        <v>-98832.647007959895</v>
      </c>
      <c r="O224" s="1">
        <f t="shared" si="14"/>
        <v>-3.1270402226530791</v>
      </c>
      <c r="P224" s="1">
        <f t="shared" si="15"/>
        <v>-1.5407628542267271</v>
      </c>
    </row>
    <row r="225" spans="3:16" x14ac:dyDescent="0.3">
      <c r="C225" s="1">
        <v>218</v>
      </c>
      <c r="E225" s="1">
        <v>4396029.9621968865</v>
      </c>
      <c r="F225" s="1">
        <v>452.40144101222796</v>
      </c>
      <c r="G225" s="1">
        <v>6.1843185902364697</v>
      </c>
      <c r="H225" s="1">
        <v>4274777.104133334</v>
      </c>
      <c r="I225" s="1">
        <v>446.70364279485011</v>
      </c>
      <c r="J225" s="1">
        <v>4.6462453470186063</v>
      </c>
      <c r="N225" s="1">
        <f t="shared" si="13"/>
        <v>-121252.85806355253</v>
      </c>
      <c r="O225" s="1">
        <f t="shared" si="14"/>
        <v>-5.6977982173778514</v>
      </c>
      <c r="P225" s="1">
        <f t="shared" si="15"/>
        <v>-1.5380732432178634</v>
      </c>
    </row>
    <row r="226" spans="3:16" x14ac:dyDescent="0.3">
      <c r="C226" s="1">
        <v>219</v>
      </c>
      <c r="E226" s="1">
        <v>7057543.1814827286</v>
      </c>
      <c r="F226" s="1">
        <v>501.46335750256668</v>
      </c>
      <c r="G226" s="1">
        <v>5.4450571726667798</v>
      </c>
      <c r="H226" s="1">
        <v>6961839.8547880687</v>
      </c>
      <c r="I226" s="1">
        <v>497.02059965994783</v>
      </c>
      <c r="J226" s="1">
        <v>3.9604525947316214</v>
      </c>
      <c r="N226" s="1">
        <f t="shared" si="13"/>
        <v>-95703.326694659889</v>
      </c>
      <c r="O226" s="1">
        <f t="shared" si="14"/>
        <v>-4.4427578426188461</v>
      </c>
      <c r="P226" s="1">
        <f t="shared" si="15"/>
        <v>-1.4846045779351584</v>
      </c>
    </row>
    <row r="227" spans="3:16" x14ac:dyDescent="0.3">
      <c r="C227" s="1">
        <v>220</v>
      </c>
      <c r="E227" s="1">
        <v>6527640.5479446119</v>
      </c>
      <c r="F227" s="1">
        <v>445.80413615146091</v>
      </c>
      <c r="G227" s="1">
        <v>5.0497402437360686</v>
      </c>
      <c r="H227" s="1">
        <v>6389808.1280514849</v>
      </c>
      <c r="I227" s="1">
        <v>440.49624773007821</v>
      </c>
      <c r="J227" s="1">
        <v>3.4555240230841102</v>
      </c>
      <c r="N227" s="1">
        <f t="shared" si="13"/>
        <v>-137832.41989312693</v>
      </c>
      <c r="O227" s="1">
        <f t="shared" si="14"/>
        <v>-5.3078884213826996</v>
      </c>
      <c r="P227" s="1">
        <f t="shared" si="15"/>
        <v>-1.5942162206519583</v>
      </c>
    </row>
    <row r="228" spans="3:16" x14ac:dyDescent="0.3">
      <c r="C228" s="1">
        <v>221</v>
      </c>
      <c r="E228" s="1">
        <v>7368009.3456134973</v>
      </c>
      <c r="F228" s="1">
        <v>481.58582316718599</v>
      </c>
      <c r="G228" s="1">
        <v>5.8328611800036185</v>
      </c>
      <c r="H228" s="1">
        <v>7269542.3703013342</v>
      </c>
      <c r="I228" s="1">
        <v>479.29261573387595</v>
      </c>
      <c r="J228" s="1">
        <v>4.1517562511257822</v>
      </c>
      <c r="N228" s="1">
        <f t="shared" si="13"/>
        <v>-98466.975312163122</v>
      </c>
      <c r="O228" s="1">
        <f t="shared" si="14"/>
        <v>-2.2932074333100445</v>
      </c>
      <c r="P228" s="1">
        <f t="shared" si="15"/>
        <v>-1.6811049288778364</v>
      </c>
    </row>
    <row r="229" spans="3:16" x14ac:dyDescent="0.3">
      <c r="C229" s="1">
        <v>222</v>
      </c>
      <c r="E229" s="1">
        <v>9377469.2540207691</v>
      </c>
      <c r="F229" s="1">
        <v>450.2230738604369</v>
      </c>
      <c r="G229" s="1">
        <v>4.3060936315547735</v>
      </c>
      <c r="H229" s="1">
        <v>9297200.1911108326</v>
      </c>
      <c r="I229" s="1">
        <v>447.55495926415989</v>
      </c>
      <c r="J229" s="1">
        <v>3.1972920506598888</v>
      </c>
      <c r="N229" s="1">
        <f t="shared" si="13"/>
        <v>-80269.062909936532</v>
      </c>
      <c r="O229" s="1">
        <f t="shared" si="14"/>
        <v>-2.6681145962770074</v>
      </c>
      <c r="P229" s="1">
        <f t="shared" si="15"/>
        <v>-1.1088015808948848</v>
      </c>
    </row>
    <row r="230" spans="3:16" x14ac:dyDescent="0.3">
      <c r="C230" s="1">
        <v>223</v>
      </c>
      <c r="E230" s="1">
        <v>9192760.0455020275</v>
      </c>
      <c r="F230" s="1">
        <v>476.10322053591352</v>
      </c>
      <c r="G230" s="1">
        <v>5.037114062213047</v>
      </c>
      <c r="H230" s="1">
        <v>9113650.2407129258</v>
      </c>
      <c r="I230" s="1">
        <v>471.78270905287354</v>
      </c>
      <c r="J230" s="1">
        <v>4.0788203238376823</v>
      </c>
      <c r="N230" s="1">
        <f t="shared" si="13"/>
        <v>-79109.804789101705</v>
      </c>
      <c r="O230" s="1">
        <f t="shared" si="14"/>
        <v>-4.3205114830399793</v>
      </c>
      <c r="P230" s="1">
        <f t="shared" si="15"/>
        <v>-0.95829373837536469</v>
      </c>
    </row>
    <row r="231" spans="3:16" x14ac:dyDescent="0.3">
      <c r="C231" s="1">
        <v>224</v>
      </c>
      <c r="E231" s="1">
        <v>6297773.955814654</v>
      </c>
      <c r="F231" s="1">
        <v>508.32262146865997</v>
      </c>
      <c r="G231" s="1">
        <v>4.4021930316075384</v>
      </c>
      <c r="H231" s="1">
        <v>6196512.3722073734</v>
      </c>
      <c r="I231" s="1">
        <v>503.62156238034891</v>
      </c>
      <c r="J231" s="1">
        <v>3.1489287123697158</v>
      </c>
      <c r="N231" s="1">
        <f t="shared" si="13"/>
        <v>-101261.58360728063</v>
      </c>
      <c r="O231" s="1">
        <f t="shared" si="14"/>
        <v>-4.7010590883110694</v>
      </c>
      <c r="P231" s="1">
        <f t="shared" si="15"/>
        <v>-1.2532643192378226</v>
      </c>
    </row>
    <row r="232" spans="3:16" x14ac:dyDescent="0.3">
      <c r="C232" s="1">
        <v>225</v>
      </c>
      <c r="E232" s="1">
        <v>7794959.273302244</v>
      </c>
      <c r="F232" s="1">
        <v>468.08814214498915</v>
      </c>
      <c r="G232" s="1">
        <v>5.6818486721173951</v>
      </c>
      <c r="H232" s="1">
        <v>7695364.924095395</v>
      </c>
      <c r="I232" s="1">
        <v>463.26001472617395</v>
      </c>
      <c r="J232" s="1">
        <v>4.3058248013601474</v>
      </c>
      <c r="N232" s="1">
        <f t="shared" si="13"/>
        <v>-99594.349206849001</v>
      </c>
      <c r="O232" s="1">
        <f t="shared" si="14"/>
        <v>-4.8281274188151997</v>
      </c>
      <c r="P232" s="1">
        <f t="shared" si="15"/>
        <v>-1.3760238707572476</v>
      </c>
    </row>
    <row r="233" spans="3:16" x14ac:dyDescent="0.3">
      <c r="C233" s="1">
        <v>226</v>
      </c>
      <c r="E233" s="1">
        <v>6773147.0912218718</v>
      </c>
      <c r="F233" s="1">
        <v>472.67742206943007</v>
      </c>
      <c r="G233" s="1">
        <v>4.3329184495357156</v>
      </c>
      <c r="H233" s="1">
        <v>6696560.7084333263</v>
      </c>
      <c r="I233" s="1">
        <v>470.01486188076348</v>
      </c>
      <c r="J233" s="1">
        <v>3.5879304771499125</v>
      </c>
      <c r="N233" s="1">
        <f t="shared" si="13"/>
        <v>-76586.382788545452</v>
      </c>
      <c r="O233" s="1">
        <f t="shared" si="14"/>
        <v>-2.6625601886665891</v>
      </c>
      <c r="P233" s="1">
        <f t="shared" si="15"/>
        <v>-0.74498797238580305</v>
      </c>
    </row>
    <row r="234" spans="3:16" x14ac:dyDescent="0.3">
      <c r="C234" s="1">
        <v>227</v>
      </c>
      <c r="E234" s="1">
        <v>6584581.4212989872</v>
      </c>
      <c r="F234" s="1">
        <v>450.92309038079208</v>
      </c>
      <c r="G234" s="1">
        <v>4.8410098357234714</v>
      </c>
      <c r="H234" s="1">
        <v>6463448.539917361</v>
      </c>
      <c r="I234" s="1">
        <v>445.23596566573195</v>
      </c>
      <c r="J234" s="1">
        <v>3.5104407161011997</v>
      </c>
      <c r="N234" s="1">
        <f t="shared" si="13"/>
        <v>-121132.88138162624</v>
      </c>
      <c r="O234" s="1">
        <f t="shared" si="14"/>
        <v>-5.6871247150601221</v>
      </c>
      <c r="P234" s="1">
        <f t="shared" si="15"/>
        <v>-1.3305691196222718</v>
      </c>
    </row>
    <row r="235" spans="3:16" x14ac:dyDescent="0.3">
      <c r="C235" s="1">
        <v>228</v>
      </c>
      <c r="E235" s="1">
        <v>7932323.577784624</v>
      </c>
      <c r="F235" s="1">
        <v>490.85001156783539</v>
      </c>
      <c r="G235" s="1">
        <v>6.3023777289929752</v>
      </c>
      <c r="H235" s="1">
        <v>7798245.1666410416</v>
      </c>
      <c r="I235" s="1">
        <v>487.89289550667002</v>
      </c>
      <c r="J235" s="1">
        <v>4.6945618414477908</v>
      </c>
      <c r="N235" s="1">
        <f t="shared" si="13"/>
        <v>-134078.41114358231</v>
      </c>
      <c r="O235" s="1">
        <f t="shared" si="14"/>
        <v>-2.9571160611653795</v>
      </c>
      <c r="P235" s="1">
        <f t="shared" si="15"/>
        <v>-1.6078158875451845</v>
      </c>
    </row>
    <row r="236" spans="3:16" x14ac:dyDescent="0.3">
      <c r="C236" s="1">
        <v>229</v>
      </c>
      <c r="E236" s="1">
        <v>7188048.2723060837</v>
      </c>
      <c r="F236" s="1">
        <v>463.70710482801741</v>
      </c>
      <c r="G236" s="1">
        <v>5.1656582382694474</v>
      </c>
      <c r="H236" s="1">
        <v>7123406.4797052434</v>
      </c>
      <c r="I236" s="1">
        <v>461.95084943958119</v>
      </c>
      <c r="J236" s="1">
        <v>4.1498182778351511</v>
      </c>
      <c r="N236" s="1">
        <f t="shared" si="13"/>
        <v>-64641.79260084033</v>
      </c>
      <c r="O236" s="1">
        <f t="shared" si="14"/>
        <v>-1.756255388436216</v>
      </c>
      <c r="P236" s="1">
        <f t="shared" si="15"/>
        <v>-1.0158399604342963</v>
      </c>
    </row>
    <row r="237" spans="3:16" x14ac:dyDescent="0.3">
      <c r="C237" s="1">
        <v>230</v>
      </c>
      <c r="E237" s="1">
        <v>6687354.4108194066</v>
      </c>
      <c r="F237" s="1">
        <v>460.62211729065251</v>
      </c>
      <c r="G237" s="1">
        <v>5.1670701808824191</v>
      </c>
      <c r="H237" s="1">
        <v>6599993.0460673785</v>
      </c>
      <c r="I237" s="1">
        <v>457.31801280624865</v>
      </c>
      <c r="J237" s="1">
        <v>4.4119589189343698</v>
      </c>
      <c r="N237" s="1">
        <f t="shared" si="13"/>
        <v>-87361.364752028137</v>
      </c>
      <c r="O237" s="1">
        <f t="shared" si="14"/>
        <v>-3.3041044844038652</v>
      </c>
      <c r="P237" s="1">
        <f t="shared" si="15"/>
        <v>-0.75511126194804934</v>
      </c>
    </row>
    <row r="238" spans="3:16" x14ac:dyDescent="0.3">
      <c r="C238" s="1">
        <v>231</v>
      </c>
      <c r="E238" s="1">
        <v>6871050.0015359456</v>
      </c>
      <c r="F238" s="1">
        <v>462.27128468755029</v>
      </c>
      <c r="G238" s="1">
        <v>4.9069830754783696</v>
      </c>
      <c r="H238" s="1">
        <v>6771206.5375323659</v>
      </c>
      <c r="I238" s="1">
        <v>457.59121508082848</v>
      </c>
      <c r="J238" s="1">
        <v>3.9029361349877378</v>
      </c>
      <c r="N238" s="1">
        <f t="shared" si="13"/>
        <v>-99843.464003579691</v>
      </c>
      <c r="O238" s="1">
        <f t="shared" si="14"/>
        <v>-4.6800696067218155</v>
      </c>
      <c r="P238" s="1">
        <f t="shared" si="15"/>
        <v>-1.0040469404906318</v>
      </c>
    </row>
    <row r="239" spans="3:16" x14ac:dyDescent="0.3">
      <c r="C239" s="1">
        <v>232</v>
      </c>
      <c r="E239" s="1">
        <v>7499774.5755584519</v>
      </c>
      <c r="F239" s="1">
        <v>440.34894291083049</v>
      </c>
      <c r="G239" s="1">
        <v>5.8740839135646077</v>
      </c>
      <c r="H239" s="1">
        <v>7343342.0746059231</v>
      </c>
      <c r="I239" s="1">
        <v>435.07348167906684</v>
      </c>
      <c r="J239" s="1">
        <v>3.7675194924776862</v>
      </c>
      <c r="N239" s="1">
        <f t="shared" si="13"/>
        <v>-156432.50095252879</v>
      </c>
      <c r="O239" s="1">
        <f t="shared" si="14"/>
        <v>-5.2754612317636429</v>
      </c>
      <c r="P239" s="1">
        <f t="shared" si="15"/>
        <v>-2.1065644210869214</v>
      </c>
    </row>
    <row r="240" spans="3:16" x14ac:dyDescent="0.3">
      <c r="C240" s="1">
        <v>233</v>
      </c>
      <c r="E240" s="1">
        <v>8221980.3599352967</v>
      </c>
      <c r="F240" s="1">
        <v>460.82370682508645</v>
      </c>
      <c r="G240" s="1">
        <v>6.0612823498401394</v>
      </c>
      <c r="H240" s="1">
        <v>8132149.8620154019</v>
      </c>
      <c r="I240" s="1">
        <v>457.82588626736299</v>
      </c>
      <c r="J240" s="1">
        <v>5.0485329455724051</v>
      </c>
      <c r="N240" s="1">
        <f t="shared" si="13"/>
        <v>-89830.497919894755</v>
      </c>
      <c r="O240" s="1">
        <f t="shared" si="14"/>
        <v>-2.9978205577234576</v>
      </c>
      <c r="P240" s="1">
        <f t="shared" si="15"/>
        <v>-1.0127494042677343</v>
      </c>
    </row>
    <row r="241" spans="3:16" x14ac:dyDescent="0.3">
      <c r="C241" s="1">
        <v>234</v>
      </c>
      <c r="E241" s="1">
        <v>5609832.4128527492</v>
      </c>
      <c r="F241" s="1">
        <v>434.02358457957052</v>
      </c>
      <c r="G241" s="1">
        <v>5.124057043983818</v>
      </c>
      <c r="H241" s="1">
        <v>5485875.3590148967</v>
      </c>
      <c r="I241" s="1">
        <v>429.7894018133573</v>
      </c>
      <c r="J241" s="1">
        <v>3.4380079230493532</v>
      </c>
      <c r="N241" s="1">
        <f t="shared" si="13"/>
        <v>-123957.05383785255</v>
      </c>
      <c r="O241" s="1">
        <f t="shared" si="14"/>
        <v>-4.2341827662132232</v>
      </c>
      <c r="P241" s="1">
        <f t="shared" si="15"/>
        <v>-1.6860491209344648</v>
      </c>
    </row>
    <row r="242" spans="3:16" x14ac:dyDescent="0.3">
      <c r="C242" s="1">
        <v>235</v>
      </c>
      <c r="E242" s="1">
        <v>7470460.3427303284</v>
      </c>
      <c r="F242" s="1">
        <v>467.39019151134454</v>
      </c>
      <c r="G242" s="1">
        <v>5.4746895385916368</v>
      </c>
      <c r="H242" s="1">
        <v>7315473.1342903515</v>
      </c>
      <c r="I242" s="1">
        <v>458.75763379180285</v>
      </c>
      <c r="J242" s="1">
        <v>3.6538164631754708</v>
      </c>
      <c r="N242" s="1">
        <f t="shared" si="13"/>
        <v>-154987.20843997691</v>
      </c>
      <c r="O242" s="1">
        <f t="shared" si="14"/>
        <v>-8.632557719541694</v>
      </c>
      <c r="P242" s="1">
        <f t="shared" si="15"/>
        <v>-1.8208730754161659</v>
      </c>
    </row>
    <row r="243" spans="3:16" x14ac:dyDescent="0.3">
      <c r="C243" s="1">
        <v>236</v>
      </c>
      <c r="E243" s="1">
        <v>6708373.7048761984</v>
      </c>
      <c r="F243" s="1">
        <v>482.60637651422468</v>
      </c>
      <c r="G243" s="1">
        <v>5.0342490138486662</v>
      </c>
      <c r="H243" s="1">
        <v>6636443.7864049263</v>
      </c>
      <c r="I243" s="1">
        <v>480.2998643957128</v>
      </c>
      <c r="J243" s="1">
        <v>3.7471659062370386</v>
      </c>
      <c r="N243" s="1">
        <f t="shared" si="13"/>
        <v>-71929.918471272103</v>
      </c>
      <c r="O243" s="1">
        <f t="shared" si="14"/>
        <v>-2.3065121185118755</v>
      </c>
      <c r="P243" s="1">
        <f t="shared" si="15"/>
        <v>-1.2870831076116276</v>
      </c>
    </row>
    <row r="244" spans="3:16" x14ac:dyDescent="0.3">
      <c r="C244" s="1">
        <v>237</v>
      </c>
      <c r="E244" s="1">
        <v>6563738.258835014</v>
      </c>
      <c r="F244" s="1">
        <v>489.02651630158988</v>
      </c>
      <c r="G244" s="1">
        <v>5.2403002163407368</v>
      </c>
      <c r="H244" s="1">
        <v>6425474.0100319199</v>
      </c>
      <c r="I244" s="1">
        <v>480.98543052926982</v>
      </c>
      <c r="J244" s="1">
        <v>3.0061052260704524</v>
      </c>
      <c r="N244" s="1">
        <f t="shared" si="13"/>
        <v>-138264.24880309403</v>
      </c>
      <c r="O244" s="1">
        <f t="shared" si="14"/>
        <v>-8.0410857723200593</v>
      </c>
      <c r="P244" s="1">
        <f t="shared" si="15"/>
        <v>-2.2341949902702845</v>
      </c>
    </row>
    <row r="245" spans="3:16" x14ac:dyDescent="0.3">
      <c r="C245" s="1">
        <v>238</v>
      </c>
      <c r="E245" s="1">
        <v>7022841.6392228715</v>
      </c>
      <c r="F245" s="1">
        <v>456.95562630824014</v>
      </c>
      <c r="G245" s="1">
        <v>4.7338050857067167</v>
      </c>
      <c r="H245" s="1">
        <v>6863741.5189672913</v>
      </c>
      <c r="I245" s="1">
        <v>450.35496309181838</v>
      </c>
      <c r="J245" s="1">
        <v>3.1688676774062916</v>
      </c>
      <c r="N245" s="1">
        <f t="shared" si="13"/>
        <v>-159100.12025558017</v>
      </c>
      <c r="O245" s="1">
        <f t="shared" si="14"/>
        <v>-6.6006632164217649</v>
      </c>
      <c r="P245" s="1">
        <f t="shared" si="15"/>
        <v>-1.564937408300425</v>
      </c>
    </row>
    <row r="246" spans="3:16" x14ac:dyDescent="0.3">
      <c r="C246" s="1">
        <v>239</v>
      </c>
      <c r="E246" s="1">
        <v>6172556.3019662732</v>
      </c>
      <c r="F246" s="1">
        <v>437.94979759973035</v>
      </c>
      <c r="G246" s="1">
        <v>6.2884839295060218</v>
      </c>
      <c r="H246" s="1">
        <v>6083210.5773829101</v>
      </c>
      <c r="I246" s="1">
        <v>434.53783319545494</v>
      </c>
      <c r="J246" s="1">
        <v>4.7442495650184444</v>
      </c>
      <c r="N246" s="1">
        <f t="shared" si="13"/>
        <v>-89345.72458336316</v>
      </c>
      <c r="O246" s="1">
        <f t="shared" si="14"/>
        <v>-3.4119644042754089</v>
      </c>
      <c r="P246" s="1">
        <f t="shared" si="15"/>
        <v>-1.5442343644875773</v>
      </c>
    </row>
    <row r="247" spans="3:16" x14ac:dyDescent="0.3">
      <c r="C247" s="1">
        <v>240</v>
      </c>
      <c r="E247" s="1">
        <v>8473580.2628938574</v>
      </c>
      <c r="F247" s="1">
        <v>480.94704163206217</v>
      </c>
      <c r="G247" s="1">
        <v>4.6501833803463022</v>
      </c>
      <c r="H247" s="1">
        <v>8368175.2329325359</v>
      </c>
      <c r="I247" s="1">
        <v>474.04372644943112</v>
      </c>
      <c r="J247" s="1">
        <v>3.6798768515871387</v>
      </c>
      <c r="N247" s="1">
        <f t="shared" si="13"/>
        <v>-105405.0299613215</v>
      </c>
      <c r="O247" s="1">
        <f t="shared" si="14"/>
        <v>-6.9033151826310473</v>
      </c>
      <c r="P247" s="1">
        <f t="shared" si="15"/>
        <v>-0.97030652875916346</v>
      </c>
    </row>
    <row r="248" spans="3:16" x14ac:dyDescent="0.3">
      <c r="C248" s="1">
        <v>241</v>
      </c>
      <c r="E248" s="1">
        <v>5136836.8377386369</v>
      </c>
      <c r="F248" s="1">
        <v>434.05673673591662</v>
      </c>
      <c r="G248" s="1">
        <v>4.6144195164719211</v>
      </c>
      <c r="H248" s="1">
        <v>5066852.8869444551</v>
      </c>
      <c r="I248" s="1">
        <v>429.94814147988006</v>
      </c>
      <c r="J248" s="1">
        <v>3.4217674326374166</v>
      </c>
      <c r="N248" s="1">
        <f t="shared" si="13"/>
        <v>-69983.950794181786</v>
      </c>
      <c r="O248" s="1">
        <f t="shared" si="14"/>
        <v>-4.1085952560365513</v>
      </c>
      <c r="P248" s="1">
        <f t="shared" si="15"/>
        <v>-1.1926520838345045</v>
      </c>
    </row>
    <row r="249" spans="3:16" x14ac:dyDescent="0.3">
      <c r="C249" s="1">
        <v>242</v>
      </c>
      <c r="E249" s="1">
        <v>6237294.1696138429</v>
      </c>
      <c r="F249" s="1">
        <v>467.7130902657554</v>
      </c>
      <c r="G249" s="1">
        <v>4.3079909236762273</v>
      </c>
      <c r="H249" s="1">
        <v>6195575.4516444886</v>
      </c>
      <c r="I249" s="1">
        <v>465.98538131129948</v>
      </c>
      <c r="J249" s="1">
        <v>3.5609832301258204</v>
      </c>
      <c r="N249" s="1">
        <f t="shared" si="13"/>
        <v>-41718.717969354242</v>
      </c>
      <c r="O249" s="1">
        <f t="shared" si="14"/>
        <v>-1.7277089544559203</v>
      </c>
      <c r="P249" s="1">
        <f t="shared" si="15"/>
        <v>-0.74700769355040686</v>
      </c>
    </row>
    <row r="250" spans="3:16" x14ac:dyDescent="0.3">
      <c r="C250" s="1">
        <v>243</v>
      </c>
      <c r="E250" s="1">
        <v>6346214.7703484548</v>
      </c>
      <c r="F250" s="1">
        <v>475.63009465678414</v>
      </c>
      <c r="G250" s="1">
        <v>5.2163837345877031</v>
      </c>
      <c r="H250" s="1">
        <v>6245445.0283273356</v>
      </c>
      <c r="I250" s="1">
        <v>471.54744192794095</v>
      </c>
      <c r="J250" s="1">
        <v>4.1026551786009211</v>
      </c>
      <c r="N250" s="1">
        <f t="shared" si="13"/>
        <v>-100769.74202111922</v>
      </c>
      <c r="O250" s="1">
        <f t="shared" si="14"/>
        <v>-4.0826527288431862</v>
      </c>
      <c r="P250" s="1">
        <f t="shared" si="15"/>
        <v>-1.113728555986782</v>
      </c>
    </row>
    <row r="251" spans="3:16" x14ac:dyDescent="0.3">
      <c r="C251" s="1">
        <v>244</v>
      </c>
      <c r="E251" s="1">
        <v>7021412.5323001035</v>
      </c>
      <c r="F251" s="1">
        <v>444.38746792191529</v>
      </c>
      <c r="G251" s="1">
        <v>4.8085834007337089</v>
      </c>
      <c r="H251" s="1">
        <v>6934075.7259573415</v>
      </c>
      <c r="I251" s="1">
        <v>439.88633726023346</v>
      </c>
      <c r="J251" s="1">
        <v>3.983195248271965</v>
      </c>
      <c r="N251" s="1">
        <f t="shared" si="13"/>
        <v>-87336.806342761964</v>
      </c>
      <c r="O251" s="1">
        <f t="shared" si="14"/>
        <v>-4.5011306616818274</v>
      </c>
      <c r="P251" s="1">
        <f t="shared" si="15"/>
        <v>-0.82538815246174391</v>
      </c>
    </row>
    <row r="252" spans="3:16" x14ac:dyDescent="0.3">
      <c r="C252" s="1">
        <v>245</v>
      </c>
      <c r="E252" s="1">
        <v>6123865.4247046756</v>
      </c>
      <c r="F252" s="1">
        <v>441.55977314787805</v>
      </c>
      <c r="G252" s="1">
        <v>4.7525676755534061</v>
      </c>
      <c r="H252" s="1">
        <v>5957704.2146605933</v>
      </c>
      <c r="I252" s="1">
        <v>435.34174631068225</v>
      </c>
      <c r="J252" s="1">
        <v>3.0756393969954861</v>
      </c>
      <c r="N252" s="1">
        <f t="shared" si="13"/>
        <v>-166161.21004408225</v>
      </c>
      <c r="O252" s="1">
        <f t="shared" si="14"/>
        <v>-6.2180268371957936</v>
      </c>
      <c r="P252" s="1">
        <f t="shared" si="15"/>
        <v>-1.67692827855792</v>
      </c>
    </row>
    <row r="253" spans="3:16" x14ac:dyDescent="0.3">
      <c r="C253" s="1">
        <v>246</v>
      </c>
      <c r="E253" s="1">
        <v>7685137.3844766822</v>
      </c>
      <c r="F253" s="1">
        <v>478.31750819260287</v>
      </c>
      <c r="G253" s="1">
        <v>4.486141963027805</v>
      </c>
      <c r="H253" s="1">
        <v>7599119.7175871767</v>
      </c>
      <c r="I253" s="1">
        <v>475.72938504218757</v>
      </c>
      <c r="J253" s="1">
        <v>3.4820494316385862</v>
      </c>
      <c r="N253" s="1">
        <f t="shared" si="13"/>
        <v>-86017.666889505461</v>
      </c>
      <c r="O253" s="1">
        <f t="shared" si="14"/>
        <v>-2.5881231504152993</v>
      </c>
      <c r="P253" s="1">
        <f t="shared" si="15"/>
        <v>-1.0040925313892188</v>
      </c>
    </row>
    <row r="254" spans="3:16" x14ac:dyDescent="0.3">
      <c r="C254" s="1">
        <v>247</v>
      </c>
      <c r="E254" s="1">
        <v>8120088.5254407311</v>
      </c>
      <c r="F254" s="1">
        <v>510.75015794522312</v>
      </c>
      <c r="G254" s="1">
        <v>4.312750848140344</v>
      </c>
      <c r="H254" s="1">
        <v>7933282.6014190353</v>
      </c>
      <c r="I254" s="1">
        <v>501.06516746544935</v>
      </c>
      <c r="J254" s="1">
        <v>3.1485698651871878</v>
      </c>
      <c r="N254" s="1">
        <f t="shared" si="13"/>
        <v>-186805.92402169574</v>
      </c>
      <c r="O254" s="1">
        <f t="shared" si="14"/>
        <v>-9.6849904797737736</v>
      </c>
      <c r="P254" s="1">
        <f t="shared" si="15"/>
        <v>-1.1641809829531562</v>
      </c>
    </row>
    <row r="255" spans="3:16" x14ac:dyDescent="0.3">
      <c r="C255" s="1">
        <v>248</v>
      </c>
      <c r="E255" s="1">
        <v>6432439.5221538721</v>
      </c>
      <c r="F255" s="1">
        <v>483.6228082110905</v>
      </c>
      <c r="G255" s="1">
        <v>5.7661990223146784</v>
      </c>
      <c r="H255" s="1">
        <v>6306043.9705341207</v>
      </c>
      <c r="I255" s="1">
        <v>479.16528716686832</v>
      </c>
      <c r="J255" s="1">
        <v>4.0368543310340215</v>
      </c>
      <c r="N255" s="1">
        <f t="shared" si="13"/>
        <v>-126395.55161975138</v>
      </c>
      <c r="O255" s="1">
        <f t="shared" si="14"/>
        <v>-4.457521044222176</v>
      </c>
      <c r="P255" s="1">
        <f t="shared" si="15"/>
        <v>-1.7293446912806569</v>
      </c>
    </row>
    <row r="256" spans="3:16" x14ac:dyDescent="0.3">
      <c r="C256" s="1">
        <v>249</v>
      </c>
      <c r="E256" s="1">
        <v>7799534.5526798032</v>
      </c>
      <c r="F256" s="1">
        <v>483.27795367933658</v>
      </c>
      <c r="G256" s="1">
        <v>4.3221326238274669</v>
      </c>
      <c r="H256" s="1">
        <v>7719522.9517156733</v>
      </c>
      <c r="I256" s="1">
        <v>479.62054376699371</v>
      </c>
      <c r="J256" s="1">
        <v>3.2537915426357524</v>
      </c>
      <c r="N256" s="1">
        <f t="shared" si="13"/>
        <v>-80011.600964129902</v>
      </c>
      <c r="O256" s="1">
        <f t="shared" si="14"/>
        <v>-3.6574099123428709</v>
      </c>
      <c r="P256" s="1">
        <f t="shared" si="15"/>
        <v>-1.0683410811917144</v>
      </c>
    </row>
    <row r="257" spans="3:16" x14ac:dyDescent="0.3">
      <c r="C257" s="1">
        <v>250</v>
      </c>
      <c r="E257" s="1">
        <v>8094441.5428789314</v>
      </c>
      <c r="F257" s="1">
        <v>468.20293486110029</v>
      </c>
      <c r="G257" s="1">
        <v>5.0417328706737603</v>
      </c>
      <c r="H257" s="1">
        <v>8020982.7589525199</v>
      </c>
      <c r="I257" s="1">
        <v>465.02105533825647</v>
      </c>
      <c r="J257" s="1">
        <v>4.4460630865541493</v>
      </c>
      <c r="N257" s="1">
        <f t="shared" si="13"/>
        <v>-73458.783926411532</v>
      </c>
      <c r="O257" s="1">
        <f t="shared" si="14"/>
        <v>-3.1818795228438148</v>
      </c>
      <c r="P257" s="1">
        <f t="shared" si="15"/>
        <v>-0.59566978411961102</v>
      </c>
    </row>
    <row r="258" spans="3:16" x14ac:dyDescent="0.3">
      <c r="C258" s="1">
        <v>251</v>
      </c>
      <c r="E258" s="1">
        <v>9239263.6289917622</v>
      </c>
      <c r="F258" s="1">
        <v>495.2612700524848</v>
      </c>
      <c r="G258" s="1">
        <v>4.7506370311883996</v>
      </c>
      <c r="H258" s="1">
        <v>9135505.6137871258</v>
      </c>
      <c r="I258" s="1">
        <v>491.38952090081364</v>
      </c>
      <c r="J258" s="1">
        <v>3.5786953910885591</v>
      </c>
      <c r="N258" s="1">
        <f t="shared" si="13"/>
        <v>-103758.01520463638</v>
      </c>
      <c r="O258" s="1">
        <f t="shared" si="14"/>
        <v>-3.8717491516711675</v>
      </c>
      <c r="P258" s="1">
        <f t="shared" si="15"/>
        <v>-1.1719416400998406</v>
      </c>
    </row>
    <row r="259" spans="3:16" x14ac:dyDescent="0.3">
      <c r="C259" s="1">
        <v>252</v>
      </c>
      <c r="E259" s="1">
        <v>7273502.1348168012</v>
      </c>
      <c r="F259" s="1">
        <v>478.46860755844807</v>
      </c>
      <c r="G259" s="1">
        <v>5.2784584251865141</v>
      </c>
      <c r="H259" s="1">
        <v>7168736.9722672636</v>
      </c>
      <c r="I259" s="1">
        <v>474.2201105778131</v>
      </c>
      <c r="J259" s="1">
        <v>3.8222410660168187</v>
      </c>
      <c r="N259" s="1">
        <f t="shared" si="13"/>
        <v>-104765.16254953761</v>
      </c>
      <c r="O259" s="1">
        <f t="shared" si="14"/>
        <v>-4.2484969806349682</v>
      </c>
      <c r="P259" s="1">
        <f t="shared" si="15"/>
        <v>-1.4562173591696954</v>
      </c>
    </row>
    <row r="260" spans="3:16" x14ac:dyDescent="0.3">
      <c r="C260" s="1">
        <v>253</v>
      </c>
      <c r="E260" s="1">
        <v>7829976.5596981496</v>
      </c>
      <c r="F260" s="1">
        <v>450.47596571505107</v>
      </c>
      <c r="G260" s="1">
        <v>3.9362764352497139</v>
      </c>
      <c r="H260" s="1">
        <v>7689619.8897904633</v>
      </c>
      <c r="I260" s="1">
        <v>443.54813170989758</v>
      </c>
      <c r="J260" s="1">
        <v>2.7207904096798319</v>
      </c>
      <c r="N260" s="1">
        <f t="shared" si="13"/>
        <v>-140356.6699076863</v>
      </c>
      <c r="O260" s="1">
        <f t="shared" si="14"/>
        <v>-6.9278340051534997</v>
      </c>
      <c r="P260" s="1">
        <f t="shared" si="15"/>
        <v>-1.2154860255698821</v>
      </c>
    </row>
    <row r="261" spans="3:16" x14ac:dyDescent="0.3">
      <c r="C261" s="1">
        <v>254</v>
      </c>
      <c r="E261" s="1">
        <v>8383705.136167068</v>
      </c>
      <c r="F261" s="1">
        <v>472.54245504360489</v>
      </c>
      <c r="G261" s="1">
        <v>5.200972751177094</v>
      </c>
      <c r="H261" s="1">
        <v>8289581.408775378</v>
      </c>
      <c r="I261" s="1">
        <v>468.8864563115751</v>
      </c>
      <c r="J261" s="1">
        <v>3.8164740942436084</v>
      </c>
      <c r="N261" s="1">
        <f t="shared" si="13"/>
        <v>-94123.727391690016</v>
      </c>
      <c r="O261" s="1">
        <f t="shared" si="14"/>
        <v>-3.6559987320297864</v>
      </c>
      <c r="P261" s="1">
        <f t="shared" si="15"/>
        <v>-1.3844986569334856</v>
      </c>
    </row>
    <row r="262" spans="3:16" x14ac:dyDescent="0.3">
      <c r="C262" s="1">
        <v>255</v>
      </c>
      <c r="E262" s="1">
        <v>7662736.3731235303</v>
      </c>
      <c r="F262" s="1">
        <v>456.16427278292235</v>
      </c>
      <c r="G262" s="1">
        <v>4.8065023053179248</v>
      </c>
      <c r="H262" s="1">
        <v>7502624.9065652993</v>
      </c>
      <c r="I262" s="1">
        <v>448.56017253695683</v>
      </c>
      <c r="J262" s="1">
        <v>3.5847313088540993</v>
      </c>
      <c r="N262" s="1">
        <f t="shared" si="13"/>
        <v>-160111.46655823104</v>
      </c>
      <c r="O262" s="1">
        <f t="shared" si="14"/>
        <v>-7.604100245965526</v>
      </c>
      <c r="P262" s="1">
        <f t="shared" si="15"/>
        <v>-1.2217709964638255</v>
      </c>
    </row>
    <row r="263" spans="3:16" x14ac:dyDescent="0.3">
      <c r="C263" s="1">
        <v>256</v>
      </c>
      <c r="E263" s="1">
        <v>7417201.1245739404</v>
      </c>
      <c r="F263" s="1">
        <v>476.25723341053589</v>
      </c>
      <c r="G263" s="1">
        <v>5.0707177879085457</v>
      </c>
      <c r="H263" s="1">
        <v>7306173.0439154366</v>
      </c>
      <c r="I263" s="1">
        <v>471.6932344168838</v>
      </c>
      <c r="J263" s="1">
        <v>3.473064849486307</v>
      </c>
      <c r="N263" s="1">
        <f t="shared" ref="N263:N326" si="16">IF(LEN($C263)&gt;0,H263-E263,"")</f>
        <v>-111028.08065850381</v>
      </c>
      <c r="O263" s="1">
        <f t="shared" ref="O263:O326" si="17">IF(LEN($C263)&gt;0,I263-F263,"")</f>
        <v>-4.5639989936520919</v>
      </c>
      <c r="P263" s="1">
        <f t="shared" ref="P263:P326" si="18">IF(LEN($C263)&gt;0,J263-G263,"")</f>
        <v>-1.5976529384222387</v>
      </c>
    </row>
    <row r="264" spans="3:16" x14ac:dyDescent="0.3">
      <c r="C264" s="1">
        <v>257</v>
      </c>
      <c r="E264" s="1">
        <v>7550315.8840811271</v>
      </c>
      <c r="F264" s="1">
        <v>480.56197705487511</v>
      </c>
      <c r="G264" s="1">
        <v>4.5001784035239041</v>
      </c>
      <c r="H264" s="1">
        <v>7395475.1704657022</v>
      </c>
      <c r="I264" s="1">
        <v>473.60354732660642</v>
      </c>
      <c r="J264" s="1">
        <v>3.2291750178918806</v>
      </c>
      <c r="N264" s="1">
        <f t="shared" si="16"/>
        <v>-154840.71361542493</v>
      </c>
      <c r="O264" s="1">
        <f t="shared" si="17"/>
        <v>-6.9584297282686975</v>
      </c>
      <c r="P264" s="1">
        <f t="shared" si="18"/>
        <v>-1.2710033856320235</v>
      </c>
    </row>
    <row r="265" spans="3:16" x14ac:dyDescent="0.3">
      <c r="C265" s="1">
        <v>258</v>
      </c>
      <c r="E265" s="1">
        <v>7135173.9100651667</v>
      </c>
      <c r="F265" s="1">
        <v>455.8806635088547</v>
      </c>
      <c r="G265" s="1">
        <v>4.7704034707639371</v>
      </c>
      <c r="H265" s="1">
        <v>6945218.1220844481</v>
      </c>
      <c r="I265" s="1">
        <v>446.8450734984491</v>
      </c>
      <c r="J265" s="1">
        <v>3.1362496704442133</v>
      </c>
      <c r="N265" s="1">
        <f t="shared" si="16"/>
        <v>-189955.78798071854</v>
      </c>
      <c r="O265" s="1">
        <f t="shared" si="17"/>
        <v>-9.0355900104055991</v>
      </c>
      <c r="P265" s="1">
        <f t="shared" si="18"/>
        <v>-1.6341538003197238</v>
      </c>
    </row>
    <row r="266" spans="3:16" x14ac:dyDescent="0.3">
      <c r="C266" s="1">
        <v>259</v>
      </c>
      <c r="E266" s="1">
        <v>7229849.3086775281</v>
      </c>
      <c r="F266" s="1">
        <v>468.26926734977928</v>
      </c>
      <c r="G266" s="1">
        <v>4.8326924197640455</v>
      </c>
      <c r="H266" s="1">
        <v>7133603.9095598571</v>
      </c>
      <c r="I266" s="1">
        <v>463.82178814725796</v>
      </c>
      <c r="J266" s="1">
        <v>3.8187219694397276</v>
      </c>
      <c r="N266" s="1">
        <f t="shared" si="16"/>
        <v>-96245.399117670953</v>
      </c>
      <c r="O266" s="1">
        <f t="shared" si="17"/>
        <v>-4.4474792025213219</v>
      </c>
      <c r="P266" s="1">
        <f t="shared" si="18"/>
        <v>-1.0139704503243179</v>
      </c>
    </row>
    <row r="267" spans="3:16" x14ac:dyDescent="0.3">
      <c r="C267" s="1">
        <v>260</v>
      </c>
      <c r="E267" s="1">
        <v>9205746.3866545111</v>
      </c>
      <c r="F267" s="1">
        <v>491.93451752936113</v>
      </c>
      <c r="G267" s="1">
        <v>5.3129827159935319</v>
      </c>
      <c r="H267" s="1">
        <v>9092521.3989666626</v>
      </c>
      <c r="I267" s="1">
        <v>487.96658516470046</v>
      </c>
      <c r="J267" s="1">
        <v>4.1101538036207579</v>
      </c>
      <c r="N267" s="1">
        <f t="shared" si="16"/>
        <v>-113224.98768784851</v>
      </c>
      <c r="O267" s="1">
        <f t="shared" si="17"/>
        <v>-3.967932364660669</v>
      </c>
      <c r="P267" s="1">
        <f t="shared" si="18"/>
        <v>-1.202828912372774</v>
      </c>
    </row>
    <row r="268" spans="3:16" x14ac:dyDescent="0.3">
      <c r="C268" s="1">
        <v>261</v>
      </c>
      <c r="E268" s="1">
        <v>6332417.3049454316</v>
      </c>
      <c r="F268" s="1">
        <v>497.10437384897278</v>
      </c>
      <c r="G268" s="1">
        <v>4.9478825708780754</v>
      </c>
      <c r="H268" s="1">
        <v>6257260.7351893699</v>
      </c>
      <c r="I268" s="1">
        <v>492.11909932258607</v>
      </c>
      <c r="J268" s="1">
        <v>3.7971235322045787</v>
      </c>
      <c r="N268" s="1">
        <f t="shared" si="16"/>
        <v>-75156.56975606177</v>
      </c>
      <c r="O268" s="1">
        <f t="shared" si="17"/>
        <v>-4.9852745263867178</v>
      </c>
      <c r="P268" s="1">
        <f t="shared" si="18"/>
        <v>-1.1507590386734967</v>
      </c>
    </row>
    <row r="269" spans="3:16" x14ac:dyDescent="0.3">
      <c r="C269" s="1">
        <v>262</v>
      </c>
      <c r="E269" s="1">
        <v>6792688.551926746</v>
      </c>
      <c r="F269" s="1">
        <v>489.98745816663683</v>
      </c>
      <c r="G269" s="1">
        <v>4.4116287552381666</v>
      </c>
      <c r="H269" s="1">
        <v>6680005.4648401449</v>
      </c>
      <c r="I269" s="1">
        <v>487.15112223280073</v>
      </c>
      <c r="J269" s="1">
        <v>2.8783518576302236</v>
      </c>
      <c r="N269" s="1">
        <f t="shared" si="16"/>
        <v>-112683.08708660118</v>
      </c>
      <c r="O269" s="1">
        <f t="shared" si="17"/>
        <v>-2.8363359338360965</v>
      </c>
      <c r="P269" s="1">
        <f t="shared" si="18"/>
        <v>-1.5332768976079429</v>
      </c>
    </row>
    <row r="270" spans="3:16" x14ac:dyDescent="0.3">
      <c r="C270" s="1">
        <v>263</v>
      </c>
      <c r="E270" s="1">
        <v>5632631.4739696095</v>
      </c>
      <c r="F270" s="1">
        <v>442.89964658509319</v>
      </c>
      <c r="G270" s="1">
        <v>4.1650457429322749</v>
      </c>
      <c r="H270" s="1">
        <v>5550231.6180087635</v>
      </c>
      <c r="I270" s="1">
        <v>439.45159922913331</v>
      </c>
      <c r="J270" s="1">
        <v>2.7883521668942679</v>
      </c>
      <c r="N270" s="1">
        <f t="shared" si="16"/>
        <v>-82399.855960845947</v>
      </c>
      <c r="O270" s="1">
        <f t="shared" si="17"/>
        <v>-3.4480473559598863</v>
      </c>
      <c r="P270" s="1">
        <f t="shared" si="18"/>
        <v>-1.376693576038007</v>
      </c>
    </row>
    <row r="271" spans="3:16" x14ac:dyDescent="0.3">
      <c r="C271" s="1">
        <v>264</v>
      </c>
      <c r="E271" s="1">
        <v>6779033.4515999891</v>
      </c>
      <c r="F271" s="1">
        <v>438.34698484293926</v>
      </c>
      <c r="G271" s="1">
        <v>4.713248108456801</v>
      </c>
      <c r="H271" s="1">
        <v>6695174.2922549956</v>
      </c>
      <c r="I271" s="1">
        <v>435.10224853560021</v>
      </c>
      <c r="J271" s="1">
        <v>3.323608385527177</v>
      </c>
      <c r="N271" s="1">
        <f t="shared" si="16"/>
        <v>-83859.159344993532</v>
      </c>
      <c r="O271" s="1">
        <f t="shared" si="17"/>
        <v>-3.2447363073390534</v>
      </c>
      <c r="P271" s="1">
        <f t="shared" si="18"/>
        <v>-1.389639722929624</v>
      </c>
    </row>
    <row r="272" spans="3:16" x14ac:dyDescent="0.3">
      <c r="C272" s="1">
        <v>265</v>
      </c>
      <c r="E272" s="1">
        <v>6118796.94086615</v>
      </c>
      <c r="F272" s="1">
        <v>454.10359547419461</v>
      </c>
      <c r="G272" s="1">
        <v>7.2775628781080073</v>
      </c>
      <c r="H272" s="1">
        <v>5961358.2122907974</v>
      </c>
      <c r="I272" s="1">
        <v>450.32693842776143</v>
      </c>
      <c r="J272" s="1">
        <v>4.636903427087935</v>
      </c>
      <c r="N272" s="1">
        <f t="shared" si="16"/>
        <v>-157438.72857535258</v>
      </c>
      <c r="O272" s="1">
        <f t="shared" si="17"/>
        <v>-3.7766570464331721</v>
      </c>
      <c r="P272" s="1">
        <f t="shared" si="18"/>
        <v>-2.6406594510200723</v>
      </c>
    </row>
    <row r="273" spans="3:16" x14ac:dyDescent="0.3">
      <c r="C273" s="1">
        <v>266</v>
      </c>
      <c r="E273" s="1">
        <v>7979560.384491968</v>
      </c>
      <c r="F273" s="1">
        <v>457.76115297414543</v>
      </c>
      <c r="G273" s="1">
        <v>4.8925151321843581</v>
      </c>
      <c r="H273" s="1">
        <v>7928922.3393562473</v>
      </c>
      <c r="I273" s="1">
        <v>456.19909722756046</v>
      </c>
      <c r="J273" s="1">
        <v>4.0302552077062872</v>
      </c>
      <c r="N273" s="1">
        <f t="shared" si="16"/>
        <v>-50638.045135720633</v>
      </c>
      <c r="O273" s="1">
        <f t="shared" si="17"/>
        <v>-1.5620557465849743</v>
      </c>
      <c r="P273" s="1">
        <f t="shared" si="18"/>
        <v>-0.86225992447807087</v>
      </c>
    </row>
    <row r="274" spans="3:16" x14ac:dyDescent="0.3">
      <c r="C274" s="1">
        <v>267</v>
      </c>
      <c r="E274" s="1">
        <v>6337213.866514612</v>
      </c>
      <c r="F274" s="1">
        <v>448.49502145457922</v>
      </c>
      <c r="G274" s="1">
        <v>5.5514411696471679</v>
      </c>
      <c r="H274" s="1">
        <v>6241419.7165204538</v>
      </c>
      <c r="I274" s="1">
        <v>445.12296037355935</v>
      </c>
      <c r="J274" s="1">
        <v>4.1852835849543677</v>
      </c>
      <c r="N274" s="1">
        <f t="shared" si="16"/>
        <v>-95794.149994158186</v>
      </c>
      <c r="O274" s="1">
        <f t="shared" si="17"/>
        <v>-3.372061081019865</v>
      </c>
      <c r="P274" s="1">
        <f t="shared" si="18"/>
        <v>-1.3661575846928002</v>
      </c>
    </row>
    <row r="275" spans="3:16" x14ac:dyDescent="0.3">
      <c r="C275" s="1">
        <v>268</v>
      </c>
      <c r="E275" s="1">
        <v>6311804.4345719293</v>
      </c>
      <c r="F275" s="1">
        <v>464.68605372604077</v>
      </c>
      <c r="G275" s="1">
        <v>5.3130820674968859</v>
      </c>
      <c r="H275" s="1">
        <v>6250199.7816885179</v>
      </c>
      <c r="I275" s="1">
        <v>461.72229348928158</v>
      </c>
      <c r="J275" s="1">
        <v>3.959910344034987</v>
      </c>
      <c r="N275" s="1">
        <f t="shared" si="16"/>
        <v>-61604.652883411385</v>
      </c>
      <c r="O275" s="1">
        <f t="shared" si="17"/>
        <v>-2.9637602367591853</v>
      </c>
      <c r="P275" s="1">
        <f t="shared" si="18"/>
        <v>-1.353171723461899</v>
      </c>
    </row>
    <row r="276" spans="3:16" x14ac:dyDescent="0.3">
      <c r="C276" s="1">
        <v>269</v>
      </c>
      <c r="E276" s="1">
        <v>6352209.4379422879</v>
      </c>
      <c r="F276" s="1">
        <v>488.203783489503</v>
      </c>
      <c r="G276" s="1">
        <v>4.9938329646982096</v>
      </c>
      <c r="H276" s="1">
        <v>6301418.4896928128</v>
      </c>
      <c r="I276" s="1">
        <v>486.81503291812862</v>
      </c>
      <c r="J276" s="1">
        <v>3.8179665309059541</v>
      </c>
      <c r="N276" s="1">
        <f t="shared" si="16"/>
        <v>-50790.948249475099</v>
      </c>
      <c r="O276" s="1">
        <f t="shared" si="17"/>
        <v>-1.3887505713743735</v>
      </c>
      <c r="P276" s="1">
        <f t="shared" si="18"/>
        <v>-1.1758664337922555</v>
      </c>
    </row>
    <row r="277" spans="3:16" x14ac:dyDescent="0.3">
      <c r="C277" s="1">
        <v>270</v>
      </c>
      <c r="E277" s="1">
        <v>8475141.0845692549</v>
      </c>
      <c r="F277" s="1">
        <v>469.06740156244007</v>
      </c>
      <c r="G277" s="1">
        <v>5.2419119515224377</v>
      </c>
      <c r="H277" s="1">
        <v>8389593.5556648411</v>
      </c>
      <c r="I277" s="1">
        <v>465.86826063522676</v>
      </c>
      <c r="J277" s="1">
        <v>3.6932702367972223</v>
      </c>
      <c r="N277" s="1">
        <f t="shared" si="16"/>
        <v>-85547.528904413804</v>
      </c>
      <c r="O277" s="1">
        <f t="shared" si="17"/>
        <v>-3.1991409272133069</v>
      </c>
      <c r="P277" s="1">
        <f t="shared" si="18"/>
        <v>-1.5486417147252154</v>
      </c>
    </row>
    <row r="278" spans="3:16" x14ac:dyDescent="0.3">
      <c r="C278" s="1">
        <v>271</v>
      </c>
      <c r="E278" s="1">
        <v>6778639.9326277906</v>
      </c>
      <c r="F278" s="1">
        <v>507.13903571960975</v>
      </c>
      <c r="G278" s="1">
        <v>5.2094498057722163</v>
      </c>
      <c r="H278" s="1">
        <v>6658266.2433642922</v>
      </c>
      <c r="I278" s="1">
        <v>500.14272020728725</v>
      </c>
      <c r="J278" s="1">
        <v>3.8147731438569297</v>
      </c>
      <c r="N278" s="1">
        <f t="shared" si="16"/>
        <v>-120373.68926349841</v>
      </c>
      <c r="O278" s="1">
        <f t="shared" si="17"/>
        <v>-6.9963155123224965</v>
      </c>
      <c r="P278" s="1">
        <f t="shared" si="18"/>
        <v>-1.3946766619152866</v>
      </c>
    </row>
    <row r="279" spans="3:16" x14ac:dyDescent="0.3">
      <c r="C279" s="1">
        <v>272</v>
      </c>
      <c r="E279" s="1">
        <v>8378575.3248590715</v>
      </c>
      <c r="F279" s="1">
        <v>478.20866368823192</v>
      </c>
      <c r="G279" s="1">
        <v>4.3132075015774172</v>
      </c>
      <c r="H279" s="1">
        <v>8203876.3635550123</v>
      </c>
      <c r="I279" s="1">
        <v>470.58575011851457</v>
      </c>
      <c r="J279" s="1">
        <v>3.0447465118323995</v>
      </c>
      <c r="N279" s="1">
        <f t="shared" si="16"/>
        <v>-174698.96130405925</v>
      </c>
      <c r="O279" s="1">
        <f t="shared" si="17"/>
        <v>-7.6229135697173547</v>
      </c>
      <c r="P279" s="1">
        <f t="shared" si="18"/>
        <v>-1.2684609897450176</v>
      </c>
    </row>
    <row r="280" spans="3:16" x14ac:dyDescent="0.3">
      <c r="C280" s="1">
        <v>273</v>
      </c>
      <c r="E280" s="1">
        <v>5264882.1129165161</v>
      </c>
      <c r="F280" s="1">
        <v>470.58456031297766</v>
      </c>
      <c r="G280" s="1">
        <v>4.9181848343114449</v>
      </c>
      <c r="H280" s="1">
        <v>5218198.5810961388</v>
      </c>
      <c r="I280" s="1">
        <v>468.88179432569603</v>
      </c>
      <c r="J280" s="1">
        <v>4.0178020983812868</v>
      </c>
      <c r="N280" s="1">
        <f t="shared" si="16"/>
        <v>-46683.531820377335</v>
      </c>
      <c r="O280" s="1">
        <f t="shared" si="17"/>
        <v>-1.702765987281623</v>
      </c>
      <c r="P280" s="1">
        <f t="shared" si="18"/>
        <v>-0.90038273593015816</v>
      </c>
    </row>
    <row r="281" spans="3:16" x14ac:dyDescent="0.3">
      <c r="C281" s="1">
        <v>274</v>
      </c>
      <c r="E281" s="1">
        <v>7867385.2600488421</v>
      </c>
      <c r="F281" s="1">
        <v>509.550382429075</v>
      </c>
      <c r="G281" s="1">
        <v>5.1450797126278696</v>
      </c>
      <c r="H281" s="1">
        <v>7654691.2325925268</v>
      </c>
      <c r="I281" s="1">
        <v>502.02296529870631</v>
      </c>
      <c r="J281" s="1">
        <v>3.5220314545969647</v>
      </c>
      <c r="N281" s="1">
        <f t="shared" si="16"/>
        <v>-212694.02745631523</v>
      </c>
      <c r="O281" s="1">
        <f t="shared" si="17"/>
        <v>-7.5274171303686899</v>
      </c>
      <c r="P281" s="1">
        <f t="shared" si="18"/>
        <v>-1.6230482580309049</v>
      </c>
    </row>
    <row r="282" spans="3:16" x14ac:dyDescent="0.3">
      <c r="C282" s="1">
        <v>275</v>
      </c>
      <c r="E282" s="1">
        <v>8919015.0944249146</v>
      </c>
      <c r="F282" s="1">
        <v>466.62222234584556</v>
      </c>
      <c r="G282" s="1">
        <v>5.0301030334544512</v>
      </c>
      <c r="H282" s="1">
        <v>8754937.706363339</v>
      </c>
      <c r="I282" s="1">
        <v>462.23548405391108</v>
      </c>
      <c r="J282" s="1">
        <v>3.4771980450062419</v>
      </c>
      <c r="N282" s="1">
        <f t="shared" si="16"/>
        <v>-164077.38806157559</v>
      </c>
      <c r="O282" s="1">
        <f t="shared" si="17"/>
        <v>-4.3867382919344777</v>
      </c>
      <c r="P282" s="1">
        <f t="shared" si="18"/>
        <v>-1.5529049884482093</v>
      </c>
    </row>
    <row r="283" spans="3:16" x14ac:dyDescent="0.3">
      <c r="C283" s="1">
        <v>276</v>
      </c>
      <c r="E283" s="1">
        <v>6851322.9801219832</v>
      </c>
      <c r="F283" s="1">
        <v>439.98749533217261</v>
      </c>
      <c r="G283" s="1">
        <v>5.162962920241478</v>
      </c>
      <c r="H283" s="1">
        <v>6754382.8304540683</v>
      </c>
      <c r="I283" s="1">
        <v>436.13282137188611</v>
      </c>
      <c r="J283" s="1">
        <v>3.9277417296578796</v>
      </c>
      <c r="N283" s="1">
        <f t="shared" si="16"/>
        <v>-96940.149667914957</v>
      </c>
      <c r="O283" s="1">
        <f t="shared" si="17"/>
        <v>-3.8546739602865046</v>
      </c>
      <c r="P283" s="1">
        <f t="shared" si="18"/>
        <v>-1.2352211905835984</v>
      </c>
    </row>
    <row r="284" spans="3:16" x14ac:dyDescent="0.3">
      <c r="C284" s="1">
        <v>277</v>
      </c>
      <c r="E284" s="1">
        <v>7454228.2646151436</v>
      </c>
      <c r="F284" s="1">
        <v>458.50246618124675</v>
      </c>
      <c r="G284" s="1">
        <v>6.340513970919992</v>
      </c>
      <c r="H284" s="1">
        <v>7287499.7353739915</v>
      </c>
      <c r="I284" s="1">
        <v>449.35303592256065</v>
      </c>
      <c r="J284" s="1">
        <v>4.5953535035352839</v>
      </c>
      <c r="N284" s="1">
        <f t="shared" si="16"/>
        <v>-166728.52924115211</v>
      </c>
      <c r="O284" s="1">
        <f t="shared" si="17"/>
        <v>-9.1494302586860954</v>
      </c>
      <c r="P284" s="1">
        <f t="shared" si="18"/>
        <v>-1.7451604673847081</v>
      </c>
    </row>
    <row r="285" spans="3:16" x14ac:dyDescent="0.3">
      <c r="C285" s="1">
        <v>278</v>
      </c>
      <c r="E285" s="1">
        <v>6890936.4445844153</v>
      </c>
      <c r="F285" s="1">
        <v>478.84729798259087</v>
      </c>
      <c r="G285" s="1">
        <v>4.2552364141210388</v>
      </c>
      <c r="H285" s="1">
        <v>6781704.3908794206</v>
      </c>
      <c r="I285" s="1">
        <v>474.77820675600373</v>
      </c>
      <c r="J285" s="1">
        <v>3.3799736478765374</v>
      </c>
      <c r="N285" s="1">
        <f t="shared" si="16"/>
        <v>-109232.05370499473</v>
      </c>
      <c r="O285" s="1">
        <f t="shared" si="17"/>
        <v>-4.0690912265871475</v>
      </c>
      <c r="P285" s="1">
        <f t="shared" si="18"/>
        <v>-0.87526276624450139</v>
      </c>
    </row>
    <row r="286" spans="3:16" x14ac:dyDescent="0.3">
      <c r="C286" s="1">
        <v>279</v>
      </c>
      <c r="E286" s="1">
        <v>7347481.1681557195</v>
      </c>
      <c r="F286" s="1">
        <v>505.273474466511</v>
      </c>
      <c r="G286" s="1">
        <v>6.2883642857333406</v>
      </c>
      <c r="H286" s="1">
        <v>7259203.3568223082</v>
      </c>
      <c r="I286" s="1">
        <v>501.04915014237969</v>
      </c>
      <c r="J286" s="1">
        <v>4.8424358660163529</v>
      </c>
      <c r="N286" s="1">
        <f t="shared" si="16"/>
        <v>-88277.811333411373</v>
      </c>
      <c r="O286" s="1">
        <f t="shared" si="17"/>
        <v>-4.2243243241313166</v>
      </c>
      <c r="P286" s="1">
        <f t="shared" si="18"/>
        <v>-1.4459284197169877</v>
      </c>
    </row>
    <row r="287" spans="3:16" x14ac:dyDescent="0.3">
      <c r="C287" s="1">
        <v>280</v>
      </c>
      <c r="E287" s="1">
        <v>9160593.6287073828</v>
      </c>
      <c r="F287" s="1">
        <v>456.03976414595991</v>
      </c>
      <c r="G287" s="1">
        <v>5.3393166268418613</v>
      </c>
      <c r="H287" s="1">
        <v>9035234.9695126265</v>
      </c>
      <c r="I287" s="1">
        <v>451.33099905550722</v>
      </c>
      <c r="J287" s="1">
        <v>4.3839034265966159</v>
      </c>
      <c r="N287" s="1">
        <f t="shared" si="16"/>
        <v>-125358.6591947563</v>
      </c>
      <c r="O287" s="1">
        <f t="shared" si="17"/>
        <v>-4.7087650904526868</v>
      </c>
      <c r="P287" s="1">
        <f t="shared" si="18"/>
        <v>-0.95541320024524534</v>
      </c>
    </row>
    <row r="288" spans="3:16" x14ac:dyDescent="0.3">
      <c r="C288" s="1">
        <v>281</v>
      </c>
      <c r="E288" s="1">
        <v>7586514.9106950164</v>
      </c>
      <c r="F288" s="1">
        <v>449.29101861898636</v>
      </c>
      <c r="G288" s="1">
        <v>4.4089302724724053</v>
      </c>
      <c r="H288" s="1">
        <v>7403184.4356312389</v>
      </c>
      <c r="I288" s="1">
        <v>440.26546690513493</v>
      </c>
      <c r="J288" s="1">
        <v>2.8879801343567779</v>
      </c>
      <c r="N288" s="1">
        <f t="shared" si="16"/>
        <v>-183330.47506377753</v>
      </c>
      <c r="O288" s="1">
        <f t="shared" si="17"/>
        <v>-9.0255517138514278</v>
      </c>
      <c r="P288" s="1">
        <f t="shared" si="18"/>
        <v>-1.5209501381156274</v>
      </c>
    </row>
    <row r="289" spans="3:16" x14ac:dyDescent="0.3">
      <c r="C289" s="1">
        <v>282</v>
      </c>
      <c r="E289" s="1">
        <v>6055447.1024977732</v>
      </c>
      <c r="F289" s="1">
        <v>441.36244520432797</v>
      </c>
      <c r="G289" s="1">
        <v>4.5024732640273282</v>
      </c>
      <c r="H289" s="1">
        <v>5991446.9558112398</v>
      </c>
      <c r="I289" s="1">
        <v>438.32552782269823</v>
      </c>
      <c r="J289" s="1">
        <v>3.4165797488399208</v>
      </c>
      <c r="N289" s="1">
        <f t="shared" si="16"/>
        <v>-64000.146686533466</v>
      </c>
      <c r="O289" s="1">
        <f t="shared" si="17"/>
        <v>-3.0369173816297348</v>
      </c>
      <c r="P289" s="1">
        <f t="shared" si="18"/>
        <v>-1.0858935151874074</v>
      </c>
    </row>
    <row r="290" spans="3:16" x14ac:dyDescent="0.3">
      <c r="C290" s="1">
        <v>283</v>
      </c>
      <c r="E290" s="1">
        <v>5415533.5406441968</v>
      </c>
      <c r="F290" s="1">
        <v>438.56355010883988</v>
      </c>
      <c r="G290" s="1">
        <v>6.7393532752796954</v>
      </c>
      <c r="H290" s="1">
        <v>5345013.8046440044</v>
      </c>
      <c r="I290" s="1">
        <v>436.11483666680112</v>
      </c>
      <c r="J290" s="1">
        <v>5.4809350017616829</v>
      </c>
      <c r="N290" s="1">
        <f t="shared" si="16"/>
        <v>-70519.736000192352</v>
      </c>
      <c r="O290" s="1">
        <f t="shared" si="17"/>
        <v>-2.448713442038752</v>
      </c>
      <c r="P290" s="1">
        <f t="shared" si="18"/>
        <v>-1.2584182735180125</v>
      </c>
    </row>
    <row r="291" spans="3:16" x14ac:dyDescent="0.3">
      <c r="C291" s="1">
        <v>284</v>
      </c>
      <c r="E291" s="1">
        <v>5236149.5786206527</v>
      </c>
      <c r="F291" s="1">
        <v>442.12671346210311</v>
      </c>
      <c r="G291" s="1">
        <v>4.86454865190227</v>
      </c>
      <c r="H291" s="1">
        <v>5172988.4556049611</v>
      </c>
      <c r="I291" s="1">
        <v>438.72652520637939</v>
      </c>
      <c r="J291" s="1">
        <v>3.7522595999969059</v>
      </c>
      <c r="N291" s="1">
        <f t="shared" si="16"/>
        <v>-63161.123015691526</v>
      </c>
      <c r="O291" s="1">
        <f t="shared" si="17"/>
        <v>-3.4001882557237195</v>
      </c>
      <c r="P291" s="1">
        <f t="shared" si="18"/>
        <v>-1.1122890519053641</v>
      </c>
    </row>
    <row r="292" spans="3:16" x14ac:dyDescent="0.3">
      <c r="C292" s="1">
        <v>285</v>
      </c>
      <c r="E292" s="1">
        <v>5057286.8903726647</v>
      </c>
      <c r="F292" s="1">
        <v>436.70410612761168</v>
      </c>
      <c r="G292" s="1">
        <v>5.7406556802847959</v>
      </c>
      <c r="H292" s="1">
        <v>4952811.9451640798</v>
      </c>
      <c r="I292" s="1">
        <v>433.95893639823635</v>
      </c>
      <c r="J292" s="1">
        <v>3.7955913652198516</v>
      </c>
      <c r="N292" s="1">
        <f t="shared" si="16"/>
        <v>-104474.94520858489</v>
      </c>
      <c r="O292" s="1">
        <f t="shared" si="17"/>
        <v>-2.7451697293753341</v>
      </c>
      <c r="P292" s="1">
        <f t="shared" si="18"/>
        <v>-1.9450643150649443</v>
      </c>
    </row>
    <row r="293" spans="3:16" x14ac:dyDescent="0.3">
      <c r="C293" s="1">
        <v>286</v>
      </c>
      <c r="E293" s="1">
        <v>7472271.7557872422</v>
      </c>
      <c r="F293" s="1">
        <v>494.69997215543901</v>
      </c>
      <c r="G293" s="1">
        <v>4.5233888502776169</v>
      </c>
      <c r="H293" s="1">
        <v>7300834.8038624395</v>
      </c>
      <c r="I293" s="1">
        <v>488.26695520248603</v>
      </c>
      <c r="J293" s="1">
        <v>3.2377890384255905</v>
      </c>
      <c r="N293" s="1">
        <f t="shared" si="16"/>
        <v>-171436.95192480274</v>
      </c>
      <c r="O293" s="1">
        <f t="shared" si="17"/>
        <v>-6.4330169529529826</v>
      </c>
      <c r="P293" s="1">
        <f t="shared" si="18"/>
        <v>-1.2855998118520264</v>
      </c>
    </row>
    <row r="294" spans="3:16" x14ac:dyDescent="0.3">
      <c r="C294" s="1">
        <v>287</v>
      </c>
      <c r="E294" s="1">
        <v>6709697.4128255863</v>
      </c>
      <c r="F294" s="1">
        <v>472.97542812701494</v>
      </c>
      <c r="G294" s="1">
        <v>4.4062311366813409</v>
      </c>
      <c r="H294" s="1">
        <v>6612270.5654125726</v>
      </c>
      <c r="I294" s="1">
        <v>468.79837282811189</v>
      </c>
      <c r="J294" s="1">
        <v>2.8580711416389191</v>
      </c>
      <c r="N294" s="1">
        <f t="shared" si="16"/>
        <v>-97426.847413013689</v>
      </c>
      <c r="O294" s="1">
        <f t="shared" si="17"/>
        <v>-4.1770552989030421</v>
      </c>
      <c r="P294" s="1">
        <f t="shared" si="18"/>
        <v>-1.5481599950424219</v>
      </c>
    </row>
    <row r="295" spans="3:16" x14ac:dyDescent="0.3">
      <c r="C295" s="1">
        <v>288</v>
      </c>
      <c r="E295" s="1">
        <v>7880043.1256470196</v>
      </c>
      <c r="F295" s="1">
        <v>466.20926669382391</v>
      </c>
      <c r="G295" s="1">
        <v>4.5331177827284268</v>
      </c>
      <c r="H295" s="1">
        <v>7801228.230447649</v>
      </c>
      <c r="I295" s="1">
        <v>462.74895114444615</v>
      </c>
      <c r="J295" s="1">
        <v>3.6435322187995829</v>
      </c>
      <c r="N295" s="1">
        <f t="shared" si="16"/>
        <v>-78814.89519937057</v>
      </c>
      <c r="O295" s="1">
        <f t="shared" si="17"/>
        <v>-3.4603155493777535</v>
      </c>
      <c r="P295" s="1">
        <f t="shared" si="18"/>
        <v>-0.88958556392884391</v>
      </c>
    </row>
    <row r="296" spans="3:16" x14ac:dyDescent="0.3">
      <c r="C296" s="1">
        <v>289</v>
      </c>
      <c r="E296" s="1">
        <v>8190768.3214705</v>
      </c>
      <c r="F296" s="1">
        <v>438.78297408653719</v>
      </c>
      <c r="G296" s="1">
        <v>5.2669830510310014</v>
      </c>
      <c r="H296" s="1">
        <v>8132512.2003566101</v>
      </c>
      <c r="I296" s="1">
        <v>436.97163796183258</v>
      </c>
      <c r="J296" s="1">
        <v>4.2548241161627969</v>
      </c>
      <c r="N296" s="1">
        <f t="shared" si="16"/>
        <v>-58256.121113889851</v>
      </c>
      <c r="O296" s="1">
        <f t="shared" si="17"/>
        <v>-1.81133612470461</v>
      </c>
      <c r="P296" s="1">
        <f t="shared" si="18"/>
        <v>-1.0121589348682045</v>
      </c>
    </row>
    <row r="297" spans="3:16" x14ac:dyDescent="0.3">
      <c r="C297" s="1">
        <v>290</v>
      </c>
      <c r="E297" s="1">
        <v>8017395.0337882843</v>
      </c>
      <c r="F297" s="1">
        <v>492.63473183929847</v>
      </c>
      <c r="G297" s="1">
        <v>5.8325333076550994</v>
      </c>
      <c r="H297" s="1">
        <v>7923511.1168485489</v>
      </c>
      <c r="I297" s="1">
        <v>488.94522351869506</v>
      </c>
      <c r="J297" s="1">
        <v>4.9083212486244179</v>
      </c>
      <c r="N297" s="1">
        <f t="shared" si="16"/>
        <v>-93883.916939735413</v>
      </c>
      <c r="O297" s="1">
        <f t="shared" si="17"/>
        <v>-3.6895083206034087</v>
      </c>
      <c r="P297" s="1">
        <f t="shared" si="18"/>
        <v>-0.92421205903068149</v>
      </c>
    </row>
    <row r="298" spans="3:16" x14ac:dyDescent="0.3">
      <c r="C298" s="1">
        <v>291</v>
      </c>
      <c r="E298" s="1">
        <v>10821539.67585462</v>
      </c>
      <c r="F298" s="1">
        <v>464.88309642846889</v>
      </c>
      <c r="G298" s="1">
        <v>5.4221327061842919</v>
      </c>
      <c r="H298" s="1">
        <v>10703331.595944457</v>
      </c>
      <c r="I298" s="1">
        <v>461.60192088423503</v>
      </c>
      <c r="J298" s="1">
        <v>4.2994424632135066</v>
      </c>
      <c r="N298" s="1">
        <f t="shared" si="16"/>
        <v>-118208.07991016284</v>
      </c>
      <c r="O298" s="1">
        <f t="shared" si="17"/>
        <v>-3.2811755442338608</v>
      </c>
      <c r="P298" s="1">
        <f t="shared" si="18"/>
        <v>-1.1226902429707852</v>
      </c>
    </row>
    <row r="299" spans="3:16" x14ac:dyDescent="0.3">
      <c r="C299" s="1">
        <v>292</v>
      </c>
      <c r="E299" s="1">
        <v>8668038.787338119</v>
      </c>
      <c r="F299" s="1">
        <v>435.4654354319419</v>
      </c>
      <c r="G299" s="1">
        <v>3.7675749897141966</v>
      </c>
      <c r="H299" s="1">
        <v>8578797.6086544469</v>
      </c>
      <c r="I299" s="1">
        <v>432.29887659705258</v>
      </c>
      <c r="J299" s="1">
        <v>2.7527244637292956</v>
      </c>
      <c r="N299" s="1">
        <f t="shared" si="16"/>
        <v>-89241.1786836721</v>
      </c>
      <c r="O299" s="1">
        <f t="shared" si="17"/>
        <v>-3.1665588348893152</v>
      </c>
      <c r="P299" s="1">
        <f t="shared" si="18"/>
        <v>-1.014850525984901</v>
      </c>
    </row>
    <row r="300" spans="3:16" x14ac:dyDescent="0.3">
      <c r="C300" s="1">
        <v>293</v>
      </c>
      <c r="E300" s="1">
        <v>5849860.5364490626</v>
      </c>
      <c r="F300" s="1">
        <v>483.81276839479835</v>
      </c>
      <c r="G300" s="1">
        <v>5.8112363266700733</v>
      </c>
      <c r="H300" s="1">
        <v>5819319.3105197875</v>
      </c>
      <c r="I300" s="1">
        <v>482.73297877145689</v>
      </c>
      <c r="J300" s="1">
        <v>5.1433521877125408</v>
      </c>
      <c r="N300" s="1">
        <f t="shared" si="16"/>
        <v>-30541.225929275155</v>
      </c>
      <c r="O300" s="1">
        <f t="shared" si="17"/>
        <v>-1.079789623341469</v>
      </c>
      <c r="P300" s="1">
        <f t="shared" si="18"/>
        <v>-0.66788413895753251</v>
      </c>
    </row>
    <row r="301" spans="3:16" x14ac:dyDescent="0.3">
      <c r="C301" s="1">
        <v>294</v>
      </c>
      <c r="E301" s="1">
        <v>7911359.4498948324</v>
      </c>
      <c r="F301" s="1">
        <v>470.96991381057205</v>
      </c>
      <c r="G301" s="1">
        <v>4.4060376004528621</v>
      </c>
      <c r="H301" s="1">
        <v>7826901.1139478898</v>
      </c>
      <c r="I301" s="1">
        <v>467.45053533111502</v>
      </c>
      <c r="J301" s="1">
        <v>3.3545756375004401</v>
      </c>
      <c r="N301" s="1">
        <f t="shared" si="16"/>
        <v>-84458.33594694268</v>
      </c>
      <c r="O301" s="1">
        <f t="shared" si="17"/>
        <v>-3.519378479457032</v>
      </c>
      <c r="P301" s="1">
        <f t="shared" si="18"/>
        <v>-1.051461962952422</v>
      </c>
    </row>
    <row r="302" spans="3:16" x14ac:dyDescent="0.3">
      <c r="C302" s="1">
        <v>295</v>
      </c>
      <c r="E302" s="1">
        <v>6086066.5344427004</v>
      </c>
      <c r="F302" s="1">
        <v>488.52966478041873</v>
      </c>
      <c r="G302" s="1">
        <v>6.0999080236428336</v>
      </c>
      <c r="H302" s="1">
        <v>6011526.2567640189</v>
      </c>
      <c r="I302" s="1">
        <v>486.41238659668716</v>
      </c>
      <c r="J302" s="1">
        <v>4.8877663819007999</v>
      </c>
      <c r="N302" s="1">
        <f t="shared" si="16"/>
        <v>-74540.277678681538</v>
      </c>
      <c r="O302" s="1">
        <f t="shared" si="17"/>
        <v>-2.1172781837315711</v>
      </c>
      <c r="P302" s="1">
        <f t="shared" si="18"/>
        <v>-1.2121416417420336</v>
      </c>
    </row>
    <row r="303" spans="3:16" x14ac:dyDescent="0.3">
      <c r="C303" s="1">
        <v>296</v>
      </c>
      <c r="E303" s="1">
        <v>7793534.0372446217</v>
      </c>
      <c r="F303" s="1">
        <v>461.37755131184093</v>
      </c>
      <c r="G303" s="1">
        <v>4.7310513958291356</v>
      </c>
      <c r="H303" s="1">
        <v>7699982.1918462077</v>
      </c>
      <c r="I303" s="1">
        <v>457.34058008278413</v>
      </c>
      <c r="J303" s="1">
        <v>3.7958055515074727</v>
      </c>
      <c r="N303" s="1">
        <f t="shared" si="16"/>
        <v>-93551.845398413949</v>
      </c>
      <c r="O303" s="1">
        <f t="shared" si="17"/>
        <v>-4.0369712290568032</v>
      </c>
      <c r="P303" s="1">
        <f t="shared" si="18"/>
        <v>-0.93524584432166291</v>
      </c>
    </row>
    <row r="304" spans="3:16" x14ac:dyDescent="0.3">
      <c r="C304" s="1">
        <v>297</v>
      </c>
      <c r="E304" s="1">
        <v>8639498.8330132551</v>
      </c>
      <c r="F304" s="1">
        <v>482.89361209464766</v>
      </c>
      <c r="G304" s="1">
        <v>5.3492364870968121</v>
      </c>
      <c r="H304" s="1">
        <v>8446840.9828185961</v>
      </c>
      <c r="I304" s="1">
        <v>476.09897748512714</v>
      </c>
      <c r="J304" s="1">
        <v>3.9043331687415765</v>
      </c>
      <c r="N304" s="1">
        <f t="shared" si="16"/>
        <v>-192657.85019465908</v>
      </c>
      <c r="O304" s="1">
        <f t="shared" si="17"/>
        <v>-6.7946346095205286</v>
      </c>
      <c r="P304" s="1">
        <f t="shared" si="18"/>
        <v>-1.4449033183552356</v>
      </c>
    </row>
    <row r="305" spans="3:16" x14ac:dyDescent="0.3">
      <c r="C305" s="1">
        <v>298</v>
      </c>
      <c r="E305" s="1">
        <v>9670795.0116041079</v>
      </c>
      <c r="F305" s="1">
        <v>463.61525740417358</v>
      </c>
      <c r="G305" s="1">
        <v>5.0357213692208314</v>
      </c>
      <c r="H305" s="1">
        <v>9571089.4279071223</v>
      </c>
      <c r="I305" s="1">
        <v>460.62313383489908</v>
      </c>
      <c r="J305" s="1">
        <v>4.1000734131142345</v>
      </c>
      <c r="N305" s="1">
        <f t="shared" si="16"/>
        <v>-99705.583696985617</v>
      </c>
      <c r="O305" s="1">
        <f t="shared" si="17"/>
        <v>-2.9921235692744972</v>
      </c>
      <c r="P305" s="1">
        <f t="shared" si="18"/>
        <v>-0.9356479561065969</v>
      </c>
    </row>
    <row r="306" spans="3:16" x14ac:dyDescent="0.3">
      <c r="C306" s="1">
        <v>299</v>
      </c>
      <c r="E306" s="1">
        <v>5509868.2247874709</v>
      </c>
      <c r="F306" s="1">
        <v>446.18273567852304</v>
      </c>
      <c r="G306" s="1">
        <v>5.4242605752244311</v>
      </c>
      <c r="H306" s="1">
        <v>5422698.8454214893</v>
      </c>
      <c r="I306" s="1">
        <v>443.35000654683279</v>
      </c>
      <c r="J306" s="1">
        <v>3.7241858194404296</v>
      </c>
      <c r="N306" s="1">
        <f t="shared" si="16"/>
        <v>-87169.379365981556</v>
      </c>
      <c r="O306" s="1">
        <f t="shared" si="17"/>
        <v>-2.8327291316902574</v>
      </c>
      <c r="P306" s="1">
        <f t="shared" si="18"/>
        <v>-1.7000747557840015</v>
      </c>
    </row>
    <row r="307" spans="3:16" x14ac:dyDescent="0.3">
      <c r="C307" s="1">
        <v>300</v>
      </c>
      <c r="E307" s="1">
        <v>6272902.2441512598</v>
      </c>
      <c r="F307" s="1">
        <v>450.16616384480119</v>
      </c>
      <c r="G307" s="1">
        <v>6.4560944269039426</v>
      </c>
      <c r="H307" s="1">
        <v>6142909.0134043554</v>
      </c>
      <c r="I307" s="1">
        <v>444.72572061048902</v>
      </c>
      <c r="J307" s="1">
        <v>4.9020965195958555</v>
      </c>
      <c r="N307" s="1">
        <f t="shared" si="16"/>
        <v>-129993.23074690439</v>
      </c>
      <c r="O307" s="1">
        <f t="shared" si="17"/>
        <v>-5.4404432343121698</v>
      </c>
      <c r="P307" s="1">
        <f t="shared" si="18"/>
        <v>-1.5539979073080872</v>
      </c>
    </row>
    <row r="308" spans="3:16" x14ac:dyDescent="0.3">
      <c r="C308" s="1">
        <v>301</v>
      </c>
      <c r="E308" s="1">
        <v>7862217.7023933521</v>
      </c>
      <c r="F308" s="1">
        <v>488.73060630142044</v>
      </c>
      <c r="G308" s="1">
        <v>5.3459564109120468</v>
      </c>
      <c r="H308" s="1">
        <v>7755411.1254657451</v>
      </c>
      <c r="I308" s="1">
        <v>484.96215530850139</v>
      </c>
      <c r="J308" s="1">
        <v>3.781450176199848</v>
      </c>
      <c r="N308" s="1">
        <f t="shared" si="16"/>
        <v>-106806.57692760695</v>
      </c>
      <c r="O308" s="1">
        <f t="shared" si="17"/>
        <v>-3.7684509929190426</v>
      </c>
      <c r="P308" s="1">
        <f t="shared" si="18"/>
        <v>-1.5645062347121987</v>
      </c>
    </row>
    <row r="309" spans="3:16" x14ac:dyDescent="0.3">
      <c r="C309" s="1">
        <v>302</v>
      </c>
      <c r="E309" s="1">
        <v>7379302.1023217421</v>
      </c>
      <c r="F309" s="1">
        <v>479.18517475495446</v>
      </c>
      <c r="G309" s="1">
        <v>5.8855889818670413</v>
      </c>
      <c r="H309" s="1">
        <v>7285973.3467853162</v>
      </c>
      <c r="I309" s="1">
        <v>475.86014545829619</v>
      </c>
      <c r="J309" s="1">
        <v>4.2559534071256788</v>
      </c>
      <c r="N309" s="1">
        <f t="shared" si="16"/>
        <v>-93328.755536425859</v>
      </c>
      <c r="O309" s="1">
        <f t="shared" si="17"/>
        <v>-3.325029296658272</v>
      </c>
      <c r="P309" s="1">
        <f t="shared" si="18"/>
        <v>-1.6296355747413624</v>
      </c>
    </row>
    <row r="310" spans="3:16" x14ac:dyDescent="0.3">
      <c r="C310" s="1">
        <v>303</v>
      </c>
      <c r="E310" s="1">
        <v>7928804.4095179765</v>
      </c>
      <c r="F310" s="1">
        <v>484.51152883289194</v>
      </c>
      <c r="G310" s="1">
        <v>5.8664094611040065</v>
      </c>
      <c r="H310" s="1">
        <v>7801199.9828173118</v>
      </c>
      <c r="I310" s="1">
        <v>479.2062160712087</v>
      </c>
      <c r="J310" s="1">
        <v>4.0023838471830748</v>
      </c>
      <c r="N310" s="1">
        <f t="shared" si="16"/>
        <v>-127604.42670066468</v>
      </c>
      <c r="O310" s="1">
        <f t="shared" si="17"/>
        <v>-5.3053127616832398</v>
      </c>
      <c r="P310" s="1">
        <f t="shared" si="18"/>
        <v>-1.8640256139209317</v>
      </c>
    </row>
    <row r="311" spans="3:16" x14ac:dyDescent="0.3">
      <c r="C311" s="1">
        <v>304</v>
      </c>
      <c r="E311" s="1">
        <v>5877701.6167983059</v>
      </c>
      <c r="F311" s="1">
        <v>445.65732941882521</v>
      </c>
      <c r="G311" s="1">
        <v>3.8527537088043018</v>
      </c>
      <c r="H311" s="1">
        <v>5814090.0303586582</v>
      </c>
      <c r="I311" s="1">
        <v>442.1799792664051</v>
      </c>
      <c r="J311" s="1">
        <v>2.9109741191765828</v>
      </c>
      <c r="N311" s="1">
        <f t="shared" si="16"/>
        <v>-63611.586439647712</v>
      </c>
      <c r="O311" s="1">
        <f t="shared" si="17"/>
        <v>-3.4773501524201151</v>
      </c>
      <c r="P311" s="1">
        <f t="shared" si="18"/>
        <v>-0.94177958962771902</v>
      </c>
    </row>
    <row r="312" spans="3:16" x14ac:dyDescent="0.3">
      <c r="C312" s="1">
        <v>305</v>
      </c>
      <c r="E312" s="1">
        <v>10286442.72471294</v>
      </c>
      <c r="F312" s="1">
        <v>494.49116527289982</v>
      </c>
      <c r="G312" s="1">
        <v>5.0890053101192878</v>
      </c>
      <c r="H312" s="1">
        <v>10248884.245365335</v>
      </c>
      <c r="I312" s="1">
        <v>493.04557655851522</v>
      </c>
      <c r="J312" s="1">
        <v>4.8596546052969387</v>
      </c>
      <c r="N312" s="1">
        <f t="shared" si="16"/>
        <v>-37558.479347605258</v>
      </c>
      <c r="O312" s="1">
        <f t="shared" si="17"/>
        <v>-1.4455887143845985</v>
      </c>
      <c r="P312" s="1">
        <f t="shared" si="18"/>
        <v>-0.22935070482234909</v>
      </c>
    </row>
    <row r="313" spans="3:16" x14ac:dyDescent="0.3">
      <c r="C313" s="1">
        <v>306</v>
      </c>
      <c r="E313" s="1">
        <v>8477476.7703238148</v>
      </c>
      <c r="F313" s="1">
        <v>483.70554751885237</v>
      </c>
      <c r="G313" s="1">
        <v>5.6929973427954543</v>
      </c>
      <c r="H313" s="1">
        <v>8227100.7805620451</v>
      </c>
      <c r="I313" s="1">
        <v>476.09099154488928</v>
      </c>
      <c r="J313" s="1">
        <v>3.8299118461306567</v>
      </c>
      <c r="N313" s="1">
        <f t="shared" si="16"/>
        <v>-250375.98976176977</v>
      </c>
      <c r="O313" s="1">
        <f t="shared" si="17"/>
        <v>-7.6145559739630926</v>
      </c>
      <c r="P313" s="1">
        <f t="shared" si="18"/>
        <v>-1.8630854966647976</v>
      </c>
    </row>
    <row r="314" spans="3:16" x14ac:dyDescent="0.3">
      <c r="C314" s="1">
        <v>307</v>
      </c>
      <c r="E314" s="1">
        <v>5667475.2553934753</v>
      </c>
      <c r="F314" s="1">
        <v>435.5609555012627</v>
      </c>
      <c r="G314" s="1">
        <v>5.3653637087822377</v>
      </c>
      <c r="H314" s="1">
        <v>5547954.3423777353</v>
      </c>
      <c r="I314" s="1">
        <v>431.13730306173312</v>
      </c>
      <c r="J314" s="1">
        <v>3.7877906595490747</v>
      </c>
      <c r="N314" s="1">
        <f t="shared" si="16"/>
        <v>-119520.91301573999</v>
      </c>
      <c r="O314" s="1">
        <f t="shared" si="17"/>
        <v>-4.423652439529576</v>
      </c>
      <c r="P314" s="1">
        <f t="shared" si="18"/>
        <v>-1.577573049233163</v>
      </c>
    </row>
    <row r="315" spans="3:16" x14ac:dyDescent="0.3">
      <c r="C315" s="1">
        <v>308</v>
      </c>
      <c r="E315" s="1">
        <v>6521274.5969956946</v>
      </c>
      <c r="F315" s="1">
        <v>461.25763909729454</v>
      </c>
      <c r="G315" s="1">
        <v>5.4366624011079852</v>
      </c>
      <c r="H315" s="1">
        <v>6450891.4408762176</v>
      </c>
      <c r="I315" s="1">
        <v>458.76017055929833</v>
      </c>
      <c r="J315" s="1">
        <v>4.4680828981830727</v>
      </c>
      <c r="N315" s="1">
        <f t="shared" si="16"/>
        <v>-70383.156119477004</v>
      </c>
      <c r="O315" s="1">
        <f t="shared" si="17"/>
        <v>-2.4974685379962125</v>
      </c>
      <c r="P315" s="1">
        <f t="shared" si="18"/>
        <v>-0.96857950292491246</v>
      </c>
    </row>
    <row r="316" spans="3:16" x14ac:dyDescent="0.3">
      <c r="C316" s="1">
        <v>309</v>
      </c>
      <c r="E316" s="1">
        <v>8222077.4925279273</v>
      </c>
      <c r="F316" s="1">
        <v>443.95398260757918</v>
      </c>
      <c r="G316" s="1">
        <v>5.8849898290075018</v>
      </c>
      <c r="H316" s="1">
        <v>8035293.7573524024</v>
      </c>
      <c r="I316" s="1">
        <v>436.10374986064824</v>
      </c>
      <c r="J316" s="1">
        <v>4.0931252925725969</v>
      </c>
      <c r="N316" s="1">
        <f t="shared" si="16"/>
        <v>-186783.73517552484</v>
      </c>
      <c r="O316" s="1">
        <f t="shared" si="17"/>
        <v>-7.8502327469309421</v>
      </c>
      <c r="P316" s="1">
        <f t="shared" si="18"/>
        <v>-1.7918645364349048</v>
      </c>
    </row>
    <row r="317" spans="3:16" x14ac:dyDescent="0.3">
      <c r="C317" s="1">
        <v>310</v>
      </c>
      <c r="E317" s="1">
        <v>6623860.8055855986</v>
      </c>
      <c r="F317" s="1">
        <v>440.58358944800267</v>
      </c>
      <c r="G317" s="1">
        <v>5.0069802689192251</v>
      </c>
      <c r="H317" s="1">
        <v>6514748.1044056015</v>
      </c>
      <c r="I317" s="1">
        <v>436.88223439236276</v>
      </c>
      <c r="J317" s="1">
        <v>3.5706021332220663</v>
      </c>
      <c r="N317" s="1">
        <f t="shared" si="16"/>
        <v>-109112.70117999706</v>
      </c>
      <c r="O317" s="1">
        <f t="shared" si="17"/>
        <v>-3.7013550556399082</v>
      </c>
      <c r="P317" s="1">
        <f t="shared" si="18"/>
        <v>-1.4363781356971588</v>
      </c>
    </row>
    <row r="318" spans="3:16" x14ac:dyDescent="0.3">
      <c r="C318" s="1">
        <v>311</v>
      </c>
      <c r="E318" s="1">
        <v>6040225.0210645534</v>
      </c>
      <c r="F318" s="1">
        <v>476.18571240228204</v>
      </c>
      <c r="G318" s="1">
        <v>8.2043370638779383</v>
      </c>
      <c r="H318" s="1">
        <v>5913631.2595372209</v>
      </c>
      <c r="I318" s="1">
        <v>471.48305858838768</v>
      </c>
      <c r="J318" s="1">
        <v>5.8456213989559567</v>
      </c>
      <c r="N318" s="1">
        <f t="shared" si="16"/>
        <v>-126593.76152733248</v>
      </c>
      <c r="O318" s="1">
        <f t="shared" si="17"/>
        <v>-4.7026538138943579</v>
      </c>
      <c r="P318" s="1">
        <f t="shared" si="18"/>
        <v>-2.3587156649219816</v>
      </c>
    </row>
    <row r="319" spans="3:16" x14ac:dyDescent="0.3">
      <c r="C319" s="1">
        <v>312</v>
      </c>
      <c r="E319" s="1">
        <v>6519872.8359299991</v>
      </c>
      <c r="F319" s="1">
        <v>477.38271931710085</v>
      </c>
      <c r="G319" s="1">
        <v>6.0958884617180953</v>
      </c>
      <c r="H319" s="1">
        <v>6457327.2419387707</v>
      </c>
      <c r="I319" s="1">
        <v>474.88022753372962</v>
      </c>
      <c r="J319" s="1">
        <v>4.9168570173800674</v>
      </c>
      <c r="N319" s="1">
        <f t="shared" si="16"/>
        <v>-62545.593991228379</v>
      </c>
      <c r="O319" s="1">
        <f t="shared" si="17"/>
        <v>-2.5024917833712266</v>
      </c>
      <c r="P319" s="1">
        <f t="shared" si="18"/>
        <v>-1.1790314443380279</v>
      </c>
    </row>
    <row r="320" spans="3:16" x14ac:dyDescent="0.3">
      <c r="C320" s="1">
        <v>313</v>
      </c>
      <c r="E320" s="1">
        <v>8215425.7953777201</v>
      </c>
      <c r="F320" s="1">
        <v>474.38548173166828</v>
      </c>
      <c r="G320" s="1">
        <v>5.7562740831406094</v>
      </c>
      <c r="H320" s="1">
        <v>8085948.5958893318</v>
      </c>
      <c r="I320" s="1">
        <v>470.43149949508461</v>
      </c>
      <c r="J320" s="1">
        <v>4.6226021638435721</v>
      </c>
      <c r="N320" s="1">
        <f t="shared" si="16"/>
        <v>-129477.19948838837</v>
      </c>
      <c r="O320" s="1">
        <f t="shared" si="17"/>
        <v>-3.9539822365836699</v>
      </c>
      <c r="P320" s="1">
        <f t="shared" si="18"/>
        <v>-1.1336719192970373</v>
      </c>
    </row>
    <row r="321" spans="3:16" x14ac:dyDescent="0.3">
      <c r="C321" s="1">
        <v>314</v>
      </c>
      <c r="E321" s="1">
        <v>6145390.9000422908</v>
      </c>
      <c r="F321" s="1">
        <v>484.30090001349618</v>
      </c>
      <c r="G321" s="1">
        <v>6.1164427455038028</v>
      </c>
      <c r="H321" s="1">
        <v>6014590.1842199415</v>
      </c>
      <c r="I321" s="1">
        <v>480.56119269681039</v>
      </c>
      <c r="J321" s="1">
        <v>4.4656433181100743</v>
      </c>
      <c r="N321" s="1">
        <f t="shared" si="16"/>
        <v>-130800.7158223493</v>
      </c>
      <c r="O321" s="1">
        <f t="shared" si="17"/>
        <v>-3.7397073166857808</v>
      </c>
      <c r="P321" s="1">
        <f t="shared" si="18"/>
        <v>-1.6507994273937285</v>
      </c>
    </row>
    <row r="322" spans="3:16" x14ac:dyDescent="0.3">
      <c r="C322" s="1">
        <v>315</v>
      </c>
      <c r="E322" s="1">
        <v>6785157.8871588688</v>
      </c>
      <c r="F322" s="1">
        <v>478.79749226408865</v>
      </c>
      <c r="G322" s="1">
        <v>5.2430225839512303</v>
      </c>
      <c r="H322" s="1">
        <v>6662168.0504072737</v>
      </c>
      <c r="I322" s="1">
        <v>475.53196386409951</v>
      </c>
      <c r="J322" s="1">
        <v>3.7084778820056954</v>
      </c>
      <c r="N322" s="1">
        <f t="shared" si="16"/>
        <v>-122989.83675159514</v>
      </c>
      <c r="O322" s="1">
        <f t="shared" si="17"/>
        <v>-3.2655283999891367</v>
      </c>
      <c r="P322" s="1">
        <f t="shared" si="18"/>
        <v>-1.5345447019455349</v>
      </c>
    </row>
    <row r="323" spans="3:16" x14ac:dyDescent="0.3">
      <c r="C323" s="1">
        <v>316</v>
      </c>
      <c r="E323" s="1">
        <v>8310455.9863780495</v>
      </c>
      <c r="F323" s="1">
        <v>469.98530557530154</v>
      </c>
      <c r="G323" s="1">
        <v>5.3206812499384606</v>
      </c>
      <c r="H323" s="1">
        <v>8150034.8431515861</v>
      </c>
      <c r="I323" s="1">
        <v>462.89689923678014</v>
      </c>
      <c r="J323" s="1">
        <v>3.3639112174990533</v>
      </c>
      <c r="N323" s="1">
        <f t="shared" si="16"/>
        <v>-160421.14322646335</v>
      </c>
      <c r="O323" s="1">
        <f t="shared" si="17"/>
        <v>-7.0884063385213949</v>
      </c>
      <c r="P323" s="1">
        <f t="shared" si="18"/>
        <v>-1.9567700324394073</v>
      </c>
    </row>
    <row r="324" spans="3:16" x14ac:dyDescent="0.3">
      <c r="C324" s="1">
        <v>317</v>
      </c>
      <c r="E324" s="1">
        <v>7886049.7083413238</v>
      </c>
      <c r="F324" s="1">
        <v>481.61119906229038</v>
      </c>
      <c r="G324" s="1">
        <v>3.4445760838922785</v>
      </c>
      <c r="H324" s="1">
        <v>7822168.6132591339</v>
      </c>
      <c r="I324" s="1">
        <v>479.31067943000619</v>
      </c>
      <c r="J324" s="1">
        <v>3.0480641895071856</v>
      </c>
      <c r="N324" s="1">
        <f t="shared" si="16"/>
        <v>-63881.095082189888</v>
      </c>
      <c r="O324" s="1">
        <f t="shared" si="17"/>
        <v>-2.3005196322841925</v>
      </c>
      <c r="P324" s="1">
        <f t="shared" si="18"/>
        <v>-0.39651189438509293</v>
      </c>
    </row>
    <row r="325" spans="3:16" x14ac:dyDescent="0.3">
      <c r="C325" s="1">
        <v>318</v>
      </c>
      <c r="E325" s="1">
        <v>8579844.9216171447</v>
      </c>
      <c r="F325" s="1">
        <v>496.61044498057817</v>
      </c>
      <c r="G325" s="1">
        <v>3.8971797489310616</v>
      </c>
      <c r="H325" s="1">
        <v>8412640.8781359158</v>
      </c>
      <c r="I325" s="1">
        <v>489.14889607941058</v>
      </c>
      <c r="J325" s="1">
        <v>2.6620650792256573</v>
      </c>
      <c r="N325" s="1">
        <f t="shared" si="16"/>
        <v>-167204.04348122887</v>
      </c>
      <c r="O325" s="1">
        <f t="shared" si="17"/>
        <v>-7.4615489011675891</v>
      </c>
      <c r="P325" s="1">
        <f t="shared" si="18"/>
        <v>-1.2351146697054043</v>
      </c>
    </row>
    <row r="326" spans="3:16" x14ac:dyDescent="0.3">
      <c r="C326" s="1">
        <v>319</v>
      </c>
      <c r="E326" s="1">
        <v>7607589.9300963962</v>
      </c>
      <c r="F326" s="1">
        <v>452.2461170349689</v>
      </c>
      <c r="G326" s="1">
        <v>4.9495756184523216</v>
      </c>
      <c r="H326" s="1">
        <v>7470571.2452329863</v>
      </c>
      <c r="I326" s="1">
        <v>446.909261276461</v>
      </c>
      <c r="J326" s="1">
        <v>3.6682511800754281</v>
      </c>
      <c r="N326" s="1">
        <f t="shared" si="16"/>
        <v>-137018.68486340996</v>
      </c>
      <c r="O326" s="1">
        <f t="shared" si="17"/>
        <v>-5.3368557585079088</v>
      </c>
      <c r="P326" s="1">
        <f t="shared" si="18"/>
        <v>-1.2813244383768936</v>
      </c>
    </row>
    <row r="327" spans="3:16" x14ac:dyDescent="0.3">
      <c r="C327" s="1">
        <v>320</v>
      </c>
      <c r="E327" s="1">
        <v>7633725.8809470963</v>
      </c>
      <c r="F327" s="1">
        <v>457.04113620252673</v>
      </c>
      <c r="G327" s="1">
        <v>5.1475754505882581</v>
      </c>
      <c r="H327" s="1">
        <v>7513459.6991108032</v>
      </c>
      <c r="I327" s="1">
        <v>452.52302067596838</v>
      </c>
      <c r="J327" s="1">
        <v>3.6537798802227131</v>
      </c>
      <c r="N327" s="1">
        <f t="shared" ref="N327:N390" si="19">IF(LEN($C327)&gt;0,H327-E327,"")</f>
        <v>-120266.18183629308</v>
      </c>
      <c r="O327" s="1">
        <f t="shared" ref="O327:O390" si="20">IF(LEN($C327)&gt;0,I327-F327,"")</f>
        <v>-4.518115526558347</v>
      </c>
      <c r="P327" s="1">
        <f t="shared" ref="P327:P390" si="21">IF(LEN($C327)&gt;0,J327-G327,"")</f>
        <v>-1.493795570365545</v>
      </c>
    </row>
    <row r="328" spans="3:16" x14ac:dyDescent="0.3">
      <c r="C328" s="1">
        <v>321</v>
      </c>
      <c r="E328" s="1">
        <v>8744640.3746225387</v>
      </c>
      <c r="F328" s="1">
        <v>497.56833015140722</v>
      </c>
      <c r="G328" s="1">
        <v>4.1730685257576638</v>
      </c>
      <c r="H328" s="1">
        <v>8624855.9394381065</v>
      </c>
      <c r="I328" s="1">
        <v>492.79775046133977</v>
      </c>
      <c r="J328" s="1">
        <v>2.7719488914159935</v>
      </c>
      <c r="N328" s="1">
        <f t="shared" si="19"/>
        <v>-119784.43518443219</v>
      </c>
      <c r="O328" s="1">
        <f t="shared" si="20"/>
        <v>-4.77057969006745</v>
      </c>
      <c r="P328" s="1">
        <f t="shared" si="21"/>
        <v>-1.4011196343416703</v>
      </c>
    </row>
    <row r="329" spans="3:16" x14ac:dyDescent="0.3">
      <c r="C329" s="1">
        <v>322</v>
      </c>
      <c r="E329" s="1">
        <v>6058409.1073495457</v>
      </c>
      <c r="F329" s="1">
        <v>473.61517902212267</v>
      </c>
      <c r="G329" s="1">
        <v>5.9741632662905726</v>
      </c>
      <c r="H329" s="1">
        <v>5931390.2415791526</v>
      </c>
      <c r="I329" s="1">
        <v>469.91000530498417</v>
      </c>
      <c r="J329" s="1">
        <v>4.420129675532686</v>
      </c>
      <c r="N329" s="1">
        <f t="shared" si="19"/>
        <v>-127018.86577039305</v>
      </c>
      <c r="O329" s="1">
        <f t="shared" si="20"/>
        <v>-3.7051737171385071</v>
      </c>
      <c r="P329" s="1">
        <f t="shared" si="21"/>
        <v>-1.5540335907578866</v>
      </c>
    </row>
    <row r="330" spans="3:16" x14ac:dyDescent="0.3">
      <c r="C330" s="1">
        <v>323</v>
      </c>
      <c r="E330" s="1">
        <v>5774298.0537604084</v>
      </c>
      <c r="F330" s="1">
        <v>439.36090287273055</v>
      </c>
      <c r="G330" s="1">
        <v>5.8964662351455255</v>
      </c>
      <c r="H330" s="1">
        <v>5636718.4916123087</v>
      </c>
      <c r="I330" s="1">
        <v>433.08324243944577</v>
      </c>
      <c r="J330" s="1">
        <v>4.3105572343063434</v>
      </c>
      <c r="N330" s="1">
        <f t="shared" si="19"/>
        <v>-137579.56214809977</v>
      </c>
      <c r="O330" s="1">
        <f t="shared" si="20"/>
        <v>-6.2776604332847796</v>
      </c>
      <c r="P330" s="1">
        <f t="shared" si="21"/>
        <v>-1.5859090008391821</v>
      </c>
    </row>
    <row r="331" spans="3:16" x14ac:dyDescent="0.3">
      <c r="C331" s="1">
        <v>324</v>
      </c>
      <c r="E331" s="1">
        <v>7806638.7214310961</v>
      </c>
      <c r="F331" s="1">
        <v>444.64536930567118</v>
      </c>
      <c r="G331" s="1">
        <v>5.4919783774531519</v>
      </c>
      <c r="H331" s="1">
        <v>7704754.2657277714</v>
      </c>
      <c r="I331" s="1">
        <v>440.58429986755243</v>
      </c>
      <c r="J331" s="1">
        <v>4.3040267807876251</v>
      </c>
      <c r="N331" s="1">
        <f t="shared" si="19"/>
        <v>-101884.45570332464</v>
      </c>
      <c r="O331" s="1">
        <f t="shared" si="20"/>
        <v>-4.06106943811875</v>
      </c>
      <c r="P331" s="1">
        <f t="shared" si="21"/>
        <v>-1.1879515966655267</v>
      </c>
    </row>
    <row r="332" spans="3:16" x14ac:dyDescent="0.3">
      <c r="C332" s="1">
        <v>325</v>
      </c>
      <c r="E332" s="1">
        <v>6698037.6148777641</v>
      </c>
      <c r="F332" s="1">
        <v>464.66177262337351</v>
      </c>
      <c r="G332" s="1">
        <v>5.0859826610534702</v>
      </c>
      <c r="H332" s="1">
        <v>6620358.3660821831</v>
      </c>
      <c r="I332" s="1">
        <v>461.06473665254379</v>
      </c>
      <c r="J332" s="1">
        <v>4.073404996690039</v>
      </c>
      <c r="N332" s="1">
        <f t="shared" si="19"/>
        <v>-77679.24879558105</v>
      </c>
      <c r="O332" s="1">
        <f t="shared" si="20"/>
        <v>-3.5970359708297224</v>
      </c>
      <c r="P332" s="1">
        <f t="shared" si="21"/>
        <v>-1.0125776643634312</v>
      </c>
    </row>
    <row r="333" spans="3:16" x14ac:dyDescent="0.3">
      <c r="C333" s="1">
        <v>326</v>
      </c>
      <c r="E333" s="1">
        <v>6422391.4972582078</v>
      </c>
      <c r="F333" s="1">
        <v>471.85179514851779</v>
      </c>
      <c r="G333" s="1">
        <v>5.7741812934417087</v>
      </c>
      <c r="H333" s="1">
        <v>6285044.5670759222</v>
      </c>
      <c r="I333" s="1">
        <v>468.31162508562505</v>
      </c>
      <c r="J333" s="1">
        <v>4.398756516975415</v>
      </c>
      <c r="N333" s="1">
        <f t="shared" si="19"/>
        <v>-137346.93018228561</v>
      </c>
      <c r="O333" s="1">
        <f t="shared" si="20"/>
        <v>-3.5401700628927415</v>
      </c>
      <c r="P333" s="1">
        <f t="shared" si="21"/>
        <v>-1.3754247764662937</v>
      </c>
    </row>
    <row r="334" spans="3:16" x14ac:dyDescent="0.3">
      <c r="C334" s="1">
        <v>327</v>
      </c>
      <c r="E334" s="1">
        <v>9142553.9676825795</v>
      </c>
      <c r="F334" s="1">
        <v>503.10197586331242</v>
      </c>
      <c r="G334" s="1">
        <v>4.7023673832733452</v>
      </c>
      <c r="H334" s="1">
        <v>9008186.7410769816</v>
      </c>
      <c r="I334" s="1">
        <v>496.94298042588105</v>
      </c>
      <c r="J334" s="1">
        <v>3.8829768059214635</v>
      </c>
      <c r="N334" s="1">
        <f t="shared" si="19"/>
        <v>-134367.22660559788</v>
      </c>
      <c r="O334" s="1">
        <f t="shared" si="20"/>
        <v>-6.158995437431372</v>
      </c>
      <c r="P334" s="1">
        <f t="shared" si="21"/>
        <v>-0.8193905773518817</v>
      </c>
    </row>
    <row r="335" spans="3:16" x14ac:dyDescent="0.3">
      <c r="C335" s="1">
        <v>328</v>
      </c>
      <c r="E335" s="1">
        <v>9006491.6712446213</v>
      </c>
      <c r="F335" s="1">
        <v>480.57365473807965</v>
      </c>
      <c r="G335" s="1">
        <v>4.9079293749264972</v>
      </c>
      <c r="H335" s="1">
        <v>8890842.7873496227</v>
      </c>
      <c r="I335" s="1">
        <v>477.2503703027615</v>
      </c>
      <c r="J335" s="1">
        <v>3.7995342964512933</v>
      </c>
      <c r="N335" s="1">
        <f t="shared" si="19"/>
        <v>-115648.88389499858</v>
      </c>
      <c r="O335" s="1">
        <f t="shared" si="20"/>
        <v>-3.3232844353181576</v>
      </c>
      <c r="P335" s="1">
        <f t="shared" si="21"/>
        <v>-1.1083950784752039</v>
      </c>
    </row>
    <row r="336" spans="3:16" x14ac:dyDescent="0.3">
      <c r="C336" s="1">
        <v>329</v>
      </c>
      <c r="E336" s="1">
        <v>8777008.2818574309</v>
      </c>
      <c r="F336" s="1">
        <v>458.47780760254881</v>
      </c>
      <c r="G336" s="1">
        <v>5.2404143812601456</v>
      </c>
      <c r="H336" s="1">
        <v>8647116.6595146935</v>
      </c>
      <c r="I336" s="1">
        <v>454.14009825876622</v>
      </c>
      <c r="J336" s="1">
        <v>3.3629969718818207</v>
      </c>
      <c r="N336" s="1">
        <f t="shared" si="19"/>
        <v>-129891.62234273739</v>
      </c>
      <c r="O336" s="1">
        <f t="shared" si="20"/>
        <v>-4.337709343782592</v>
      </c>
      <c r="P336" s="1">
        <f t="shared" si="21"/>
        <v>-1.8774174093783249</v>
      </c>
    </row>
    <row r="337" spans="3:16" x14ac:dyDescent="0.3">
      <c r="C337" s="1">
        <v>330</v>
      </c>
      <c r="E337" s="1">
        <v>7089078.8666247912</v>
      </c>
      <c r="F337" s="1">
        <v>485.41326922130901</v>
      </c>
      <c r="G337" s="1">
        <v>5.8899884262845115</v>
      </c>
      <c r="H337" s="1">
        <v>6893187.305026209</v>
      </c>
      <c r="I337" s="1">
        <v>479.69617529529518</v>
      </c>
      <c r="J337" s="1">
        <v>3.7006283047598192</v>
      </c>
      <c r="N337" s="1">
        <f t="shared" si="19"/>
        <v>-195891.56159858219</v>
      </c>
      <c r="O337" s="1">
        <f t="shared" si="20"/>
        <v>-5.7170939260138312</v>
      </c>
      <c r="P337" s="1">
        <f t="shared" si="21"/>
        <v>-2.1893601215246923</v>
      </c>
    </row>
    <row r="338" spans="3:16" x14ac:dyDescent="0.3">
      <c r="C338" s="1">
        <v>331</v>
      </c>
      <c r="E338" s="1">
        <v>7988241.0125680286</v>
      </c>
      <c r="F338" s="1">
        <v>498.91611038533188</v>
      </c>
      <c r="G338" s="1">
        <v>4.1948555426261613</v>
      </c>
      <c r="H338" s="1">
        <v>7876176.2190660462</v>
      </c>
      <c r="I338" s="1">
        <v>493.95898307561163</v>
      </c>
      <c r="J338" s="1">
        <v>3.5012384522684816</v>
      </c>
      <c r="N338" s="1">
        <f t="shared" si="19"/>
        <v>-112064.79350198247</v>
      </c>
      <c r="O338" s="1">
        <f t="shared" si="20"/>
        <v>-4.9571273097202493</v>
      </c>
      <c r="P338" s="1">
        <f t="shared" si="21"/>
        <v>-0.69361709035767971</v>
      </c>
    </row>
    <row r="339" spans="3:16" x14ac:dyDescent="0.3">
      <c r="C339" s="1">
        <v>332</v>
      </c>
      <c r="E339" s="1">
        <v>6842379.7548091123</v>
      </c>
      <c r="F339" s="1">
        <v>480.91847407990889</v>
      </c>
      <c r="G339" s="1">
        <v>5.4587651469856304</v>
      </c>
      <c r="H339" s="1">
        <v>6740337.4535166528</v>
      </c>
      <c r="I339" s="1">
        <v>477.25200309316881</v>
      </c>
      <c r="J339" s="1">
        <v>4.2703667412094237</v>
      </c>
      <c r="N339" s="1">
        <f t="shared" si="19"/>
        <v>-102042.30129245948</v>
      </c>
      <c r="O339" s="1">
        <f t="shared" si="20"/>
        <v>-3.6664709867400802</v>
      </c>
      <c r="P339" s="1">
        <f t="shared" si="21"/>
        <v>-1.1883984057762067</v>
      </c>
    </row>
    <row r="340" spans="3:16" x14ac:dyDescent="0.3">
      <c r="C340" s="1">
        <v>333</v>
      </c>
      <c r="E340" s="1">
        <v>6555152.0756438281</v>
      </c>
      <c r="F340" s="1">
        <v>464.44349811838777</v>
      </c>
      <c r="G340" s="1">
        <v>5.2113975038841156</v>
      </c>
      <c r="H340" s="1">
        <v>6499823.2407553941</v>
      </c>
      <c r="I340" s="1">
        <v>462.83494278591854</v>
      </c>
      <c r="J340" s="1">
        <v>4.3814291951538102</v>
      </c>
      <c r="N340" s="1">
        <f t="shared" si="19"/>
        <v>-55328.834888434038</v>
      </c>
      <c r="O340" s="1">
        <f t="shared" si="20"/>
        <v>-1.6085553324692228</v>
      </c>
      <c r="P340" s="1">
        <f t="shared" si="21"/>
        <v>-0.82996830873030536</v>
      </c>
    </row>
    <row r="341" spans="3:16" x14ac:dyDescent="0.3">
      <c r="C341" s="1">
        <v>334</v>
      </c>
      <c r="E341" s="1">
        <v>8558964.666883437</v>
      </c>
      <c r="F341" s="1">
        <v>497.34735137046118</v>
      </c>
      <c r="G341" s="1">
        <v>4.7819068919622261</v>
      </c>
      <c r="H341" s="1">
        <v>8375513.5794001268</v>
      </c>
      <c r="I341" s="1">
        <v>490.35742368997751</v>
      </c>
      <c r="J341" s="1">
        <v>3.4938423041337812</v>
      </c>
      <c r="N341" s="1">
        <f t="shared" si="19"/>
        <v>-183451.08748331014</v>
      </c>
      <c r="O341" s="1">
        <f t="shared" si="20"/>
        <v>-6.9899276804836745</v>
      </c>
      <c r="P341" s="1">
        <f t="shared" si="21"/>
        <v>-1.2880645878284449</v>
      </c>
    </row>
    <row r="342" spans="3:16" x14ac:dyDescent="0.3">
      <c r="C342" s="1">
        <v>335</v>
      </c>
      <c r="E342" s="1">
        <v>7550852.5468179267</v>
      </c>
      <c r="F342" s="1">
        <v>476.49772906643</v>
      </c>
      <c r="G342" s="1">
        <v>5.0243576971477033</v>
      </c>
      <c r="H342" s="1">
        <v>7478274.9764139876</v>
      </c>
      <c r="I342" s="1">
        <v>473.97071344842897</v>
      </c>
      <c r="J342" s="1">
        <v>3.9723953982673823</v>
      </c>
      <c r="N342" s="1">
        <f t="shared" si="19"/>
        <v>-72577.570403939113</v>
      </c>
      <c r="O342" s="1">
        <f t="shared" si="20"/>
        <v>-2.5270156180010304</v>
      </c>
      <c r="P342" s="1">
        <f t="shared" si="21"/>
        <v>-1.051962298880321</v>
      </c>
    </row>
    <row r="343" spans="3:16" x14ac:dyDescent="0.3">
      <c r="C343" s="1">
        <v>336</v>
      </c>
      <c r="E343" s="1">
        <v>6565208.0723519335</v>
      </c>
      <c r="F343" s="1">
        <v>485.87141084382239</v>
      </c>
      <c r="G343" s="1">
        <v>5.1044139794075161</v>
      </c>
      <c r="H343" s="1">
        <v>6447920.5705613596</v>
      </c>
      <c r="I343" s="1">
        <v>479.71874945153576</v>
      </c>
      <c r="J343" s="1">
        <v>3.9805862973037147</v>
      </c>
      <c r="N343" s="1">
        <f t="shared" si="19"/>
        <v>-117287.50179057382</v>
      </c>
      <c r="O343" s="1">
        <f t="shared" si="20"/>
        <v>-6.1526613922866318</v>
      </c>
      <c r="P343" s="1">
        <f t="shared" si="21"/>
        <v>-1.1238276821038014</v>
      </c>
    </row>
    <row r="344" spans="3:16" x14ac:dyDescent="0.3">
      <c r="C344" s="1">
        <v>337</v>
      </c>
      <c r="E344" s="1">
        <v>8005384.874243265</v>
      </c>
      <c r="F344" s="1">
        <v>495.75333794395658</v>
      </c>
      <c r="G344" s="1">
        <v>4.6501536434366564</v>
      </c>
      <c r="H344" s="1">
        <v>7941247.9474550365</v>
      </c>
      <c r="I344" s="1">
        <v>493.04009413774111</v>
      </c>
      <c r="J344" s="1">
        <v>3.8123150726565047</v>
      </c>
      <c r="N344" s="1">
        <f t="shared" si="19"/>
        <v>-64136.926788228564</v>
      </c>
      <c r="O344" s="1">
        <f t="shared" si="20"/>
        <v>-2.7132438062154733</v>
      </c>
      <c r="P344" s="1">
        <f t="shared" si="21"/>
        <v>-0.83783857078015167</v>
      </c>
    </row>
    <row r="345" spans="3:16" x14ac:dyDescent="0.3">
      <c r="C345" s="1">
        <v>338</v>
      </c>
      <c r="E345" s="1">
        <v>6573345.237573985</v>
      </c>
      <c r="F345" s="1">
        <v>439.68897197672823</v>
      </c>
      <c r="G345" s="1">
        <v>5.938780782348128</v>
      </c>
      <c r="H345" s="1">
        <v>6501038.8710479653</v>
      </c>
      <c r="I345" s="1">
        <v>436.55065733001965</v>
      </c>
      <c r="J345" s="1">
        <v>4.6869512447608956</v>
      </c>
      <c r="N345" s="1">
        <f t="shared" si="19"/>
        <v>-72306.366526019759</v>
      </c>
      <c r="O345" s="1">
        <f t="shared" si="20"/>
        <v>-3.1383146467085794</v>
      </c>
      <c r="P345" s="1">
        <f t="shared" si="21"/>
        <v>-1.2518295375872324</v>
      </c>
    </row>
    <row r="346" spans="3:16" x14ac:dyDescent="0.3">
      <c r="C346" s="1">
        <v>339</v>
      </c>
      <c r="E346" s="1">
        <v>6343367.9943243777</v>
      </c>
      <c r="F346" s="1">
        <v>469.52029887151525</v>
      </c>
      <c r="G346" s="1">
        <v>5.8515435787791921</v>
      </c>
      <c r="H346" s="1">
        <v>6302964.1196181802</v>
      </c>
      <c r="I346" s="1">
        <v>468.45195268231453</v>
      </c>
      <c r="J346" s="1">
        <v>5.1617202973278493</v>
      </c>
      <c r="N346" s="1">
        <f t="shared" si="19"/>
        <v>-40403.87470619753</v>
      </c>
      <c r="O346" s="1">
        <f t="shared" si="20"/>
        <v>-1.0683461892007244</v>
      </c>
      <c r="P346" s="1">
        <f t="shared" si="21"/>
        <v>-0.68982328145134275</v>
      </c>
    </row>
    <row r="347" spans="3:16" x14ac:dyDescent="0.3">
      <c r="C347" s="1">
        <v>340</v>
      </c>
      <c r="E347" s="1">
        <v>8574061.5136029851</v>
      </c>
      <c r="F347" s="1">
        <v>455.43355572680957</v>
      </c>
      <c r="G347" s="1">
        <v>4.2037622645095611</v>
      </c>
      <c r="H347" s="1">
        <v>8467421.5315499809</v>
      </c>
      <c r="I347" s="1">
        <v>450.14157993684893</v>
      </c>
      <c r="J347" s="1">
        <v>3.2874743113543565</v>
      </c>
      <c r="N347" s="1">
        <f t="shared" si="19"/>
        <v>-106639.98205300421</v>
      </c>
      <c r="O347" s="1">
        <f t="shared" si="20"/>
        <v>-5.2919757899606452</v>
      </c>
      <c r="P347" s="1">
        <f t="shared" si="21"/>
        <v>-0.91628795315520462</v>
      </c>
    </row>
    <row r="348" spans="3:16" x14ac:dyDescent="0.3">
      <c r="C348" s="1">
        <v>341</v>
      </c>
      <c r="E348" s="1">
        <v>7720278.7927978029</v>
      </c>
      <c r="F348" s="1">
        <v>451.03342017427883</v>
      </c>
      <c r="G348" s="1">
        <v>4.376909089229887</v>
      </c>
      <c r="H348" s="1">
        <v>7665321.9503005538</v>
      </c>
      <c r="I348" s="1">
        <v>448.16561360080567</v>
      </c>
      <c r="J348" s="1">
        <v>3.2811746861519646</v>
      </c>
      <c r="N348" s="1">
        <f t="shared" si="19"/>
        <v>-54956.842497249134</v>
      </c>
      <c r="O348" s="1">
        <f t="shared" si="20"/>
        <v>-2.8678065734731604</v>
      </c>
      <c r="P348" s="1">
        <f t="shared" si="21"/>
        <v>-1.0957344030779224</v>
      </c>
    </row>
    <row r="349" spans="3:16" x14ac:dyDescent="0.3">
      <c r="C349" s="1">
        <v>342</v>
      </c>
      <c r="E349" s="1">
        <v>8585706.877802914</v>
      </c>
      <c r="F349" s="1">
        <v>479.31244189204386</v>
      </c>
      <c r="G349" s="1">
        <v>5.15307721652818</v>
      </c>
      <c r="H349" s="1">
        <v>8468913.8682360798</v>
      </c>
      <c r="I349" s="1">
        <v>474.8421196181522</v>
      </c>
      <c r="J349" s="1">
        <v>3.6440665763119093</v>
      </c>
      <c r="N349" s="1">
        <f t="shared" si="19"/>
        <v>-116793.0095668342</v>
      </c>
      <c r="O349" s="1">
        <f t="shared" si="20"/>
        <v>-4.4703222738916679</v>
      </c>
      <c r="P349" s="1">
        <f t="shared" si="21"/>
        <v>-1.5090106402162706</v>
      </c>
    </row>
    <row r="350" spans="3:16" x14ac:dyDescent="0.3">
      <c r="C350" s="1">
        <v>343</v>
      </c>
      <c r="E350" s="1">
        <v>6112539.814339377</v>
      </c>
      <c r="F350" s="1">
        <v>467.46576058992775</v>
      </c>
      <c r="G350" s="1">
        <v>4.6132482377520736</v>
      </c>
      <c r="H350" s="1">
        <v>6017527.5350124771</v>
      </c>
      <c r="I350" s="1">
        <v>463.14347692870285</v>
      </c>
      <c r="J350" s="1">
        <v>3.3021622530820345</v>
      </c>
      <c r="N350" s="1">
        <f t="shared" si="19"/>
        <v>-95012.279326899908</v>
      </c>
      <c r="O350" s="1">
        <f t="shared" si="20"/>
        <v>-4.3222836612249012</v>
      </c>
      <c r="P350" s="1">
        <f t="shared" si="21"/>
        <v>-1.3110859846700391</v>
      </c>
    </row>
    <row r="351" spans="3:16" x14ac:dyDescent="0.3">
      <c r="C351" s="1">
        <v>344</v>
      </c>
      <c r="E351" s="1">
        <v>7729684.7594702514</v>
      </c>
      <c r="F351" s="1">
        <v>465.82005886817325</v>
      </c>
      <c r="G351" s="1">
        <v>5.6470230527084793</v>
      </c>
      <c r="H351" s="1">
        <v>7606560.4184703063</v>
      </c>
      <c r="I351" s="1">
        <v>461.39329822240074</v>
      </c>
      <c r="J351" s="1">
        <v>3.7784210379056415</v>
      </c>
      <c r="N351" s="1">
        <f t="shared" si="19"/>
        <v>-123124.34099994507</v>
      </c>
      <c r="O351" s="1">
        <f t="shared" si="20"/>
        <v>-4.4267606457725037</v>
      </c>
      <c r="P351" s="1">
        <f t="shared" si="21"/>
        <v>-1.8686020148028377</v>
      </c>
    </row>
    <row r="352" spans="3:16" x14ac:dyDescent="0.3">
      <c r="C352" s="1">
        <v>345</v>
      </c>
      <c r="E352" s="1">
        <v>5280494.1870140843</v>
      </c>
      <c r="F352" s="1">
        <v>484.2891986496748</v>
      </c>
      <c r="G352" s="1">
        <v>6.522067379505585</v>
      </c>
      <c r="H352" s="1">
        <v>5182927.2750186091</v>
      </c>
      <c r="I352" s="1">
        <v>479.0959266040029</v>
      </c>
      <c r="J352" s="1">
        <v>5.2523537219459886</v>
      </c>
      <c r="N352" s="1">
        <f t="shared" si="19"/>
        <v>-97566.91199547518</v>
      </c>
      <c r="O352" s="1">
        <f t="shared" si="20"/>
        <v>-5.1932720456719039</v>
      </c>
      <c r="P352" s="1">
        <f t="shared" si="21"/>
        <v>-1.2697136575595964</v>
      </c>
    </row>
    <row r="353" spans="3:16" x14ac:dyDescent="0.3">
      <c r="C353" s="1">
        <v>346</v>
      </c>
      <c r="E353" s="1">
        <v>7540775.2128254622</v>
      </c>
      <c r="F353" s="1">
        <v>481.50435755308268</v>
      </c>
      <c r="G353" s="1">
        <v>5.5693750259710066</v>
      </c>
      <c r="H353" s="1">
        <v>7436881.8785058679</v>
      </c>
      <c r="I353" s="1">
        <v>476.42005375469523</v>
      </c>
      <c r="J353" s="1">
        <v>4.075221085632009</v>
      </c>
      <c r="N353" s="1">
        <f t="shared" si="19"/>
        <v>-103893.33431959432</v>
      </c>
      <c r="O353" s="1">
        <f t="shared" si="20"/>
        <v>-5.0843037983874524</v>
      </c>
      <c r="P353" s="1">
        <f t="shared" si="21"/>
        <v>-1.4941539403389976</v>
      </c>
    </row>
    <row r="354" spans="3:16" x14ac:dyDescent="0.3">
      <c r="C354" s="1">
        <v>347</v>
      </c>
      <c r="E354" s="1">
        <v>8294860.9366489183</v>
      </c>
      <c r="F354" s="1">
        <v>464.49919478804071</v>
      </c>
      <c r="G354" s="1">
        <v>4.0377659724766</v>
      </c>
      <c r="H354" s="1">
        <v>8230662.7948915362</v>
      </c>
      <c r="I354" s="1">
        <v>461.63727004476442</v>
      </c>
      <c r="J354" s="1">
        <v>3.2509124291018421</v>
      </c>
      <c r="N354" s="1">
        <f t="shared" si="19"/>
        <v>-64198.14175738208</v>
      </c>
      <c r="O354" s="1">
        <f t="shared" si="20"/>
        <v>-2.8619247432762904</v>
      </c>
      <c r="P354" s="1">
        <f t="shared" si="21"/>
        <v>-0.78685354337475788</v>
      </c>
    </row>
    <row r="355" spans="3:16" x14ac:dyDescent="0.3">
      <c r="C355" s="1">
        <v>348</v>
      </c>
      <c r="E355" s="1">
        <v>7684439.1199257402</v>
      </c>
      <c r="F355" s="1">
        <v>482.46782211073872</v>
      </c>
      <c r="G355" s="1">
        <v>4.364344475017174</v>
      </c>
      <c r="H355" s="1">
        <v>7587303.4562796317</v>
      </c>
      <c r="I355" s="1">
        <v>478.51347446507623</v>
      </c>
      <c r="J355" s="1">
        <v>3.2099118460856824</v>
      </c>
      <c r="N355" s="1">
        <f t="shared" si="19"/>
        <v>-97135.663646108471</v>
      </c>
      <c r="O355" s="1">
        <f t="shared" si="20"/>
        <v>-3.9543476456624944</v>
      </c>
      <c r="P355" s="1">
        <f t="shared" si="21"/>
        <v>-1.1544326289314917</v>
      </c>
    </row>
    <row r="356" spans="3:16" x14ac:dyDescent="0.3">
      <c r="C356" s="1">
        <v>349</v>
      </c>
      <c r="E356" s="1">
        <v>8361471.8826392638</v>
      </c>
      <c r="F356" s="1">
        <v>496.56510284009283</v>
      </c>
      <c r="G356" s="1">
        <v>5.0392822487568267</v>
      </c>
      <c r="H356" s="1">
        <v>8249779.0775289405</v>
      </c>
      <c r="I356" s="1">
        <v>491.07226316892383</v>
      </c>
      <c r="J356" s="1">
        <v>4.1358342181747307</v>
      </c>
      <c r="N356" s="1">
        <f t="shared" si="19"/>
        <v>-111692.80511032324</v>
      </c>
      <c r="O356" s="1">
        <f t="shared" si="20"/>
        <v>-5.4928396711690084</v>
      </c>
      <c r="P356" s="1">
        <f t="shared" si="21"/>
        <v>-0.903448030582096</v>
      </c>
    </row>
    <row r="357" spans="3:16" x14ac:dyDescent="0.3">
      <c r="C357" s="1">
        <v>350</v>
      </c>
      <c r="E357" s="1">
        <v>7139484.3924726425</v>
      </c>
      <c r="F357" s="1">
        <v>480.04817501254814</v>
      </c>
      <c r="G357" s="1">
        <v>5.3799717681224823</v>
      </c>
      <c r="H357" s="1">
        <v>7072319.4565377217</v>
      </c>
      <c r="I357" s="1">
        <v>477.92161423496555</v>
      </c>
      <c r="J357" s="1">
        <v>4.4962737031445075</v>
      </c>
      <c r="N357" s="1">
        <f t="shared" si="19"/>
        <v>-67164.935934920795</v>
      </c>
      <c r="O357" s="1">
        <f t="shared" si="20"/>
        <v>-2.126560777582597</v>
      </c>
      <c r="P357" s="1">
        <f t="shared" si="21"/>
        <v>-0.88369806497797487</v>
      </c>
    </row>
    <row r="358" spans="3:16" x14ac:dyDescent="0.3">
      <c r="C358" s="1">
        <v>351</v>
      </c>
      <c r="E358" s="1">
        <v>8188152.4306962611</v>
      </c>
      <c r="F358" s="1">
        <v>481.17441218328281</v>
      </c>
      <c r="G358" s="1">
        <v>5.7483120806241459</v>
      </c>
      <c r="H358" s="1">
        <v>8092166.0354292803</v>
      </c>
      <c r="I358" s="1">
        <v>477.62935958953875</v>
      </c>
      <c r="J358" s="1">
        <v>4.555820406816113</v>
      </c>
      <c r="N358" s="1">
        <f t="shared" si="19"/>
        <v>-95986.395266980864</v>
      </c>
      <c r="O358" s="1">
        <f t="shared" si="20"/>
        <v>-3.5450525937440602</v>
      </c>
      <c r="P358" s="1">
        <f t="shared" si="21"/>
        <v>-1.1924916738080329</v>
      </c>
    </row>
    <row r="359" spans="3:16" x14ac:dyDescent="0.3">
      <c r="C359" s="1">
        <v>352</v>
      </c>
      <c r="E359" s="1">
        <v>6732179.0727354502</v>
      </c>
      <c r="F359" s="1">
        <v>488.33043881967495</v>
      </c>
      <c r="G359" s="1">
        <v>5.0946459051860691</v>
      </c>
      <c r="H359" s="1">
        <v>6653093.8003378632</v>
      </c>
      <c r="I359" s="1">
        <v>485.53973983815212</v>
      </c>
      <c r="J359" s="1">
        <v>3.8546525816080042</v>
      </c>
      <c r="N359" s="1">
        <f t="shared" si="19"/>
        <v>-79085.272397587076</v>
      </c>
      <c r="O359" s="1">
        <f t="shared" si="20"/>
        <v>-2.7906989815228371</v>
      </c>
      <c r="P359" s="1">
        <f t="shared" si="21"/>
        <v>-1.2399933235780649</v>
      </c>
    </row>
    <row r="360" spans="3:16" x14ac:dyDescent="0.3">
      <c r="C360" s="1">
        <v>353</v>
      </c>
      <c r="E360" s="1">
        <v>5486494.4116445128</v>
      </c>
      <c r="F360" s="1">
        <v>450.37029362850609</v>
      </c>
      <c r="G360" s="1">
        <v>5.7579221311206759</v>
      </c>
      <c r="H360" s="1">
        <v>5354457.7398807509</v>
      </c>
      <c r="I360" s="1">
        <v>444.91470810933146</v>
      </c>
      <c r="J360" s="1">
        <v>3.8504237508459815</v>
      </c>
      <c r="N360" s="1">
        <f t="shared" si="19"/>
        <v>-132036.6717637619</v>
      </c>
      <c r="O360" s="1">
        <f t="shared" si="20"/>
        <v>-5.4555855191746332</v>
      </c>
      <c r="P360" s="1">
        <f t="shared" si="21"/>
        <v>-1.9074983802746943</v>
      </c>
    </row>
    <row r="361" spans="3:16" x14ac:dyDescent="0.3">
      <c r="C361" s="1">
        <v>354</v>
      </c>
      <c r="E361" s="1">
        <v>8691070.6647177078</v>
      </c>
      <c r="F361" s="1">
        <v>473.68134844925942</v>
      </c>
      <c r="G361" s="1">
        <v>3.8328249403304655</v>
      </c>
      <c r="H361" s="1">
        <v>8578606.9361890759</v>
      </c>
      <c r="I361" s="1">
        <v>469.46203752335845</v>
      </c>
      <c r="J361" s="1">
        <v>2.9973017725790454</v>
      </c>
      <c r="N361" s="1">
        <f t="shared" si="19"/>
        <v>-112463.72852863185</v>
      </c>
      <c r="O361" s="1">
        <f t="shared" si="20"/>
        <v>-4.2193109259009702</v>
      </c>
      <c r="P361" s="1">
        <f t="shared" si="21"/>
        <v>-0.8355231677514201</v>
      </c>
    </row>
    <row r="362" spans="3:16" x14ac:dyDescent="0.3">
      <c r="C362" s="1">
        <v>355</v>
      </c>
      <c r="E362" s="1">
        <v>8755054.7060012445</v>
      </c>
      <c r="F362" s="1">
        <v>477.20087817615268</v>
      </c>
      <c r="G362" s="1">
        <v>4.6563859693230407</v>
      </c>
      <c r="H362" s="1">
        <v>8688284.7268543392</v>
      </c>
      <c r="I362" s="1">
        <v>474.63614463092603</v>
      </c>
      <c r="J362" s="1">
        <v>3.6050996676510043</v>
      </c>
      <c r="N362" s="1">
        <f t="shared" si="19"/>
        <v>-66769.979146905243</v>
      </c>
      <c r="O362" s="1">
        <f t="shared" si="20"/>
        <v>-2.5647335452266589</v>
      </c>
      <c r="P362" s="1">
        <f t="shared" si="21"/>
        <v>-1.0512863016720364</v>
      </c>
    </row>
    <row r="363" spans="3:16" x14ac:dyDescent="0.3">
      <c r="C363" s="1">
        <v>356</v>
      </c>
      <c r="E363" s="1">
        <v>5097376.0510626966</v>
      </c>
      <c r="F363" s="1">
        <v>469.5552074330032</v>
      </c>
      <c r="G363" s="1">
        <v>5.0535225048342127</v>
      </c>
      <c r="H363" s="1">
        <v>5034396.0740951207</v>
      </c>
      <c r="I363" s="1">
        <v>465.61688711440166</v>
      </c>
      <c r="J363" s="1">
        <v>3.8436641121466928</v>
      </c>
      <c r="N363" s="1">
        <f t="shared" si="19"/>
        <v>-62979.97696757596</v>
      </c>
      <c r="O363" s="1">
        <f t="shared" si="20"/>
        <v>-3.9383203186015407</v>
      </c>
      <c r="P363" s="1">
        <f t="shared" si="21"/>
        <v>-1.2098583926875199</v>
      </c>
    </row>
    <row r="364" spans="3:16" x14ac:dyDescent="0.3">
      <c r="C364" s="1">
        <v>357</v>
      </c>
      <c r="E364" s="1">
        <v>5450627.1086971918</v>
      </c>
      <c r="F364" s="1">
        <v>495.82139200177619</v>
      </c>
      <c r="G364" s="1">
        <v>4.6486546126849353</v>
      </c>
      <c r="H364" s="1">
        <v>5302696.5765381269</v>
      </c>
      <c r="I364" s="1">
        <v>487.1631763068217</v>
      </c>
      <c r="J364" s="1">
        <v>3.171460049190983</v>
      </c>
      <c r="N364" s="1">
        <f t="shared" si="19"/>
        <v>-147930.5321590649</v>
      </c>
      <c r="O364" s="1">
        <f t="shared" si="20"/>
        <v>-8.6582156949544924</v>
      </c>
      <c r="P364" s="1">
        <f t="shared" si="21"/>
        <v>-1.4771945634939523</v>
      </c>
    </row>
    <row r="365" spans="3:16" x14ac:dyDescent="0.3">
      <c r="C365" s="1">
        <v>358</v>
      </c>
      <c r="E365" s="1">
        <v>6631012.9192317668</v>
      </c>
      <c r="F365" s="1">
        <v>481.12914580307091</v>
      </c>
      <c r="G365" s="1">
        <v>5.0634513780728927</v>
      </c>
      <c r="H365" s="1">
        <v>6521160.3603931116</v>
      </c>
      <c r="I365" s="1">
        <v>478.24596057657044</v>
      </c>
      <c r="J365" s="1">
        <v>3.2812021005931236</v>
      </c>
      <c r="N365" s="1">
        <f t="shared" si="19"/>
        <v>-109852.55883865524</v>
      </c>
      <c r="O365" s="1">
        <f t="shared" si="20"/>
        <v>-2.8831852265004727</v>
      </c>
      <c r="P365" s="1">
        <f t="shared" si="21"/>
        <v>-1.7822492774797691</v>
      </c>
    </row>
    <row r="366" spans="3:16" x14ac:dyDescent="0.3">
      <c r="C366" s="1">
        <v>359</v>
      </c>
      <c r="E366" s="1">
        <v>7578878.4705873756</v>
      </c>
      <c r="F366" s="1">
        <v>467.28763268858347</v>
      </c>
      <c r="G366" s="1">
        <v>5.1690086818649892</v>
      </c>
      <c r="H366" s="1">
        <v>7488832.4213089217</v>
      </c>
      <c r="I366" s="1">
        <v>463.36298110306291</v>
      </c>
      <c r="J366" s="1">
        <v>3.7157031029704815</v>
      </c>
      <c r="N366" s="1">
        <f t="shared" si="19"/>
        <v>-90046.049278453924</v>
      </c>
      <c r="O366" s="1">
        <f t="shared" si="20"/>
        <v>-3.9246515855205644</v>
      </c>
      <c r="P366" s="1">
        <f t="shared" si="21"/>
        <v>-1.4533055788945077</v>
      </c>
    </row>
    <row r="367" spans="3:16" x14ac:dyDescent="0.3">
      <c r="C367" s="1">
        <v>360</v>
      </c>
      <c r="E367" s="1">
        <v>6865518.7850073334</v>
      </c>
      <c r="F367" s="1">
        <v>455.57255999414303</v>
      </c>
      <c r="G367" s="1">
        <v>5.0366436715768383</v>
      </c>
      <c r="H367" s="1">
        <v>6807752.5614838433</v>
      </c>
      <c r="I367" s="1">
        <v>453.58535848436537</v>
      </c>
      <c r="J367" s="1">
        <v>4.1016676898054314</v>
      </c>
      <c r="N367" s="1">
        <f t="shared" si="19"/>
        <v>-57766.223523490131</v>
      </c>
      <c r="O367" s="1">
        <f t="shared" si="20"/>
        <v>-1.9872015097776625</v>
      </c>
      <c r="P367" s="1">
        <f t="shared" si="21"/>
        <v>-0.93497598177140695</v>
      </c>
    </row>
    <row r="368" spans="3:16" x14ac:dyDescent="0.3">
      <c r="C368" s="1">
        <v>361</v>
      </c>
      <c r="E368" s="1">
        <v>5738215.0590240285</v>
      </c>
      <c r="F368" s="1">
        <v>452.64291184670037</v>
      </c>
      <c r="G368" s="1">
        <v>5.5542852612482356</v>
      </c>
      <c r="H368" s="1">
        <v>5666655.5401146533</v>
      </c>
      <c r="I368" s="1">
        <v>449.69585988345636</v>
      </c>
      <c r="J368" s="1">
        <v>4.6700205881151131</v>
      </c>
      <c r="N368" s="1">
        <f t="shared" si="19"/>
        <v>-71559.518909375183</v>
      </c>
      <c r="O368" s="1">
        <f t="shared" si="20"/>
        <v>-2.9470519632440073</v>
      </c>
      <c r="P368" s="1">
        <f t="shared" si="21"/>
        <v>-0.88426467313312251</v>
      </c>
    </row>
    <row r="369" spans="3:16" x14ac:dyDescent="0.3">
      <c r="C369" s="1">
        <v>362</v>
      </c>
      <c r="E369" s="1">
        <v>6732105.1656486765</v>
      </c>
      <c r="F369" s="1">
        <v>502.87263988415924</v>
      </c>
      <c r="G369" s="1">
        <v>5.608353438191962</v>
      </c>
      <c r="H369" s="1">
        <v>6567330.8730109418</v>
      </c>
      <c r="I369" s="1">
        <v>494.90586366354171</v>
      </c>
      <c r="J369" s="1">
        <v>4.0659680964408187</v>
      </c>
      <c r="N369" s="1">
        <f t="shared" si="19"/>
        <v>-164774.29263773467</v>
      </c>
      <c r="O369" s="1">
        <f t="shared" si="20"/>
        <v>-7.9667762206175325</v>
      </c>
      <c r="P369" s="1">
        <f t="shared" si="21"/>
        <v>-1.5423853417511433</v>
      </c>
    </row>
    <row r="370" spans="3:16" x14ac:dyDescent="0.3">
      <c r="C370" s="1">
        <v>363</v>
      </c>
      <c r="E370" s="1">
        <v>7690698.3137838105</v>
      </c>
      <c r="F370" s="1">
        <v>465.53599335330284</v>
      </c>
      <c r="G370" s="1">
        <v>5.1061647118382396</v>
      </c>
      <c r="H370" s="1">
        <v>7588088.6804360421</v>
      </c>
      <c r="I370" s="1">
        <v>461.52806610462841</v>
      </c>
      <c r="J370" s="1">
        <v>4.0514938334922235</v>
      </c>
      <c r="N370" s="1">
        <f t="shared" si="19"/>
        <v>-102609.63334776834</v>
      </c>
      <c r="O370" s="1">
        <f t="shared" si="20"/>
        <v>-4.0079272486744344</v>
      </c>
      <c r="P370" s="1">
        <f t="shared" si="21"/>
        <v>-1.0546708783460161</v>
      </c>
    </row>
    <row r="371" spans="3:16" x14ac:dyDescent="0.3">
      <c r="C371" s="1">
        <v>364</v>
      </c>
      <c r="E371" s="1">
        <v>7229472.0123716667</v>
      </c>
      <c r="F371" s="1">
        <v>457.26379386746692</v>
      </c>
      <c r="G371" s="1">
        <v>4.8157266529564877</v>
      </c>
      <c r="H371" s="1">
        <v>7186286.8773247665</v>
      </c>
      <c r="I371" s="1">
        <v>455.20364319789797</v>
      </c>
      <c r="J371" s="1">
        <v>4.0622667156988435</v>
      </c>
      <c r="N371" s="1">
        <f t="shared" si="19"/>
        <v>-43185.13504690025</v>
      </c>
      <c r="O371" s="1">
        <f t="shared" si="20"/>
        <v>-2.0601506695689409</v>
      </c>
      <c r="P371" s="1">
        <f t="shared" si="21"/>
        <v>-0.75345993725764426</v>
      </c>
    </row>
    <row r="372" spans="3:16" x14ac:dyDescent="0.3">
      <c r="C372" s="1">
        <v>365</v>
      </c>
      <c r="E372" s="1">
        <v>5320207.3116774699</v>
      </c>
      <c r="F372" s="1">
        <v>473.98467808862046</v>
      </c>
      <c r="G372" s="1">
        <v>6.0652506635983761</v>
      </c>
      <c r="H372" s="1">
        <v>5242080.7638083128</v>
      </c>
      <c r="I372" s="1">
        <v>470.78488645503325</v>
      </c>
      <c r="J372" s="1">
        <v>4.5847420403069385</v>
      </c>
      <c r="N372" s="1">
        <f t="shared" si="19"/>
        <v>-78126.547869157046</v>
      </c>
      <c r="O372" s="1">
        <f t="shared" si="20"/>
        <v>-3.1997916335872105</v>
      </c>
      <c r="P372" s="1">
        <f t="shared" si="21"/>
        <v>-1.4805086232914375</v>
      </c>
    </row>
    <row r="373" spans="3:16" x14ac:dyDescent="0.3">
      <c r="C373" s="1">
        <v>366</v>
      </c>
      <c r="E373" s="1">
        <v>8165428.9620673088</v>
      </c>
      <c r="F373" s="1">
        <v>471.38536839140011</v>
      </c>
      <c r="G373" s="1">
        <v>4.680263656351987</v>
      </c>
      <c r="H373" s="1">
        <v>8035058.479357278</v>
      </c>
      <c r="I373" s="1">
        <v>465.87103202025429</v>
      </c>
      <c r="J373" s="1">
        <v>3.404627395516675</v>
      </c>
      <c r="N373" s="1">
        <f t="shared" si="19"/>
        <v>-130370.48271003086</v>
      </c>
      <c r="O373" s="1">
        <f t="shared" si="20"/>
        <v>-5.5143363711458164</v>
      </c>
      <c r="P373" s="1">
        <f t="shared" si="21"/>
        <v>-1.275636260835312</v>
      </c>
    </row>
    <row r="374" spans="3:16" x14ac:dyDescent="0.3">
      <c r="C374" s="1">
        <v>367</v>
      </c>
      <c r="E374" s="1">
        <v>5901063.0174690625</v>
      </c>
      <c r="F374" s="1">
        <v>471.0868577667452</v>
      </c>
      <c r="G374" s="1">
        <v>4.6130694054463479</v>
      </c>
      <c r="H374" s="1">
        <v>5786496.1665865341</v>
      </c>
      <c r="I374" s="1">
        <v>465.86152848908955</v>
      </c>
      <c r="J374" s="1">
        <v>3.2511928830236165</v>
      </c>
      <c r="N374" s="1">
        <f t="shared" si="19"/>
        <v>-114566.85088252835</v>
      </c>
      <c r="O374" s="1">
        <f t="shared" si="20"/>
        <v>-5.2253292776556464</v>
      </c>
      <c r="P374" s="1">
        <f t="shared" si="21"/>
        <v>-1.3618765224227314</v>
      </c>
    </row>
    <row r="375" spans="3:16" x14ac:dyDescent="0.3">
      <c r="C375" s="1">
        <v>368</v>
      </c>
      <c r="E375" s="1">
        <v>8802252.4696431421</v>
      </c>
      <c r="F375" s="1">
        <v>487.69758290940837</v>
      </c>
      <c r="G375" s="1">
        <v>4.5089874315411365</v>
      </c>
      <c r="H375" s="1">
        <v>8705076.3773623854</v>
      </c>
      <c r="I375" s="1">
        <v>484.05710521230708</v>
      </c>
      <c r="J375" s="1">
        <v>3.4674090426772692</v>
      </c>
      <c r="N375" s="1">
        <f t="shared" si="19"/>
        <v>-97176.092280756682</v>
      </c>
      <c r="O375" s="1">
        <f t="shared" si="20"/>
        <v>-3.6404776971012893</v>
      </c>
      <c r="P375" s="1">
        <f t="shared" si="21"/>
        <v>-1.0415783888638672</v>
      </c>
    </row>
    <row r="376" spans="3:16" x14ac:dyDescent="0.3">
      <c r="C376" s="1">
        <v>369</v>
      </c>
      <c r="E376" s="1">
        <v>7489000.6494302554</v>
      </c>
      <c r="F376" s="1">
        <v>485.04848257169238</v>
      </c>
      <c r="G376" s="1">
        <v>5.1315108567562371</v>
      </c>
      <c r="H376" s="1">
        <v>7394240.0475674998</v>
      </c>
      <c r="I376" s="1">
        <v>480.94900900335375</v>
      </c>
      <c r="J376" s="1">
        <v>3.8278564928052345</v>
      </c>
      <c r="N376" s="1">
        <f t="shared" si="19"/>
        <v>-94760.601862755604</v>
      </c>
      <c r="O376" s="1">
        <f t="shared" si="20"/>
        <v>-4.0994735683386239</v>
      </c>
      <c r="P376" s="1">
        <f t="shared" si="21"/>
        <v>-1.3036543639510025</v>
      </c>
    </row>
    <row r="377" spans="3:16" x14ac:dyDescent="0.3">
      <c r="C377" s="1">
        <v>370</v>
      </c>
      <c r="E377" s="1">
        <v>6902430.9872660143</v>
      </c>
      <c r="F377" s="1">
        <v>467.97419949638044</v>
      </c>
      <c r="G377" s="1">
        <v>4.6877391260215493</v>
      </c>
      <c r="H377" s="1">
        <v>6807709.2016344694</v>
      </c>
      <c r="I377" s="1">
        <v>464.75739437271608</v>
      </c>
      <c r="J377" s="1">
        <v>3.1253886619896156</v>
      </c>
      <c r="N377" s="1">
        <f t="shared" si="19"/>
        <v>-94721.785631544888</v>
      </c>
      <c r="O377" s="1">
        <f t="shared" si="20"/>
        <v>-3.2168051236643578</v>
      </c>
      <c r="P377" s="1">
        <f t="shared" si="21"/>
        <v>-1.5623504640319337</v>
      </c>
    </row>
    <row r="378" spans="3:16" x14ac:dyDescent="0.3">
      <c r="C378" s="1">
        <v>371</v>
      </c>
      <c r="E378" s="1">
        <v>6943128.2248980869</v>
      </c>
      <c r="F378" s="1">
        <v>482.28901430902357</v>
      </c>
      <c r="G378" s="1">
        <v>5.365040870874326</v>
      </c>
      <c r="H378" s="1">
        <v>6827384.2003096566</v>
      </c>
      <c r="I378" s="1">
        <v>477.70290350267305</v>
      </c>
      <c r="J378" s="1">
        <v>3.8297022230360098</v>
      </c>
      <c r="N378" s="1">
        <f t="shared" si="19"/>
        <v>-115744.0245884303</v>
      </c>
      <c r="O378" s="1">
        <f t="shared" si="20"/>
        <v>-4.5861108063505185</v>
      </c>
      <c r="P378" s="1">
        <f t="shared" si="21"/>
        <v>-1.5353386478383162</v>
      </c>
    </row>
    <row r="379" spans="3:16" x14ac:dyDescent="0.3">
      <c r="C379" s="1">
        <v>372</v>
      </c>
      <c r="E379" s="1">
        <v>10208696.911923405</v>
      </c>
      <c r="F379" s="1">
        <v>471.86699727394864</v>
      </c>
      <c r="G379" s="1">
        <v>4.4340223740050932</v>
      </c>
      <c r="H379" s="1">
        <v>10055951.204945307</v>
      </c>
      <c r="I379" s="1">
        <v>465.46938518517732</v>
      </c>
      <c r="J379" s="1">
        <v>3.0009321121968271</v>
      </c>
      <c r="N379" s="1">
        <f t="shared" si="19"/>
        <v>-152745.70697809756</v>
      </c>
      <c r="O379" s="1">
        <f t="shared" si="20"/>
        <v>-6.397612088771325</v>
      </c>
      <c r="P379" s="1">
        <f t="shared" si="21"/>
        <v>-1.4330902618082662</v>
      </c>
    </row>
    <row r="380" spans="3:16" x14ac:dyDescent="0.3">
      <c r="C380" s="1">
        <v>373</v>
      </c>
      <c r="E380" s="1">
        <v>8509290.0849006008</v>
      </c>
      <c r="F380" s="1">
        <v>472.35212819103845</v>
      </c>
      <c r="G380" s="1">
        <v>4.2342665901273646</v>
      </c>
      <c r="H380" s="1">
        <v>8412115.6541621629</v>
      </c>
      <c r="I380" s="1">
        <v>468.11863080871007</v>
      </c>
      <c r="J380" s="1">
        <v>3.0704738207879689</v>
      </c>
      <c r="N380" s="1">
        <f t="shared" si="19"/>
        <v>-97174.430738437921</v>
      </c>
      <c r="O380" s="1">
        <f t="shared" si="20"/>
        <v>-4.2334973823283804</v>
      </c>
      <c r="P380" s="1">
        <f t="shared" si="21"/>
        <v>-1.1637927693393957</v>
      </c>
    </row>
    <row r="381" spans="3:16" x14ac:dyDescent="0.3">
      <c r="C381" s="1">
        <v>374</v>
      </c>
      <c r="E381" s="1">
        <v>8126165.0872648107</v>
      </c>
      <c r="F381" s="1">
        <v>450.02853594890695</v>
      </c>
      <c r="G381" s="1">
        <v>5.0745851303469376</v>
      </c>
      <c r="H381" s="1">
        <v>8039190.7859829823</v>
      </c>
      <c r="I381" s="1">
        <v>447.3377478981904</v>
      </c>
      <c r="J381" s="1">
        <v>3.9256521065781524</v>
      </c>
      <c r="N381" s="1">
        <f t="shared" si="19"/>
        <v>-86974.301281828433</v>
      </c>
      <c r="O381" s="1">
        <f t="shared" si="20"/>
        <v>-2.6907880507165487</v>
      </c>
      <c r="P381" s="1">
        <f t="shared" si="21"/>
        <v>-1.1489330237687851</v>
      </c>
    </row>
    <row r="382" spans="3:16" x14ac:dyDescent="0.3">
      <c r="C382" s="1">
        <v>375</v>
      </c>
      <c r="E382" s="1">
        <v>6369989.6413960652</v>
      </c>
      <c r="F382" s="1">
        <v>432.25448794547293</v>
      </c>
      <c r="G382" s="1">
        <v>4.0803885106566788</v>
      </c>
      <c r="H382" s="1">
        <v>6306116.1302691903</v>
      </c>
      <c r="I382" s="1">
        <v>429.01861406011199</v>
      </c>
      <c r="J382" s="1">
        <v>3.1833421581101762</v>
      </c>
      <c r="N382" s="1">
        <f t="shared" si="19"/>
        <v>-63873.511126874946</v>
      </c>
      <c r="O382" s="1">
        <f t="shared" si="20"/>
        <v>-3.2358738853609452</v>
      </c>
      <c r="P382" s="1">
        <f t="shared" si="21"/>
        <v>-0.89704635254650267</v>
      </c>
    </row>
    <row r="383" spans="3:16" x14ac:dyDescent="0.3">
      <c r="C383" s="1">
        <v>376</v>
      </c>
      <c r="E383" s="1">
        <v>6700596.846731022</v>
      </c>
      <c r="F383" s="1">
        <v>468.90949324953681</v>
      </c>
      <c r="G383" s="1">
        <v>4.8424971356632041</v>
      </c>
      <c r="H383" s="1">
        <v>6602924.6587018119</v>
      </c>
      <c r="I383" s="1">
        <v>464.46256125251131</v>
      </c>
      <c r="J383" s="1">
        <v>3.7593912153512039</v>
      </c>
      <c r="N383" s="1">
        <f t="shared" si="19"/>
        <v>-97672.188029210083</v>
      </c>
      <c r="O383" s="1">
        <f t="shared" si="20"/>
        <v>-4.4469319970255015</v>
      </c>
      <c r="P383" s="1">
        <f t="shared" si="21"/>
        <v>-1.0831059203120001</v>
      </c>
    </row>
    <row r="384" spans="3:16" x14ac:dyDescent="0.3">
      <c r="C384" s="1">
        <v>377</v>
      </c>
      <c r="E384" s="1">
        <v>5647763.1724298438</v>
      </c>
      <c r="F384" s="1">
        <v>463.98936844734197</v>
      </c>
      <c r="G384" s="1">
        <v>4.5863161421801362</v>
      </c>
      <c r="H384" s="1">
        <v>5558632.3061019899</v>
      </c>
      <c r="I384" s="1">
        <v>461.02908612882356</v>
      </c>
      <c r="J384" s="1">
        <v>3.0368296459064998</v>
      </c>
      <c r="N384" s="1">
        <f t="shared" si="19"/>
        <v>-89130.866327853873</v>
      </c>
      <c r="O384" s="1">
        <f t="shared" si="20"/>
        <v>-2.9602823185184093</v>
      </c>
      <c r="P384" s="1">
        <f t="shared" si="21"/>
        <v>-1.5494864962736363</v>
      </c>
    </row>
    <row r="385" spans="3:16" x14ac:dyDescent="0.3">
      <c r="C385" s="1">
        <v>378</v>
      </c>
      <c r="E385" s="1">
        <v>7322631.9808853259</v>
      </c>
      <c r="F385" s="1">
        <v>455.01415141533801</v>
      </c>
      <c r="G385" s="1">
        <v>4.2857115649573814</v>
      </c>
      <c r="H385" s="1">
        <v>7178467.8270323481</v>
      </c>
      <c r="I385" s="1">
        <v>448.91859451819613</v>
      </c>
      <c r="J385" s="1">
        <v>3.2711709736388643</v>
      </c>
      <c r="N385" s="1">
        <f t="shared" si="19"/>
        <v>-144164.15385297779</v>
      </c>
      <c r="O385" s="1">
        <f t="shared" si="20"/>
        <v>-6.0955568971418757</v>
      </c>
      <c r="P385" s="1">
        <f t="shared" si="21"/>
        <v>-1.014540591318517</v>
      </c>
    </row>
    <row r="386" spans="3:16" x14ac:dyDescent="0.3">
      <c r="C386" s="1">
        <v>379</v>
      </c>
      <c r="E386" s="1">
        <v>7252309.455648493</v>
      </c>
      <c r="F386" s="1">
        <v>481.20263698909883</v>
      </c>
      <c r="G386" s="1">
        <v>5.3766820895957661</v>
      </c>
      <c r="H386" s="1">
        <v>7113358.5346785989</v>
      </c>
      <c r="I386" s="1">
        <v>475.25690126334547</v>
      </c>
      <c r="J386" s="1">
        <v>4.0069205524480367</v>
      </c>
      <c r="N386" s="1">
        <f t="shared" si="19"/>
        <v>-138950.92096989416</v>
      </c>
      <c r="O386" s="1">
        <f t="shared" si="20"/>
        <v>-5.9457357257533658</v>
      </c>
      <c r="P386" s="1">
        <f t="shared" si="21"/>
        <v>-1.3697615371477294</v>
      </c>
    </row>
    <row r="387" spans="3:16" x14ac:dyDescent="0.3">
      <c r="C387" s="1">
        <v>380</v>
      </c>
      <c r="E387" s="1">
        <v>7165672.9727144958</v>
      </c>
      <c r="F387" s="1">
        <v>453.88820988096262</v>
      </c>
      <c r="G387" s="1">
        <v>6.2350985907609537</v>
      </c>
      <c r="H387" s="1">
        <v>7052080.26518525</v>
      </c>
      <c r="I387" s="1">
        <v>449.89564428738845</v>
      </c>
      <c r="J387" s="1">
        <v>5.2713927553479634</v>
      </c>
      <c r="N387" s="1">
        <f t="shared" si="19"/>
        <v>-113592.70752924588</v>
      </c>
      <c r="O387" s="1">
        <f t="shared" si="20"/>
        <v>-3.9925655935741702</v>
      </c>
      <c r="P387" s="1">
        <f t="shared" si="21"/>
        <v>-0.96370583541299037</v>
      </c>
    </row>
    <row r="388" spans="3:16" x14ac:dyDescent="0.3">
      <c r="C388" s="1">
        <v>381</v>
      </c>
      <c r="E388" s="1">
        <v>6834647.7709622523</v>
      </c>
      <c r="F388" s="1">
        <v>490.09585179840468</v>
      </c>
      <c r="G388" s="1">
        <v>4.994571164763645</v>
      </c>
      <c r="H388" s="1">
        <v>6700603.4701985773</v>
      </c>
      <c r="I388" s="1">
        <v>484.70164033261091</v>
      </c>
      <c r="J388" s="1">
        <v>3.9670240495930158</v>
      </c>
      <c r="N388" s="1">
        <f t="shared" si="19"/>
        <v>-134044.30076367501</v>
      </c>
      <c r="O388" s="1">
        <f t="shared" si="20"/>
        <v>-5.3942114657937736</v>
      </c>
      <c r="P388" s="1">
        <f t="shared" si="21"/>
        <v>-1.0275471151706292</v>
      </c>
    </row>
    <row r="389" spans="3:16" x14ac:dyDescent="0.3">
      <c r="C389" s="1">
        <v>382</v>
      </c>
      <c r="E389" s="1">
        <v>6939333.8330509802</v>
      </c>
      <c r="F389" s="1">
        <v>455.55289278748995</v>
      </c>
      <c r="G389" s="1">
        <v>4.8030335548802192</v>
      </c>
      <c r="H389" s="1">
        <v>6807518.2498366321</v>
      </c>
      <c r="I389" s="1">
        <v>449.31269007202008</v>
      </c>
      <c r="J389" s="1">
        <v>3.6693718693513682</v>
      </c>
      <c r="N389" s="1">
        <f t="shared" si="19"/>
        <v>-131815.58321434818</v>
      </c>
      <c r="O389" s="1">
        <f t="shared" si="20"/>
        <v>-6.2402027154698771</v>
      </c>
      <c r="P389" s="1">
        <f t="shared" si="21"/>
        <v>-1.133661685528851</v>
      </c>
    </row>
    <row r="390" spans="3:16" x14ac:dyDescent="0.3">
      <c r="C390" s="1">
        <v>383</v>
      </c>
      <c r="E390" s="1">
        <v>5556168.5066729598</v>
      </c>
      <c r="F390" s="1">
        <v>467.16252681758891</v>
      </c>
      <c r="G390" s="1">
        <v>6.6788791577196651</v>
      </c>
      <c r="H390" s="1">
        <v>5495277.5158683211</v>
      </c>
      <c r="I390" s="1">
        <v>464.39388283605217</v>
      </c>
      <c r="J390" s="1">
        <v>5.7488686182941162</v>
      </c>
      <c r="N390" s="1">
        <f t="shared" si="19"/>
        <v>-60890.990804638714</v>
      </c>
      <c r="O390" s="1">
        <f t="shared" si="20"/>
        <v>-2.7686439815367407</v>
      </c>
      <c r="P390" s="1">
        <f t="shared" si="21"/>
        <v>-0.9300105394255489</v>
      </c>
    </row>
    <row r="391" spans="3:16" x14ac:dyDescent="0.3">
      <c r="C391" s="1">
        <v>384</v>
      </c>
      <c r="E391" s="1">
        <v>7697257.8025737638</v>
      </c>
      <c r="F391" s="1">
        <v>447.27712166473907</v>
      </c>
      <c r="G391" s="1">
        <v>4.0580613982013025</v>
      </c>
      <c r="H391" s="1">
        <v>7627696.6774221985</v>
      </c>
      <c r="I391" s="1">
        <v>444.64753599594462</v>
      </c>
      <c r="J391" s="1">
        <v>3.1427311792125203</v>
      </c>
      <c r="N391" s="1">
        <f t="shared" ref="N391:N454" si="22">IF(LEN($C391)&gt;0,H391-E391,"")</f>
        <v>-69561.125151565298</v>
      </c>
      <c r="O391" s="1">
        <f t="shared" ref="O391:O454" si="23">IF(LEN($C391)&gt;0,I391-F391,"")</f>
        <v>-2.6295856687944479</v>
      </c>
      <c r="P391" s="1">
        <f t="shared" ref="P391:P454" si="24">IF(LEN($C391)&gt;0,J391-G391,"")</f>
        <v>-0.9153302189887822</v>
      </c>
    </row>
    <row r="392" spans="3:16" x14ac:dyDescent="0.3">
      <c r="C392" s="1">
        <v>385</v>
      </c>
      <c r="E392" s="1">
        <v>8362204.4296987867</v>
      </c>
      <c r="F392" s="1">
        <v>446.9187306942186</v>
      </c>
      <c r="G392" s="1">
        <v>5.3204907624532423</v>
      </c>
      <c r="H392" s="1">
        <v>8242011.9903619802</v>
      </c>
      <c r="I392" s="1">
        <v>443.53094233983245</v>
      </c>
      <c r="J392" s="1">
        <v>4.3399638884361229</v>
      </c>
      <c r="N392" s="1">
        <f t="shared" si="22"/>
        <v>-120192.43933680654</v>
      </c>
      <c r="O392" s="1">
        <f t="shared" si="23"/>
        <v>-3.3877883543861458</v>
      </c>
      <c r="P392" s="1">
        <f t="shared" si="24"/>
        <v>-0.98052687401711935</v>
      </c>
    </row>
    <row r="393" spans="3:16" x14ac:dyDescent="0.3">
      <c r="C393" s="1">
        <v>386</v>
      </c>
      <c r="E393" s="1">
        <v>6156560.0298452871</v>
      </c>
      <c r="F393" s="1">
        <v>464.91836230549029</v>
      </c>
      <c r="G393" s="1">
        <v>4.3857559939839215</v>
      </c>
      <c r="H393" s="1">
        <v>6074763.0044026915</v>
      </c>
      <c r="I393" s="1">
        <v>461.87905066266001</v>
      </c>
      <c r="J393" s="1">
        <v>3.369690734649839</v>
      </c>
      <c r="N393" s="1">
        <f t="shared" si="22"/>
        <v>-81797.025442595594</v>
      </c>
      <c r="O393" s="1">
        <f t="shared" si="23"/>
        <v>-3.0393116428302847</v>
      </c>
      <c r="P393" s="1">
        <f t="shared" si="24"/>
        <v>-1.0160652593340824</v>
      </c>
    </row>
    <row r="394" spans="3:16" x14ac:dyDescent="0.3">
      <c r="C394" s="1">
        <v>387</v>
      </c>
      <c r="E394" s="1">
        <v>6037461.6288134875</v>
      </c>
      <c r="F394" s="1">
        <v>435.44303409872197</v>
      </c>
      <c r="G394" s="1">
        <v>4.1982026720487466</v>
      </c>
      <c r="H394" s="1">
        <v>5967343.2801811844</v>
      </c>
      <c r="I394" s="1">
        <v>431.88526130043908</v>
      </c>
      <c r="J394" s="1">
        <v>3.177657483623749</v>
      </c>
      <c r="N394" s="1">
        <f t="shared" si="22"/>
        <v>-70118.348632303067</v>
      </c>
      <c r="O394" s="1">
        <f t="shared" si="23"/>
        <v>-3.5577727982828833</v>
      </c>
      <c r="P394" s="1">
        <f t="shared" si="24"/>
        <v>-1.0205451884249976</v>
      </c>
    </row>
    <row r="395" spans="3:16" x14ac:dyDescent="0.3">
      <c r="C395" s="1">
        <v>388</v>
      </c>
      <c r="E395" s="1">
        <v>7027733.132171507</v>
      </c>
      <c r="F395" s="1">
        <v>438.49941162717892</v>
      </c>
      <c r="G395" s="1">
        <v>7.0227172014429895</v>
      </c>
      <c r="H395" s="1">
        <v>6853991.0352392215</v>
      </c>
      <c r="I395" s="1">
        <v>433.58416110556732</v>
      </c>
      <c r="J395" s="1">
        <v>4.550416686024997</v>
      </c>
      <c r="N395" s="1">
        <f t="shared" si="22"/>
        <v>-173742.09693228547</v>
      </c>
      <c r="O395" s="1">
        <f t="shared" si="23"/>
        <v>-4.9152505216115969</v>
      </c>
      <c r="P395" s="1">
        <f t="shared" si="24"/>
        <v>-2.4723005154179925</v>
      </c>
    </row>
    <row r="396" spans="3:16" x14ac:dyDescent="0.3">
      <c r="C396" s="1">
        <v>389</v>
      </c>
      <c r="E396" s="1">
        <v>7595328.1160697443</v>
      </c>
      <c r="F396" s="1">
        <v>460.17586396127001</v>
      </c>
      <c r="G396" s="1">
        <v>3.1490935060046854</v>
      </c>
      <c r="H396" s="1">
        <v>7566088.1345673418</v>
      </c>
      <c r="I396" s="1">
        <v>458.81877232976052</v>
      </c>
      <c r="J396" s="1">
        <v>2.8823530056940552</v>
      </c>
      <c r="N396" s="1">
        <f t="shared" si="22"/>
        <v>-29239.981502402574</v>
      </c>
      <c r="O396" s="1">
        <f t="shared" si="23"/>
        <v>-1.3570916315094905</v>
      </c>
      <c r="P396" s="1">
        <f t="shared" si="24"/>
        <v>-0.26674050031063024</v>
      </c>
    </row>
    <row r="397" spans="3:16" x14ac:dyDescent="0.3">
      <c r="C397" s="1">
        <v>390</v>
      </c>
      <c r="E397" s="1">
        <v>8931405.2623347882</v>
      </c>
      <c r="F397" s="1">
        <v>503.24835342185395</v>
      </c>
      <c r="G397" s="1">
        <v>3.7563160670358591</v>
      </c>
      <c r="H397" s="1">
        <v>8824074.9880533721</v>
      </c>
      <c r="I397" s="1">
        <v>498.33554787457336</v>
      </c>
      <c r="J397" s="1">
        <v>3.1671089336861646</v>
      </c>
      <c r="N397" s="1">
        <f t="shared" si="22"/>
        <v>-107330.27428141609</v>
      </c>
      <c r="O397" s="1">
        <f t="shared" si="23"/>
        <v>-4.9128055472805841</v>
      </c>
      <c r="P397" s="1">
        <f t="shared" si="24"/>
        <v>-0.58920713334969443</v>
      </c>
    </row>
    <row r="398" spans="3:16" x14ac:dyDescent="0.3">
      <c r="C398" s="1">
        <v>391</v>
      </c>
      <c r="E398" s="1">
        <v>7903522.5586960083</v>
      </c>
      <c r="F398" s="1">
        <v>458.73471730272718</v>
      </c>
      <c r="G398" s="1">
        <v>6.5062058491255392</v>
      </c>
      <c r="H398" s="1">
        <v>7771962.9906274294</v>
      </c>
      <c r="I398" s="1">
        <v>453.30817879257836</v>
      </c>
      <c r="J398" s="1">
        <v>4.4905905274234197</v>
      </c>
      <c r="N398" s="1">
        <f t="shared" si="22"/>
        <v>-131559.56806857884</v>
      </c>
      <c r="O398" s="1">
        <f t="shared" si="23"/>
        <v>-5.4265385101488164</v>
      </c>
      <c r="P398" s="1">
        <f t="shared" si="24"/>
        <v>-2.0156153217021195</v>
      </c>
    </row>
    <row r="399" spans="3:16" x14ac:dyDescent="0.3">
      <c r="C399" s="1">
        <v>392</v>
      </c>
      <c r="E399" s="1">
        <v>7186750.3222398618</v>
      </c>
      <c r="F399" s="1">
        <v>460.47541245261118</v>
      </c>
      <c r="G399" s="1">
        <v>5.1575212669166479</v>
      </c>
      <c r="H399" s="1">
        <v>7074094.2436215021</v>
      </c>
      <c r="I399" s="1">
        <v>455.68590845779988</v>
      </c>
      <c r="J399" s="1">
        <v>3.7175197512646685</v>
      </c>
      <c r="N399" s="1">
        <f t="shared" si="22"/>
        <v>-112656.07861835975</v>
      </c>
      <c r="O399" s="1">
        <f t="shared" si="23"/>
        <v>-4.7895039948112981</v>
      </c>
      <c r="P399" s="1">
        <f t="shared" si="24"/>
        <v>-1.4400015156519794</v>
      </c>
    </row>
    <row r="400" spans="3:16" x14ac:dyDescent="0.3">
      <c r="C400" s="1">
        <v>393</v>
      </c>
      <c r="E400" s="1">
        <v>7424869.8909111368</v>
      </c>
      <c r="F400" s="1">
        <v>443.32951814165551</v>
      </c>
      <c r="G400" s="1">
        <v>5.6459032479664728</v>
      </c>
      <c r="H400" s="1">
        <v>7259899.1908769915</v>
      </c>
      <c r="I400" s="1">
        <v>437.16633864805618</v>
      </c>
      <c r="J400" s="1">
        <v>3.6978821855832726</v>
      </c>
      <c r="N400" s="1">
        <f t="shared" si="22"/>
        <v>-164970.70003414527</v>
      </c>
      <c r="O400" s="1">
        <f t="shared" si="23"/>
        <v>-6.1631794935993298</v>
      </c>
      <c r="P400" s="1">
        <f t="shared" si="24"/>
        <v>-1.9480210623832002</v>
      </c>
    </row>
    <row r="401" spans="3:16" x14ac:dyDescent="0.3">
      <c r="C401" s="1">
        <v>394</v>
      </c>
      <c r="E401" s="1">
        <v>8435143.0980575923</v>
      </c>
      <c r="F401" s="1">
        <v>483.22019178116432</v>
      </c>
      <c r="G401" s="1">
        <v>4.7044529436002067</v>
      </c>
      <c r="H401" s="1">
        <v>8315892.7974268273</v>
      </c>
      <c r="I401" s="1">
        <v>479.12237857496569</v>
      </c>
      <c r="J401" s="1">
        <v>3.9348438426892836</v>
      </c>
      <c r="N401" s="1">
        <f t="shared" si="22"/>
        <v>-119250.30063076504</v>
      </c>
      <c r="O401" s="1">
        <f t="shared" si="23"/>
        <v>-4.097813206198623</v>
      </c>
      <c r="P401" s="1">
        <f t="shared" si="24"/>
        <v>-0.76960910091092316</v>
      </c>
    </row>
    <row r="402" spans="3:16" x14ac:dyDescent="0.3">
      <c r="C402" s="1">
        <v>395</v>
      </c>
      <c r="E402" s="1">
        <v>5346362.7180900481</v>
      </c>
      <c r="F402" s="1">
        <v>447.77867193267315</v>
      </c>
      <c r="G402" s="1">
        <v>4.0716846092317684</v>
      </c>
      <c r="H402" s="1">
        <v>5305970.8352427334</v>
      </c>
      <c r="I402" s="1">
        <v>445.74363279434726</v>
      </c>
      <c r="J402" s="1">
        <v>3.2242976326235304</v>
      </c>
      <c r="N402" s="1">
        <f t="shared" si="22"/>
        <v>-40391.8828473147</v>
      </c>
      <c r="O402" s="1">
        <f t="shared" si="23"/>
        <v>-2.0350391383258852</v>
      </c>
      <c r="P402" s="1">
        <f t="shared" si="24"/>
        <v>-0.84738697660823803</v>
      </c>
    </row>
    <row r="403" spans="3:16" x14ac:dyDescent="0.3">
      <c r="C403" s="1">
        <v>396</v>
      </c>
      <c r="E403" s="1">
        <v>7248882.7627413087</v>
      </c>
      <c r="F403" s="1">
        <v>496.77982905469395</v>
      </c>
      <c r="G403" s="1">
        <v>4.5134506782467225</v>
      </c>
      <c r="H403" s="1">
        <v>7135871.5616259864</v>
      </c>
      <c r="I403" s="1">
        <v>491.2516956856968</v>
      </c>
      <c r="J403" s="1">
        <v>3.1249127081622343</v>
      </c>
      <c r="N403" s="1">
        <f t="shared" si="22"/>
        <v>-113011.2011153223</v>
      </c>
      <c r="O403" s="1">
        <f t="shared" si="23"/>
        <v>-5.5281333689971461</v>
      </c>
      <c r="P403" s="1">
        <f t="shared" si="24"/>
        <v>-1.3885379700844882</v>
      </c>
    </row>
    <row r="404" spans="3:16" x14ac:dyDescent="0.3">
      <c r="C404" s="1">
        <v>397</v>
      </c>
      <c r="E404" s="1">
        <v>6616312.6341144089</v>
      </c>
      <c r="F404" s="1">
        <v>498.82294909586273</v>
      </c>
      <c r="G404" s="1">
        <v>4.1295119452113118</v>
      </c>
      <c r="H404" s="1">
        <v>6470260.4907303331</v>
      </c>
      <c r="I404" s="1">
        <v>491.32014029292054</v>
      </c>
      <c r="J404" s="1">
        <v>2.8911552829475142</v>
      </c>
      <c r="N404" s="1">
        <f t="shared" si="22"/>
        <v>-146052.14338407572</v>
      </c>
      <c r="O404" s="1">
        <f t="shared" si="23"/>
        <v>-7.5028088029421838</v>
      </c>
      <c r="P404" s="1">
        <f t="shared" si="24"/>
        <v>-1.2383566622637976</v>
      </c>
    </row>
    <row r="405" spans="3:16" x14ac:dyDescent="0.3">
      <c r="C405" s="1">
        <v>398</v>
      </c>
      <c r="E405" s="1">
        <v>7534664.5043144962</v>
      </c>
      <c r="F405" s="1">
        <v>474.91188047547553</v>
      </c>
      <c r="G405" s="1">
        <v>4.7604716758168255</v>
      </c>
      <c r="H405" s="1">
        <v>7336762.9742053738</v>
      </c>
      <c r="I405" s="1">
        <v>465.10358394171078</v>
      </c>
      <c r="J405" s="1">
        <v>3.4166761475706631</v>
      </c>
      <c r="N405" s="1">
        <f t="shared" si="22"/>
        <v>-197901.5301091224</v>
      </c>
      <c r="O405" s="1">
        <f t="shared" si="23"/>
        <v>-9.8082965337647465</v>
      </c>
      <c r="P405" s="1">
        <f t="shared" si="24"/>
        <v>-1.3437955282461624</v>
      </c>
    </row>
    <row r="406" spans="3:16" x14ac:dyDescent="0.3">
      <c r="C406" s="1">
        <v>399</v>
      </c>
      <c r="E406" s="1">
        <v>5531974.0349300131</v>
      </c>
      <c r="F406" s="1">
        <v>462.41055245636255</v>
      </c>
      <c r="G406" s="1">
        <v>5.4761585060876303</v>
      </c>
      <c r="H406" s="1">
        <v>5458691.7621867545</v>
      </c>
      <c r="I406" s="1">
        <v>458.11912439440317</v>
      </c>
      <c r="J406" s="1">
        <v>4.1832084770535181</v>
      </c>
      <c r="N406" s="1">
        <f t="shared" si="22"/>
        <v>-73282.272743258625</v>
      </c>
      <c r="O406" s="1">
        <f t="shared" si="23"/>
        <v>-4.2914280619593796</v>
      </c>
      <c r="P406" s="1">
        <f t="shared" si="24"/>
        <v>-1.2929500290341123</v>
      </c>
    </row>
    <row r="407" spans="3:16" x14ac:dyDescent="0.3">
      <c r="C407" s="1">
        <v>400</v>
      </c>
      <c r="E407" s="1">
        <v>7133286.3968397863</v>
      </c>
      <c r="F407" s="1">
        <v>473.81970322574284</v>
      </c>
      <c r="G407" s="1">
        <v>5.1639524329858766</v>
      </c>
      <c r="H407" s="1">
        <v>7017258.8704704121</v>
      </c>
      <c r="I407" s="1">
        <v>470.83443696874065</v>
      </c>
      <c r="J407" s="1">
        <v>3.7794702289770479</v>
      </c>
      <c r="N407" s="1">
        <f t="shared" si="22"/>
        <v>-116027.52636937425</v>
      </c>
      <c r="O407" s="1">
        <f t="shared" si="23"/>
        <v>-2.9852662570021948</v>
      </c>
      <c r="P407" s="1">
        <f t="shared" si="24"/>
        <v>-1.3844822040088287</v>
      </c>
    </row>
    <row r="408" spans="3:16" x14ac:dyDescent="0.3">
      <c r="N408" s="1" t="str">
        <f t="shared" si="22"/>
        <v/>
      </c>
      <c r="O408" s="1" t="str">
        <f t="shared" si="23"/>
        <v/>
      </c>
      <c r="P408" s="1" t="str">
        <f t="shared" si="24"/>
        <v/>
      </c>
    </row>
    <row r="409" spans="3:16" x14ac:dyDescent="0.3">
      <c r="N409" s="1" t="str">
        <f t="shared" si="22"/>
        <v/>
      </c>
      <c r="O409" s="1" t="str">
        <f t="shared" si="23"/>
        <v/>
      </c>
      <c r="P409" s="1" t="str">
        <f t="shared" si="24"/>
        <v/>
      </c>
    </row>
    <row r="410" spans="3:16" x14ac:dyDescent="0.3">
      <c r="N410" s="1" t="str">
        <f t="shared" si="22"/>
        <v/>
      </c>
      <c r="O410" s="1" t="str">
        <f t="shared" si="23"/>
        <v/>
      </c>
      <c r="P410" s="1" t="str">
        <f t="shared" si="24"/>
        <v/>
      </c>
    </row>
    <row r="411" spans="3:16" x14ac:dyDescent="0.3">
      <c r="N411" s="1" t="str">
        <f t="shared" si="22"/>
        <v/>
      </c>
      <c r="O411" s="1" t="str">
        <f t="shared" si="23"/>
        <v/>
      </c>
      <c r="P411" s="1" t="str">
        <f t="shared" si="24"/>
        <v/>
      </c>
    </row>
    <row r="412" spans="3:16" x14ac:dyDescent="0.3">
      <c r="N412" s="1" t="str">
        <f t="shared" si="22"/>
        <v/>
      </c>
      <c r="O412" s="1" t="str">
        <f t="shared" si="23"/>
        <v/>
      </c>
      <c r="P412" s="1" t="str">
        <f t="shared" si="24"/>
        <v/>
      </c>
    </row>
    <row r="413" spans="3:16" x14ac:dyDescent="0.3">
      <c r="N413" s="1" t="str">
        <f t="shared" si="22"/>
        <v/>
      </c>
      <c r="O413" s="1" t="str">
        <f t="shared" si="23"/>
        <v/>
      </c>
      <c r="P413" s="1" t="str">
        <f t="shared" si="24"/>
        <v/>
      </c>
    </row>
    <row r="414" spans="3:16" x14ac:dyDescent="0.3">
      <c r="N414" s="1" t="str">
        <f t="shared" si="22"/>
        <v/>
      </c>
      <c r="O414" s="1" t="str">
        <f t="shared" si="23"/>
        <v/>
      </c>
      <c r="P414" s="1" t="str">
        <f t="shared" si="24"/>
        <v/>
      </c>
    </row>
    <row r="415" spans="3:16" x14ac:dyDescent="0.3">
      <c r="N415" s="1" t="str">
        <f t="shared" si="22"/>
        <v/>
      </c>
      <c r="O415" s="1" t="str">
        <f t="shared" si="23"/>
        <v/>
      </c>
      <c r="P415" s="1" t="str">
        <f t="shared" si="24"/>
        <v/>
      </c>
    </row>
    <row r="416" spans="3:16" x14ac:dyDescent="0.3">
      <c r="N416" s="1" t="str">
        <f t="shared" si="22"/>
        <v/>
      </c>
      <c r="O416" s="1" t="str">
        <f t="shared" si="23"/>
        <v/>
      </c>
      <c r="P416" s="1" t="str">
        <f t="shared" si="24"/>
        <v/>
      </c>
    </row>
    <row r="417" spans="14:16" x14ac:dyDescent="0.3">
      <c r="N417" s="1" t="str">
        <f t="shared" si="22"/>
        <v/>
      </c>
      <c r="O417" s="1" t="str">
        <f t="shared" si="23"/>
        <v/>
      </c>
      <c r="P417" s="1" t="str">
        <f t="shared" si="24"/>
        <v/>
      </c>
    </row>
    <row r="418" spans="14:16" x14ac:dyDescent="0.3">
      <c r="N418" s="1" t="str">
        <f t="shared" si="22"/>
        <v/>
      </c>
      <c r="O418" s="1" t="str">
        <f t="shared" si="23"/>
        <v/>
      </c>
      <c r="P418" s="1" t="str">
        <f t="shared" si="24"/>
        <v/>
      </c>
    </row>
    <row r="419" spans="14:16" x14ac:dyDescent="0.3">
      <c r="N419" s="1" t="str">
        <f t="shared" si="22"/>
        <v/>
      </c>
      <c r="O419" s="1" t="str">
        <f t="shared" si="23"/>
        <v/>
      </c>
      <c r="P419" s="1" t="str">
        <f t="shared" si="24"/>
        <v/>
      </c>
    </row>
    <row r="420" spans="14:16" x14ac:dyDescent="0.3">
      <c r="N420" s="1" t="str">
        <f t="shared" si="22"/>
        <v/>
      </c>
      <c r="O420" s="1" t="str">
        <f t="shared" si="23"/>
        <v/>
      </c>
      <c r="P420" s="1" t="str">
        <f t="shared" si="24"/>
        <v/>
      </c>
    </row>
    <row r="421" spans="14:16" x14ac:dyDescent="0.3">
      <c r="N421" s="1" t="str">
        <f t="shared" si="22"/>
        <v/>
      </c>
      <c r="O421" s="1" t="str">
        <f t="shared" si="23"/>
        <v/>
      </c>
      <c r="P421" s="1" t="str">
        <f t="shared" si="24"/>
        <v/>
      </c>
    </row>
    <row r="422" spans="14:16" x14ac:dyDescent="0.3">
      <c r="N422" s="1" t="str">
        <f t="shared" si="22"/>
        <v/>
      </c>
      <c r="O422" s="1" t="str">
        <f t="shared" si="23"/>
        <v/>
      </c>
      <c r="P422" s="1" t="str">
        <f t="shared" si="24"/>
        <v/>
      </c>
    </row>
    <row r="423" spans="14:16" x14ac:dyDescent="0.3">
      <c r="N423" s="1" t="str">
        <f t="shared" si="22"/>
        <v/>
      </c>
      <c r="O423" s="1" t="str">
        <f t="shared" si="23"/>
        <v/>
      </c>
      <c r="P423" s="1" t="str">
        <f t="shared" si="24"/>
        <v/>
      </c>
    </row>
    <row r="424" spans="14:16" x14ac:dyDescent="0.3">
      <c r="N424" s="1" t="str">
        <f t="shared" si="22"/>
        <v/>
      </c>
      <c r="O424" s="1" t="str">
        <f t="shared" si="23"/>
        <v/>
      </c>
      <c r="P424" s="1" t="str">
        <f t="shared" si="24"/>
        <v/>
      </c>
    </row>
    <row r="425" spans="14:16" x14ac:dyDescent="0.3">
      <c r="N425" s="1" t="str">
        <f t="shared" si="22"/>
        <v/>
      </c>
      <c r="O425" s="1" t="str">
        <f t="shared" si="23"/>
        <v/>
      </c>
      <c r="P425" s="1" t="str">
        <f t="shared" si="24"/>
        <v/>
      </c>
    </row>
    <row r="426" spans="14:16" x14ac:dyDescent="0.3">
      <c r="N426" s="1" t="str">
        <f t="shared" si="22"/>
        <v/>
      </c>
      <c r="O426" s="1" t="str">
        <f t="shared" si="23"/>
        <v/>
      </c>
      <c r="P426" s="1" t="str">
        <f t="shared" si="24"/>
        <v/>
      </c>
    </row>
    <row r="427" spans="14:16" x14ac:dyDescent="0.3">
      <c r="N427" s="1" t="str">
        <f t="shared" si="22"/>
        <v/>
      </c>
      <c r="O427" s="1" t="str">
        <f t="shared" si="23"/>
        <v/>
      </c>
      <c r="P427" s="1" t="str">
        <f t="shared" si="24"/>
        <v/>
      </c>
    </row>
    <row r="428" spans="14:16" x14ac:dyDescent="0.3">
      <c r="N428" s="1" t="str">
        <f t="shared" si="22"/>
        <v/>
      </c>
      <c r="O428" s="1" t="str">
        <f t="shared" si="23"/>
        <v/>
      </c>
      <c r="P428" s="1" t="str">
        <f t="shared" si="24"/>
        <v/>
      </c>
    </row>
    <row r="429" spans="14:16" x14ac:dyDescent="0.3">
      <c r="N429" s="1" t="str">
        <f t="shared" si="22"/>
        <v/>
      </c>
      <c r="O429" s="1" t="str">
        <f t="shared" si="23"/>
        <v/>
      </c>
      <c r="P429" s="1" t="str">
        <f t="shared" si="24"/>
        <v/>
      </c>
    </row>
    <row r="430" spans="14:16" x14ac:dyDescent="0.3">
      <c r="N430" s="1" t="str">
        <f t="shared" si="22"/>
        <v/>
      </c>
      <c r="O430" s="1" t="str">
        <f t="shared" si="23"/>
        <v/>
      </c>
      <c r="P430" s="1" t="str">
        <f t="shared" si="24"/>
        <v/>
      </c>
    </row>
    <row r="431" spans="14:16" x14ac:dyDescent="0.3">
      <c r="N431" s="1" t="str">
        <f t="shared" si="22"/>
        <v/>
      </c>
      <c r="O431" s="1" t="str">
        <f t="shared" si="23"/>
        <v/>
      </c>
      <c r="P431" s="1" t="str">
        <f t="shared" si="24"/>
        <v/>
      </c>
    </row>
    <row r="432" spans="14:16" x14ac:dyDescent="0.3">
      <c r="N432" s="1" t="str">
        <f t="shared" si="22"/>
        <v/>
      </c>
      <c r="O432" s="1" t="str">
        <f t="shared" si="23"/>
        <v/>
      </c>
      <c r="P432" s="1" t="str">
        <f t="shared" si="24"/>
        <v/>
      </c>
    </row>
    <row r="433" spans="14:16" x14ac:dyDescent="0.3">
      <c r="N433" s="1" t="str">
        <f t="shared" si="22"/>
        <v/>
      </c>
      <c r="O433" s="1" t="str">
        <f t="shared" si="23"/>
        <v/>
      </c>
      <c r="P433" s="1" t="str">
        <f t="shared" si="24"/>
        <v/>
      </c>
    </row>
    <row r="434" spans="14:16" x14ac:dyDescent="0.3">
      <c r="N434" s="1" t="str">
        <f t="shared" si="22"/>
        <v/>
      </c>
      <c r="O434" s="1" t="str">
        <f t="shared" si="23"/>
        <v/>
      </c>
      <c r="P434" s="1" t="str">
        <f t="shared" si="24"/>
        <v/>
      </c>
    </row>
    <row r="435" spans="14:16" x14ac:dyDescent="0.3">
      <c r="N435" s="1" t="str">
        <f t="shared" si="22"/>
        <v/>
      </c>
      <c r="O435" s="1" t="str">
        <f t="shared" si="23"/>
        <v/>
      </c>
      <c r="P435" s="1" t="str">
        <f t="shared" si="24"/>
        <v/>
      </c>
    </row>
    <row r="436" spans="14:16" x14ac:dyDescent="0.3">
      <c r="N436" s="1" t="str">
        <f t="shared" si="22"/>
        <v/>
      </c>
      <c r="O436" s="1" t="str">
        <f t="shared" si="23"/>
        <v/>
      </c>
      <c r="P436" s="1" t="str">
        <f t="shared" si="24"/>
        <v/>
      </c>
    </row>
    <row r="437" spans="14:16" x14ac:dyDescent="0.3">
      <c r="N437" s="1" t="str">
        <f t="shared" si="22"/>
        <v/>
      </c>
      <c r="O437" s="1" t="str">
        <f t="shared" si="23"/>
        <v/>
      </c>
      <c r="P437" s="1" t="str">
        <f t="shared" si="24"/>
        <v/>
      </c>
    </row>
    <row r="438" spans="14:16" x14ac:dyDescent="0.3">
      <c r="N438" s="1" t="str">
        <f t="shared" si="22"/>
        <v/>
      </c>
      <c r="O438" s="1" t="str">
        <f t="shared" si="23"/>
        <v/>
      </c>
      <c r="P438" s="1" t="str">
        <f t="shared" si="24"/>
        <v/>
      </c>
    </row>
    <row r="439" spans="14:16" x14ac:dyDescent="0.3">
      <c r="N439" s="1" t="str">
        <f t="shared" si="22"/>
        <v/>
      </c>
      <c r="O439" s="1" t="str">
        <f t="shared" si="23"/>
        <v/>
      </c>
      <c r="P439" s="1" t="str">
        <f t="shared" si="24"/>
        <v/>
      </c>
    </row>
    <row r="440" spans="14:16" x14ac:dyDescent="0.3">
      <c r="N440" s="1" t="str">
        <f t="shared" si="22"/>
        <v/>
      </c>
      <c r="O440" s="1" t="str">
        <f t="shared" si="23"/>
        <v/>
      </c>
      <c r="P440" s="1" t="str">
        <f t="shared" si="24"/>
        <v/>
      </c>
    </row>
    <row r="441" spans="14:16" x14ac:dyDescent="0.3">
      <c r="N441" s="1" t="str">
        <f t="shared" si="22"/>
        <v/>
      </c>
      <c r="O441" s="1" t="str">
        <f t="shared" si="23"/>
        <v/>
      </c>
      <c r="P441" s="1" t="str">
        <f t="shared" si="24"/>
        <v/>
      </c>
    </row>
    <row r="442" spans="14:16" x14ac:dyDescent="0.3">
      <c r="N442" s="1" t="str">
        <f t="shared" si="22"/>
        <v/>
      </c>
      <c r="O442" s="1" t="str">
        <f t="shared" si="23"/>
        <v/>
      </c>
      <c r="P442" s="1" t="str">
        <f t="shared" si="24"/>
        <v/>
      </c>
    </row>
    <row r="443" spans="14:16" x14ac:dyDescent="0.3">
      <c r="N443" s="1" t="str">
        <f t="shared" si="22"/>
        <v/>
      </c>
      <c r="O443" s="1" t="str">
        <f t="shared" si="23"/>
        <v/>
      </c>
      <c r="P443" s="1" t="str">
        <f t="shared" si="24"/>
        <v/>
      </c>
    </row>
    <row r="444" spans="14:16" x14ac:dyDescent="0.3">
      <c r="N444" s="1" t="str">
        <f t="shared" si="22"/>
        <v/>
      </c>
      <c r="O444" s="1" t="str">
        <f t="shared" si="23"/>
        <v/>
      </c>
      <c r="P444" s="1" t="str">
        <f t="shared" si="24"/>
        <v/>
      </c>
    </row>
    <row r="445" spans="14:16" x14ac:dyDescent="0.3">
      <c r="N445" s="1" t="str">
        <f t="shared" si="22"/>
        <v/>
      </c>
      <c r="O445" s="1" t="str">
        <f t="shared" si="23"/>
        <v/>
      </c>
      <c r="P445" s="1" t="str">
        <f t="shared" si="24"/>
        <v/>
      </c>
    </row>
    <row r="446" spans="14:16" x14ac:dyDescent="0.3">
      <c r="N446" s="1" t="str">
        <f t="shared" si="22"/>
        <v/>
      </c>
      <c r="O446" s="1" t="str">
        <f t="shared" si="23"/>
        <v/>
      </c>
      <c r="P446" s="1" t="str">
        <f t="shared" si="24"/>
        <v/>
      </c>
    </row>
    <row r="447" spans="14:16" x14ac:dyDescent="0.3">
      <c r="N447" s="1" t="str">
        <f t="shared" si="22"/>
        <v/>
      </c>
      <c r="O447" s="1" t="str">
        <f t="shared" si="23"/>
        <v/>
      </c>
      <c r="P447" s="1" t="str">
        <f t="shared" si="24"/>
        <v/>
      </c>
    </row>
    <row r="448" spans="14:16" x14ac:dyDescent="0.3">
      <c r="N448" s="1" t="str">
        <f t="shared" si="22"/>
        <v/>
      </c>
      <c r="O448" s="1" t="str">
        <f t="shared" si="23"/>
        <v/>
      </c>
      <c r="P448" s="1" t="str">
        <f t="shared" si="24"/>
        <v/>
      </c>
    </row>
    <row r="449" spans="14:16" x14ac:dyDescent="0.3">
      <c r="N449" s="1" t="str">
        <f t="shared" si="22"/>
        <v/>
      </c>
      <c r="O449" s="1" t="str">
        <f t="shared" si="23"/>
        <v/>
      </c>
      <c r="P449" s="1" t="str">
        <f t="shared" si="24"/>
        <v/>
      </c>
    </row>
    <row r="450" spans="14:16" x14ac:dyDescent="0.3">
      <c r="N450" s="1" t="str">
        <f t="shared" si="22"/>
        <v/>
      </c>
      <c r="O450" s="1" t="str">
        <f t="shared" si="23"/>
        <v/>
      </c>
      <c r="P450" s="1" t="str">
        <f t="shared" si="24"/>
        <v/>
      </c>
    </row>
    <row r="451" spans="14:16" x14ac:dyDescent="0.3">
      <c r="N451" s="1" t="str">
        <f t="shared" si="22"/>
        <v/>
      </c>
      <c r="O451" s="1" t="str">
        <f t="shared" si="23"/>
        <v/>
      </c>
      <c r="P451" s="1" t="str">
        <f t="shared" si="24"/>
        <v/>
      </c>
    </row>
    <row r="452" spans="14:16" x14ac:dyDescent="0.3">
      <c r="N452" s="1" t="str">
        <f t="shared" si="22"/>
        <v/>
      </c>
      <c r="O452" s="1" t="str">
        <f t="shared" si="23"/>
        <v/>
      </c>
      <c r="P452" s="1" t="str">
        <f t="shared" si="24"/>
        <v/>
      </c>
    </row>
    <row r="453" spans="14:16" x14ac:dyDescent="0.3">
      <c r="N453" s="1" t="str">
        <f t="shared" si="22"/>
        <v/>
      </c>
      <c r="O453" s="1" t="str">
        <f t="shared" si="23"/>
        <v/>
      </c>
      <c r="P453" s="1" t="str">
        <f t="shared" si="24"/>
        <v/>
      </c>
    </row>
    <row r="454" spans="14:16" x14ac:dyDescent="0.3">
      <c r="N454" s="1" t="str">
        <f t="shared" si="22"/>
        <v/>
      </c>
      <c r="O454" s="1" t="str">
        <f t="shared" si="23"/>
        <v/>
      </c>
      <c r="P454" s="1" t="str">
        <f t="shared" si="24"/>
        <v/>
      </c>
    </row>
    <row r="455" spans="14:16" x14ac:dyDescent="0.3">
      <c r="N455" s="1" t="str">
        <f t="shared" ref="N455:N518" si="25">IF(LEN($C455)&gt;0,H455-E455,"")</f>
        <v/>
      </c>
      <c r="O455" s="1" t="str">
        <f t="shared" ref="O455:O518" si="26">IF(LEN($C455)&gt;0,I455-F455,"")</f>
        <v/>
      </c>
      <c r="P455" s="1" t="str">
        <f t="shared" ref="P455:P518" si="27">IF(LEN($C455)&gt;0,J455-G455,"")</f>
        <v/>
      </c>
    </row>
    <row r="456" spans="14:16" x14ac:dyDescent="0.3">
      <c r="N456" s="1" t="str">
        <f t="shared" si="25"/>
        <v/>
      </c>
      <c r="O456" s="1" t="str">
        <f t="shared" si="26"/>
        <v/>
      </c>
      <c r="P456" s="1" t="str">
        <f t="shared" si="27"/>
        <v/>
      </c>
    </row>
    <row r="457" spans="14:16" x14ac:dyDescent="0.3">
      <c r="N457" s="1" t="str">
        <f t="shared" si="25"/>
        <v/>
      </c>
      <c r="O457" s="1" t="str">
        <f t="shared" si="26"/>
        <v/>
      </c>
      <c r="P457" s="1" t="str">
        <f t="shared" si="27"/>
        <v/>
      </c>
    </row>
    <row r="458" spans="14:16" x14ac:dyDescent="0.3">
      <c r="N458" s="1" t="str">
        <f t="shared" si="25"/>
        <v/>
      </c>
      <c r="O458" s="1" t="str">
        <f t="shared" si="26"/>
        <v/>
      </c>
      <c r="P458" s="1" t="str">
        <f t="shared" si="27"/>
        <v/>
      </c>
    </row>
    <row r="459" spans="14:16" x14ac:dyDescent="0.3">
      <c r="N459" s="1" t="str">
        <f t="shared" si="25"/>
        <v/>
      </c>
      <c r="O459" s="1" t="str">
        <f t="shared" si="26"/>
        <v/>
      </c>
      <c r="P459" s="1" t="str">
        <f t="shared" si="27"/>
        <v/>
      </c>
    </row>
    <row r="460" spans="14:16" x14ac:dyDescent="0.3">
      <c r="N460" s="1" t="str">
        <f t="shared" si="25"/>
        <v/>
      </c>
      <c r="O460" s="1" t="str">
        <f t="shared" si="26"/>
        <v/>
      </c>
      <c r="P460" s="1" t="str">
        <f t="shared" si="27"/>
        <v/>
      </c>
    </row>
    <row r="461" spans="14:16" x14ac:dyDescent="0.3">
      <c r="N461" s="1" t="str">
        <f t="shared" si="25"/>
        <v/>
      </c>
      <c r="O461" s="1" t="str">
        <f t="shared" si="26"/>
        <v/>
      </c>
      <c r="P461" s="1" t="str">
        <f t="shared" si="27"/>
        <v/>
      </c>
    </row>
    <row r="462" spans="14:16" x14ac:dyDescent="0.3">
      <c r="N462" s="1" t="str">
        <f t="shared" si="25"/>
        <v/>
      </c>
      <c r="O462" s="1" t="str">
        <f t="shared" si="26"/>
        <v/>
      </c>
      <c r="P462" s="1" t="str">
        <f t="shared" si="27"/>
        <v/>
      </c>
    </row>
    <row r="463" spans="14:16" x14ac:dyDescent="0.3">
      <c r="N463" s="1" t="str">
        <f t="shared" si="25"/>
        <v/>
      </c>
      <c r="O463" s="1" t="str">
        <f t="shared" si="26"/>
        <v/>
      </c>
      <c r="P463" s="1" t="str">
        <f t="shared" si="27"/>
        <v/>
      </c>
    </row>
    <row r="464" spans="14:16" x14ac:dyDescent="0.3">
      <c r="N464" s="1" t="str">
        <f t="shared" si="25"/>
        <v/>
      </c>
      <c r="O464" s="1" t="str">
        <f t="shared" si="26"/>
        <v/>
      </c>
      <c r="P464" s="1" t="str">
        <f t="shared" si="27"/>
        <v/>
      </c>
    </row>
    <row r="465" spans="14:16" x14ac:dyDescent="0.3">
      <c r="N465" s="1" t="str">
        <f t="shared" si="25"/>
        <v/>
      </c>
      <c r="O465" s="1" t="str">
        <f t="shared" si="26"/>
        <v/>
      </c>
      <c r="P465" s="1" t="str">
        <f t="shared" si="27"/>
        <v/>
      </c>
    </row>
    <row r="466" spans="14:16" x14ac:dyDescent="0.3">
      <c r="N466" s="1" t="str">
        <f t="shared" si="25"/>
        <v/>
      </c>
      <c r="O466" s="1" t="str">
        <f t="shared" si="26"/>
        <v/>
      </c>
      <c r="P466" s="1" t="str">
        <f t="shared" si="27"/>
        <v/>
      </c>
    </row>
    <row r="467" spans="14:16" x14ac:dyDescent="0.3">
      <c r="N467" s="1" t="str">
        <f t="shared" si="25"/>
        <v/>
      </c>
      <c r="O467" s="1" t="str">
        <f t="shared" si="26"/>
        <v/>
      </c>
      <c r="P467" s="1" t="str">
        <f t="shared" si="27"/>
        <v/>
      </c>
    </row>
    <row r="468" spans="14:16" x14ac:dyDescent="0.3">
      <c r="N468" s="1" t="str">
        <f t="shared" si="25"/>
        <v/>
      </c>
      <c r="O468" s="1" t="str">
        <f t="shared" si="26"/>
        <v/>
      </c>
      <c r="P468" s="1" t="str">
        <f t="shared" si="27"/>
        <v/>
      </c>
    </row>
    <row r="469" spans="14:16" x14ac:dyDescent="0.3">
      <c r="N469" s="1" t="str">
        <f t="shared" si="25"/>
        <v/>
      </c>
      <c r="O469" s="1" t="str">
        <f t="shared" si="26"/>
        <v/>
      </c>
      <c r="P469" s="1" t="str">
        <f t="shared" si="27"/>
        <v/>
      </c>
    </row>
    <row r="470" spans="14:16" x14ac:dyDescent="0.3">
      <c r="N470" s="1" t="str">
        <f t="shared" si="25"/>
        <v/>
      </c>
      <c r="O470" s="1" t="str">
        <f t="shared" si="26"/>
        <v/>
      </c>
      <c r="P470" s="1" t="str">
        <f t="shared" si="27"/>
        <v/>
      </c>
    </row>
    <row r="471" spans="14:16" x14ac:dyDescent="0.3">
      <c r="N471" s="1" t="str">
        <f t="shared" si="25"/>
        <v/>
      </c>
      <c r="O471" s="1" t="str">
        <f t="shared" si="26"/>
        <v/>
      </c>
      <c r="P471" s="1" t="str">
        <f t="shared" si="27"/>
        <v/>
      </c>
    </row>
    <row r="472" spans="14:16" x14ac:dyDescent="0.3">
      <c r="N472" s="1" t="str">
        <f t="shared" si="25"/>
        <v/>
      </c>
      <c r="O472" s="1" t="str">
        <f t="shared" si="26"/>
        <v/>
      </c>
      <c r="P472" s="1" t="str">
        <f t="shared" si="27"/>
        <v/>
      </c>
    </row>
    <row r="473" spans="14:16" x14ac:dyDescent="0.3">
      <c r="N473" s="1" t="str">
        <f t="shared" si="25"/>
        <v/>
      </c>
      <c r="O473" s="1" t="str">
        <f t="shared" si="26"/>
        <v/>
      </c>
      <c r="P473" s="1" t="str">
        <f t="shared" si="27"/>
        <v/>
      </c>
    </row>
    <row r="474" spans="14:16" x14ac:dyDescent="0.3">
      <c r="N474" s="1" t="str">
        <f t="shared" si="25"/>
        <v/>
      </c>
      <c r="O474" s="1" t="str">
        <f t="shared" si="26"/>
        <v/>
      </c>
      <c r="P474" s="1" t="str">
        <f t="shared" si="27"/>
        <v/>
      </c>
    </row>
    <row r="475" spans="14:16" x14ac:dyDescent="0.3">
      <c r="N475" s="1" t="str">
        <f t="shared" si="25"/>
        <v/>
      </c>
      <c r="O475" s="1" t="str">
        <f t="shared" si="26"/>
        <v/>
      </c>
      <c r="P475" s="1" t="str">
        <f t="shared" si="27"/>
        <v/>
      </c>
    </row>
    <row r="476" spans="14:16" x14ac:dyDescent="0.3">
      <c r="N476" s="1" t="str">
        <f t="shared" si="25"/>
        <v/>
      </c>
      <c r="O476" s="1" t="str">
        <f t="shared" si="26"/>
        <v/>
      </c>
      <c r="P476" s="1" t="str">
        <f t="shared" si="27"/>
        <v/>
      </c>
    </row>
    <row r="477" spans="14:16" x14ac:dyDescent="0.3">
      <c r="N477" s="1" t="str">
        <f t="shared" si="25"/>
        <v/>
      </c>
      <c r="O477" s="1" t="str">
        <f t="shared" si="26"/>
        <v/>
      </c>
      <c r="P477" s="1" t="str">
        <f t="shared" si="27"/>
        <v/>
      </c>
    </row>
    <row r="478" spans="14:16" x14ac:dyDescent="0.3">
      <c r="N478" s="1" t="str">
        <f t="shared" si="25"/>
        <v/>
      </c>
      <c r="O478" s="1" t="str">
        <f t="shared" si="26"/>
        <v/>
      </c>
      <c r="P478" s="1" t="str">
        <f t="shared" si="27"/>
        <v/>
      </c>
    </row>
    <row r="479" spans="14:16" x14ac:dyDescent="0.3">
      <c r="N479" s="1" t="str">
        <f t="shared" si="25"/>
        <v/>
      </c>
      <c r="O479" s="1" t="str">
        <f t="shared" si="26"/>
        <v/>
      </c>
      <c r="P479" s="1" t="str">
        <f t="shared" si="27"/>
        <v/>
      </c>
    </row>
    <row r="480" spans="14:16" x14ac:dyDescent="0.3">
      <c r="N480" s="1" t="str">
        <f t="shared" si="25"/>
        <v/>
      </c>
      <c r="O480" s="1" t="str">
        <f t="shared" si="26"/>
        <v/>
      </c>
      <c r="P480" s="1" t="str">
        <f t="shared" si="27"/>
        <v/>
      </c>
    </row>
    <row r="481" spans="14:16" x14ac:dyDescent="0.3">
      <c r="N481" s="1" t="str">
        <f t="shared" si="25"/>
        <v/>
      </c>
      <c r="O481" s="1" t="str">
        <f t="shared" si="26"/>
        <v/>
      </c>
      <c r="P481" s="1" t="str">
        <f t="shared" si="27"/>
        <v/>
      </c>
    </row>
    <row r="482" spans="14:16" x14ac:dyDescent="0.3">
      <c r="N482" s="1" t="str">
        <f t="shared" si="25"/>
        <v/>
      </c>
      <c r="O482" s="1" t="str">
        <f t="shared" si="26"/>
        <v/>
      </c>
      <c r="P482" s="1" t="str">
        <f t="shared" si="27"/>
        <v/>
      </c>
    </row>
    <row r="483" spans="14:16" x14ac:dyDescent="0.3">
      <c r="N483" s="1" t="str">
        <f t="shared" si="25"/>
        <v/>
      </c>
      <c r="O483" s="1" t="str">
        <f t="shared" si="26"/>
        <v/>
      </c>
      <c r="P483" s="1" t="str">
        <f t="shared" si="27"/>
        <v/>
      </c>
    </row>
    <row r="484" spans="14:16" x14ac:dyDescent="0.3">
      <c r="N484" s="1" t="str">
        <f t="shared" si="25"/>
        <v/>
      </c>
      <c r="O484" s="1" t="str">
        <f t="shared" si="26"/>
        <v/>
      </c>
      <c r="P484" s="1" t="str">
        <f t="shared" si="27"/>
        <v/>
      </c>
    </row>
    <row r="485" spans="14:16" x14ac:dyDescent="0.3">
      <c r="N485" s="1" t="str">
        <f t="shared" si="25"/>
        <v/>
      </c>
      <c r="O485" s="1" t="str">
        <f t="shared" si="26"/>
        <v/>
      </c>
      <c r="P485" s="1" t="str">
        <f t="shared" si="27"/>
        <v/>
      </c>
    </row>
    <row r="486" spans="14:16" x14ac:dyDescent="0.3">
      <c r="N486" s="1" t="str">
        <f t="shared" si="25"/>
        <v/>
      </c>
      <c r="O486" s="1" t="str">
        <f t="shared" si="26"/>
        <v/>
      </c>
      <c r="P486" s="1" t="str">
        <f t="shared" si="27"/>
        <v/>
      </c>
    </row>
    <row r="487" spans="14:16" x14ac:dyDescent="0.3">
      <c r="N487" s="1" t="str">
        <f t="shared" si="25"/>
        <v/>
      </c>
      <c r="O487" s="1" t="str">
        <f t="shared" si="26"/>
        <v/>
      </c>
      <c r="P487" s="1" t="str">
        <f t="shared" si="27"/>
        <v/>
      </c>
    </row>
    <row r="488" spans="14:16" x14ac:dyDescent="0.3">
      <c r="N488" s="1" t="str">
        <f t="shared" si="25"/>
        <v/>
      </c>
      <c r="O488" s="1" t="str">
        <f t="shared" si="26"/>
        <v/>
      </c>
      <c r="P488" s="1" t="str">
        <f t="shared" si="27"/>
        <v/>
      </c>
    </row>
    <row r="489" spans="14:16" x14ac:dyDescent="0.3">
      <c r="N489" s="1" t="str">
        <f t="shared" si="25"/>
        <v/>
      </c>
      <c r="O489" s="1" t="str">
        <f t="shared" si="26"/>
        <v/>
      </c>
      <c r="P489" s="1" t="str">
        <f t="shared" si="27"/>
        <v/>
      </c>
    </row>
    <row r="490" spans="14:16" x14ac:dyDescent="0.3">
      <c r="N490" s="1" t="str">
        <f t="shared" si="25"/>
        <v/>
      </c>
      <c r="O490" s="1" t="str">
        <f t="shared" si="26"/>
        <v/>
      </c>
      <c r="P490" s="1" t="str">
        <f t="shared" si="27"/>
        <v/>
      </c>
    </row>
    <row r="491" spans="14:16" x14ac:dyDescent="0.3">
      <c r="N491" s="1" t="str">
        <f t="shared" si="25"/>
        <v/>
      </c>
      <c r="O491" s="1" t="str">
        <f t="shared" si="26"/>
        <v/>
      </c>
      <c r="P491" s="1" t="str">
        <f t="shared" si="27"/>
        <v/>
      </c>
    </row>
    <row r="492" spans="14:16" x14ac:dyDescent="0.3">
      <c r="N492" s="1" t="str">
        <f t="shared" si="25"/>
        <v/>
      </c>
      <c r="O492" s="1" t="str">
        <f t="shared" si="26"/>
        <v/>
      </c>
      <c r="P492" s="1" t="str">
        <f t="shared" si="27"/>
        <v/>
      </c>
    </row>
    <row r="493" spans="14:16" x14ac:dyDescent="0.3">
      <c r="N493" s="1" t="str">
        <f t="shared" si="25"/>
        <v/>
      </c>
      <c r="O493" s="1" t="str">
        <f t="shared" si="26"/>
        <v/>
      </c>
      <c r="P493" s="1" t="str">
        <f t="shared" si="27"/>
        <v/>
      </c>
    </row>
    <row r="494" spans="14:16" x14ac:dyDescent="0.3">
      <c r="N494" s="1" t="str">
        <f t="shared" si="25"/>
        <v/>
      </c>
      <c r="O494" s="1" t="str">
        <f t="shared" si="26"/>
        <v/>
      </c>
      <c r="P494" s="1" t="str">
        <f t="shared" si="27"/>
        <v/>
      </c>
    </row>
    <row r="495" spans="14:16" x14ac:dyDescent="0.3">
      <c r="N495" s="1" t="str">
        <f t="shared" si="25"/>
        <v/>
      </c>
      <c r="O495" s="1" t="str">
        <f t="shared" si="26"/>
        <v/>
      </c>
      <c r="P495" s="1" t="str">
        <f t="shared" si="27"/>
        <v/>
      </c>
    </row>
    <row r="496" spans="14:16" x14ac:dyDescent="0.3">
      <c r="N496" s="1" t="str">
        <f t="shared" si="25"/>
        <v/>
      </c>
      <c r="O496" s="1" t="str">
        <f t="shared" si="26"/>
        <v/>
      </c>
      <c r="P496" s="1" t="str">
        <f t="shared" si="27"/>
        <v/>
      </c>
    </row>
    <row r="497" spans="14:16" x14ac:dyDescent="0.3">
      <c r="N497" s="1" t="str">
        <f t="shared" si="25"/>
        <v/>
      </c>
      <c r="O497" s="1" t="str">
        <f t="shared" si="26"/>
        <v/>
      </c>
      <c r="P497" s="1" t="str">
        <f t="shared" si="27"/>
        <v/>
      </c>
    </row>
    <row r="498" spans="14:16" x14ac:dyDescent="0.3">
      <c r="N498" s="1" t="str">
        <f t="shared" si="25"/>
        <v/>
      </c>
      <c r="O498" s="1" t="str">
        <f t="shared" si="26"/>
        <v/>
      </c>
      <c r="P498" s="1" t="str">
        <f t="shared" si="27"/>
        <v/>
      </c>
    </row>
    <row r="499" spans="14:16" x14ac:dyDescent="0.3">
      <c r="N499" s="1" t="str">
        <f t="shared" si="25"/>
        <v/>
      </c>
      <c r="O499" s="1" t="str">
        <f t="shared" si="26"/>
        <v/>
      </c>
      <c r="P499" s="1" t="str">
        <f t="shared" si="27"/>
        <v/>
      </c>
    </row>
    <row r="500" spans="14:16" x14ac:dyDescent="0.3">
      <c r="N500" s="1" t="str">
        <f t="shared" si="25"/>
        <v/>
      </c>
      <c r="O500" s="1" t="str">
        <f t="shared" si="26"/>
        <v/>
      </c>
      <c r="P500" s="1" t="str">
        <f t="shared" si="27"/>
        <v/>
      </c>
    </row>
    <row r="501" spans="14:16" x14ac:dyDescent="0.3">
      <c r="N501" s="1" t="str">
        <f t="shared" si="25"/>
        <v/>
      </c>
      <c r="O501" s="1" t="str">
        <f t="shared" si="26"/>
        <v/>
      </c>
      <c r="P501" s="1" t="str">
        <f t="shared" si="27"/>
        <v/>
      </c>
    </row>
    <row r="502" spans="14:16" x14ac:dyDescent="0.3">
      <c r="N502" s="1" t="str">
        <f t="shared" si="25"/>
        <v/>
      </c>
      <c r="O502" s="1" t="str">
        <f t="shared" si="26"/>
        <v/>
      </c>
      <c r="P502" s="1" t="str">
        <f t="shared" si="27"/>
        <v/>
      </c>
    </row>
    <row r="503" spans="14:16" x14ac:dyDescent="0.3">
      <c r="N503" s="1" t="str">
        <f t="shared" si="25"/>
        <v/>
      </c>
      <c r="O503" s="1" t="str">
        <f t="shared" si="26"/>
        <v/>
      </c>
      <c r="P503" s="1" t="str">
        <f t="shared" si="27"/>
        <v/>
      </c>
    </row>
    <row r="504" spans="14:16" x14ac:dyDescent="0.3">
      <c r="N504" s="1" t="str">
        <f t="shared" si="25"/>
        <v/>
      </c>
      <c r="O504" s="1" t="str">
        <f t="shared" si="26"/>
        <v/>
      </c>
      <c r="P504" s="1" t="str">
        <f t="shared" si="27"/>
        <v/>
      </c>
    </row>
    <row r="505" spans="14:16" x14ac:dyDescent="0.3">
      <c r="N505" s="1" t="str">
        <f t="shared" si="25"/>
        <v/>
      </c>
      <c r="O505" s="1" t="str">
        <f t="shared" si="26"/>
        <v/>
      </c>
      <c r="P505" s="1" t="str">
        <f t="shared" si="27"/>
        <v/>
      </c>
    </row>
    <row r="506" spans="14:16" x14ac:dyDescent="0.3">
      <c r="N506" s="1" t="str">
        <f t="shared" si="25"/>
        <v/>
      </c>
      <c r="O506" s="1" t="str">
        <f t="shared" si="26"/>
        <v/>
      </c>
      <c r="P506" s="1" t="str">
        <f t="shared" si="27"/>
        <v/>
      </c>
    </row>
    <row r="507" spans="14:16" x14ac:dyDescent="0.3">
      <c r="N507" s="1" t="str">
        <f t="shared" si="25"/>
        <v/>
      </c>
      <c r="O507" s="1" t="str">
        <f t="shared" si="26"/>
        <v/>
      </c>
      <c r="P507" s="1" t="str">
        <f t="shared" si="27"/>
        <v/>
      </c>
    </row>
    <row r="508" spans="14:16" x14ac:dyDescent="0.3">
      <c r="N508" s="1" t="str">
        <f t="shared" si="25"/>
        <v/>
      </c>
      <c r="O508" s="1" t="str">
        <f t="shared" si="26"/>
        <v/>
      </c>
      <c r="P508" s="1" t="str">
        <f t="shared" si="27"/>
        <v/>
      </c>
    </row>
    <row r="509" spans="14:16" x14ac:dyDescent="0.3">
      <c r="N509" s="1" t="str">
        <f t="shared" si="25"/>
        <v/>
      </c>
      <c r="O509" s="1" t="str">
        <f t="shared" si="26"/>
        <v/>
      </c>
      <c r="P509" s="1" t="str">
        <f t="shared" si="27"/>
        <v/>
      </c>
    </row>
    <row r="510" spans="14:16" x14ac:dyDescent="0.3">
      <c r="N510" s="1" t="str">
        <f t="shared" si="25"/>
        <v/>
      </c>
      <c r="O510" s="1" t="str">
        <f t="shared" si="26"/>
        <v/>
      </c>
      <c r="P510" s="1" t="str">
        <f t="shared" si="27"/>
        <v/>
      </c>
    </row>
    <row r="511" spans="14:16" x14ac:dyDescent="0.3">
      <c r="N511" s="1" t="str">
        <f t="shared" si="25"/>
        <v/>
      </c>
      <c r="O511" s="1" t="str">
        <f t="shared" si="26"/>
        <v/>
      </c>
      <c r="P511" s="1" t="str">
        <f t="shared" si="27"/>
        <v/>
      </c>
    </row>
    <row r="512" spans="14:16" x14ac:dyDescent="0.3">
      <c r="N512" s="1" t="str">
        <f t="shared" si="25"/>
        <v/>
      </c>
      <c r="O512" s="1" t="str">
        <f t="shared" si="26"/>
        <v/>
      </c>
      <c r="P512" s="1" t="str">
        <f t="shared" si="27"/>
        <v/>
      </c>
    </row>
    <row r="513" spans="14:16" x14ac:dyDescent="0.3">
      <c r="N513" s="1" t="str">
        <f t="shared" si="25"/>
        <v/>
      </c>
      <c r="O513" s="1" t="str">
        <f t="shared" si="26"/>
        <v/>
      </c>
      <c r="P513" s="1" t="str">
        <f t="shared" si="27"/>
        <v/>
      </c>
    </row>
    <row r="514" spans="14:16" x14ac:dyDescent="0.3">
      <c r="N514" s="1" t="str">
        <f t="shared" si="25"/>
        <v/>
      </c>
      <c r="O514" s="1" t="str">
        <f t="shared" si="26"/>
        <v/>
      </c>
      <c r="P514" s="1" t="str">
        <f t="shared" si="27"/>
        <v/>
      </c>
    </row>
    <row r="515" spans="14:16" x14ac:dyDescent="0.3">
      <c r="N515" s="1" t="str">
        <f t="shared" si="25"/>
        <v/>
      </c>
      <c r="O515" s="1" t="str">
        <f t="shared" si="26"/>
        <v/>
      </c>
      <c r="P515" s="1" t="str">
        <f t="shared" si="27"/>
        <v/>
      </c>
    </row>
    <row r="516" spans="14:16" x14ac:dyDescent="0.3">
      <c r="N516" s="1" t="str">
        <f t="shared" si="25"/>
        <v/>
      </c>
      <c r="O516" s="1" t="str">
        <f t="shared" si="26"/>
        <v/>
      </c>
      <c r="P516" s="1" t="str">
        <f t="shared" si="27"/>
        <v/>
      </c>
    </row>
    <row r="517" spans="14:16" x14ac:dyDescent="0.3">
      <c r="N517" s="1" t="str">
        <f t="shared" si="25"/>
        <v/>
      </c>
      <c r="O517" s="1" t="str">
        <f t="shared" si="26"/>
        <v/>
      </c>
      <c r="P517" s="1" t="str">
        <f t="shared" si="27"/>
        <v/>
      </c>
    </row>
    <row r="518" spans="14:16" x14ac:dyDescent="0.3">
      <c r="N518" s="1" t="str">
        <f t="shared" si="25"/>
        <v/>
      </c>
      <c r="O518" s="1" t="str">
        <f t="shared" si="26"/>
        <v/>
      </c>
      <c r="P518" s="1" t="str">
        <f t="shared" si="27"/>
        <v/>
      </c>
    </row>
    <row r="519" spans="14:16" x14ac:dyDescent="0.3">
      <c r="N519" s="1" t="str">
        <f t="shared" ref="N519:N582" si="28">IF(LEN($C519)&gt;0,H519-E519,"")</f>
        <v/>
      </c>
      <c r="O519" s="1" t="str">
        <f t="shared" ref="O519:O582" si="29">IF(LEN($C519)&gt;0,I519-F519,"")</f>
        <v/>
      </c>
      <c r="P519" s="1" t="str">
        <f t="shared" ref="P519:P582" si="30">IF(LEN($C519)&gt;0,J519-G519,"")</f>
        <v/>
      </c>
    </row>
    <row r="520" spans="14:16" x14ac:dyDescent="0.3">
      <c r="N520" s="1" t="str">
        <f t="shared" si="28"/>
        <v/>
      </c>
      <c r="O520" s="1" t="str">
        <f t="shared" si="29"/>
        <v/>
      </c>
      <c r="P520" s="1" t="str">
        <f t="shared" si="30"/>
        <v/>
      </c>
    </row>
    <row r="521" spans="14:16" x14ac:dyDescent="0.3">
      <c r="N521" s="1" t="str">
        <f t="shared" si="28"/>
        <v/>
      </c>
      <c r="O521" s="1" t="str">
        <f t="shared" si="29"/>
        <v/>
      </c>
      <c r="P521" s="1" t="str">
        <f t="shared" si="30"/>
        <v/>
      </c>
    </row>
    <row r="522" spans="14:16" x14ac:dyDescent="0.3">
      <c r="N522" s="1" t="str">
        <f t="shared" si="28"/>
        <v/>
      </c>
      <c r="O522" s="1" t="str">
        <f t="shared" si="29"/>
        <v/>
      </c>
      <c r="P522" s="1" t="str">
        <f t="shared" si="30"/>
        <v/>
      </c>
    </row>
    <row r="523" spans="14:16" x14ac:dyDescent="0.3">
      <c r="N523" s="1" t="str">
        <f t="shared" si="28"/>
        <v/>
      </c>
      <c r="O523" s="1" t="str">
        <f t="shared" si="29"/>
        <v/>
      </c>
      <c r="P523" s="1" t="str">
        <f t="shared" si="30"/>
        <v/>
      </c>
    </row>
    <row r="524" spans="14:16" x14ac:dyDescent="0.3">
      <c r="N524" s="1" t="str">
        <f t="shared" si="28"/>
        <v/>
      </c>
      <c r="O524" s="1" t="str">
        <f t="shared" si="29"/>
        <v/>
      </c>
      <c r="P524" s="1" t="str">
        <f t="shared" si="30"/>
        <v/>
      </c>
    </row>
    <row r="525" spans="14:16" x14ac:dyDescent="0.3">
      <c r="N525" s="1" t="str">
        <f t="shared" si="28"/>
        <v/>
      </c>
      <c r="O525" s="1" t="str">
        <f t="shared" si="29"/>
        <v/>
      </c>
      <c r="P525" s="1" t="str">
        <f t="shared" si="30"/>
        <v/>
      </c>
    </row>
    <row r="526" spans="14:16" x14ac:dyDescent="0.3">
      <c r="N526" s="1" t="str">
        <f t="shared" si="28"/>
        <v/>
      </c>
      <c r="O526" s="1" t="str">
        <f t="shared" si="29"/>
        <v/>
      </c>
      <c r="P526" s="1" t="str">
        <f t="shared" si="30"/>
        <v/>
      </c>
    </row>
    <row r="527" spans="14:16" x14ac:dyDescent="0.3">
      <c r="N527" s="1" t="str">
        <f t="shared" si="28"/>
        <v/>
      </c>
      <c r="O527" s="1" t="str">
        <f t="shared" si="29"/>
        <v/>
      </c>
      <c r="P527" s="1" t="str">
        <f t="shared" si="30"/>
        <v/>
      </c>
    </row>
    <row r="528" spans="14:16" x14ac:dyDescent="0.3">
      <c r="N528" s="1" t="str">
        <f t="shared" si="28"/>
        <v/>
      </c>
      <c r="O528" s="1" t="str">
        <f t="shared" si="29"/>
        <v/>
      </c>
      <c r="P528" s="1" t="str">
        <f t="shared" si="30"/>
        <v/>
      </c>
    </row>
    <row r="529" spans="14:16" x14ac:dyDescent="0.3">
      <c r="N529" s="1" t="str">
        <f t="shared" si="28"/>
        <v/>
      </c>
      <c r="O529" s="1" t="str">
        <f t="shared" si="29"/>
        <v/>
      </c>
      <c r="P529" s="1" t="str">
        <f t="shared" si="30"/>
        <v/>
      </c>
    </row>
    <row r="530" spans="14:16" x14ac:dyDescent="0.3">
      <c r="N530" s="1" t="str">
        <f t="shared" si="28"/>
        <v/>
      </c>
      <c r="O530" s="1" t="str">
        <f t="shared" si="29"/>
        <v/>
      </c>
      <c r="P530" s="1" t="str">
        <f t="shared" si="30"/>
        <v/>
      </c>
    </row>
    <row r="531" spans="14:16" x14ac:dyDescent="0.3">
      <c r="N531" s="1" t="str">
        <f t="shared" si="28"/>
        <v/>
      </c>
      <c r="O531" s="1" t="str">
        <f t="shared" si="29"/>
        <v/>
      </c>
      <c r="P531" s="1" t="str">
        <f t="shared" si="30"/>
        <v/>
      </c>
    </row>
    <row r="532" spans="14:16" x14ac:dyDescent="0.3">
      <c r="N532" s="1" t="str">
        <f t="shared" si="28"/>
        <v/>
      </c>
      <c r="O532" s="1" t="str">
        <f t="shared" si="29"/>
        <v/>
      </c>
      <c r="P532" s="1" t="str">
        <f t="shared" si="30"/>
        <v/>
      </c>
    </row>
    <row r="533" spans="14:16" x14ac:dyDescent="0.3">
      <c r="N533" s="1" t="str">
        <f t="shared" si="28"/>
        <v/>
      </c>
      <c r="O533" s="1" t="str">
        <f t="shared" si="29"/>
        <v/>
      </c>
      <c r="P533" s="1" t="str">
        <f t="shared" si="30"/>
        <v/>
      </c>
    </row>
    <row r="534" spans="14:16" x14ac:dyDescent="0.3">
      <c r="N534" s="1" t="str">
        <f t="shared" si="28"/>
        <v/>
      </c>
      <c r="O534" s="1" t="str">
        <f t="shared" si="29"/>
        <v/>
      </c>
      <c r="P534" s="1" t="str">
        <f t="shared" si="30"/>
        <v/>
      </c>
    </row>
    <row r="535" spans="14:16" x14ac:dyDescent="0.3">
      <c r="N535" s="1" t="str">
        <f t="shared" si="28"/>
        <v/>
      </c>
      <c r="O535" s="1" t="str">
        <f t="shared" si="29"/>
        <v/>
      </c>
      <c r="P535" s="1" t="str">
        <f t="shared" si="30"/>
        <v/>
      </c>
    </row>
    <row r="536" spans="14:16" x14ac:dyDescent="0.3">
      <c r="N536" s="1" t="str">
        <f t="shared" si="28"/>
        <v/>
      </c>
      <c r="O536" s="1" t="str">
        <f t="shared" si="29"/>
        <v/>
      </c>
      <c r="P536" s="1" t="str">
        <f t="shared" si="30"/>
        <v/>
      </c>
    </row>
    <row r="537" spans="14:16" x14ac:dyDescent="0.3">
      <c r="N537" s="1" t="str">
        <f t="shared" si="28"/>
        <v/>
      </c>
      <c r="O537" s="1" t="str">
        <f t="shared" si="29"/>
        <v/>
      </c>
      <c r="P537" s="1" t="str">
        <f t="shared" si="30"/>
        <v/>
      </c>
    </row>
    <row r="538" spans="14:16" x14ac:dyDescent="0.3">
      <c r="N538" s="1" t="str">
        <f t="shared" si="28"/>
        <v/>
      </c>
      <c r="O538" s="1" t="str">
        <f t="shared" si="29"/>
        <v/>
      </c>
      <c r="P538" s="1" t="str">
        <f t="shared" si="30"/>
        <v/>
      </c>
    </row>
    <row r="539" spans="14:16" x14ac:dyDescent="0.3">
      <c r="N539" s="1" t="str">
        <f t="shared" si="28"/>
        <v/>
      </c>
      <c r="O539" s="1" t="str">
        <f t="shared" si="29"/>
        <v/>
      </c>
      <c r="P539" s="1" t="str">
        <f t="shared" si="30"/>
        <v/>
      </c>
    </row>
    <row r="540" spans="14:16" x14ac:dyDescent="0.3">
      <c r="N540" s="1" t="str">
        <f t="shared" si="28"/>
        <v/>
      </c>
      <c r="O540" s="1" t="str">
        <f t="shared" si="29"/>
        <v/>
      </c>
      <c r="P540" s="1" t="str">
        <f t="shared" si="30"/>
        <v/>
      </c>
    </row>
    <row r="541" spans="14:16" x14ac:dyDescent="0.3">
      <c r="N541" s="1" t="str">
        <f t="shared" si="28"/>
        <v/>
      </c>
      <c r="O541" s="1" t="str">
        <f t="shared" si="29"/>
        <v/>
      </c>
      <c r="P541" s="1" t="str">
        <f t="shared" si="30"/>
        <v/>
      </c>
    </row>
    <row r="542" spans="14:16" x14ac:dyDescent="0.3">
      <c r="N542" s="1" t="str">
        <f t="shared" si="28"/>
        <v/>
      </c>
      <c r="O542" s="1" t="str">
        <f t="shared" si="29"/>
        <v/>
      </c>
      <c r="P542" s="1" t="str">
        <f t="shared" si="30"/>
        <v/>
      </c>
    </row>
    <row r="543" spans="14:16" x14ac:dyDescent="0.3">
      <c r="N543" s="1" t="str">
        <f t="shared" si="28"/>
        <v/>
      </c>
      <c r="O543" s="1" t="str">
        <f t="shared" si="29"/>
        <v/>
      </c>
      <c r="P543" s="1" t="str">
        <f t="shared" si="30"/>
        <v/>
      </c>
    </row>
    <row r="544" spans="14:16" x14ac:dyDescent="0.3">
      <c r="N544" s="1" t="str">
        <f t="shared" si="28"/>
        <v/>
      </c>
      <c r="O544" s="1" t="str">
        <f t="shared" si="29"/>
        <v/>
      </c>
      <c r="P544" s="1" t="str">
        <f t="shared" si="30"/>
        <v/>
      </c>
    </row>
    <row r="545" spans="14:16" x14ac:dyDescent="0.3">
      <c r="N545" s="1" t="str">
        <f t="shared" si="28"/>
        <v/>
      </c>
      <c r="O545" s="1" t="str">
        <f t="shared" si="29"/>
        <v/>
      </c>
      <c r="P545" s="1" t="str">
        <f t="shared" si="30"/>
        <v/>
      </c>
    </row>
    <row r="546" spans="14:16" x14ac:dyDescent="0.3">
      <c r="N546" s="1" t="str">
        <f t="shared" si="28"/>
        <v/>
      </c>
      <c r="O546" s="1" t="str">
        <f t="shared" si="29"/>
        <v/>
      </c>
      <c r="P546" s="1" t="str">
        <f t="shared" si="30"/>
        <v/>
      </c>
    </row>
    <row r="547" spans="14:16" x14ac:dyDescent="0.3">
      <c r="N547" s="1" t="str">
        <f t="shared" si="28"/>
        <v/>
      </c>
      <c r="O547" s="1" t="str">
        <f t="shared" si="29"/>
        <v/>
      </c>
      <c r="P547" s="1" t="str">
        <f t="shared" si="30"/>
        <v/>
      </c>
    </row>
    <row r="548" spans="14:16" x14ac:dyDescent="0.3">
      <c r="N548" s="1" t="str">
        <f t="shared" si="28"/>
        <v/>
      </c>
      <c r="O548" s="1" t="str">
        <f t="shared" si="29"/>
        <v/>
      </c>
      <c r="P548" s="1" t="str">
        <f t="shared" si="30"/>
        <v/>
      </c>
    </row>
    <row r="549" spans="14:16" x14ac:dyDescent="0.3">
      <c r="N549" s="1" t="str">
        <f t="shared" si="28"/>
        <v/>
      </c>
      <c r="O549" s="1" t="str">
        <f t="shared" si="29"/>
        <v/>
      </c>
      <c r="P549" s="1" t="str">
        <f t="shared" si="30"/>
        <v/>
      </c>
    </row>
    <row r="550" spans="14:16" x14ac:dyDescent="0.3">
      <c r="N550" s="1" t="str">
        <f t="shared" si="28"/>
        <v/>
      </c>
      <c r="O550" s="1" t="str">
        <f t="shared" si="29"/>
        <v/>
      </c>
      <c r="P550" s="1" t="str">
        <f t="shared" si="30"/>
        <v/>
      </c>
    </row>
    <row r="551" spans="14:16" x14ac:dyDescent="0.3">
      <c r="N551" s="1" t="str">
        <f t="shared" si="28"/>
        <v/>
      </c>
      <c r="O551" s="1" t="str">
        <f t="shared" si="29"/>
        <v/>
      </c>
      <c r="P551" s="1" t="str">
        <f t="shared" si="30"/>
        <v/>
      </c>
    </row>
    <row r="552" spans="14:16" x14ac:dyDescent="0.3">
      <c r="N552" s="1" t="str">
        <f t="shared" si="28"/>
        <v/>
      </c>
      <c r="O552" s="1" t="str">
        <f t="shared" si="29"/>
        <v/>
      </c>
      <c r="P552" s="1" t="str">
        <f t="shared" si="30"/>
        <v/>
      </c>
    </row>
    <row r="553" spans="14:16" x14ac:dyDescent="0.3">
      <c r="N553" s="1" t="str">
        <f t="shared" si="28"/>
        <v/>
      </c>
      <c r="O553" s="1" t="str">
        <f t="shared" si="29"/>
        <v/>
      </c>
      <c r="P553" s="1" t="str">
        <f t="shared" si="30"/>
        <v/>
      </c>
    </row>
    <row r="554" spans="14:16" x14ac:dyDescent="0.3">
      <c r="N554" s="1" t="str">
        <f t="shared" si="28"/>
        <v/>
      </c>
      <c r="O554" s="1" t="str">
        <f t="shared" si="29"/>
        <v/>
      </c>
      <c r="P554" s="1" t="str">
        <f t="shared" si="30"/>
        <v/>
      </c>
    </row>
    <row r="555" spans="14:16" x14ac:dyDescent="0.3">
      <c r="N555" s="1" t="str">
        <f t="shared" si="28"/>
        <v/>
      </c>
      <c r="O555" s="1" t="str">
        <f t="shared" si="29"/>
        <v/>
      </c>
      <c r="P555" s="1" t="str">
        <f t="shared" si="30"/>
        <v/>
      </c>
    </row>
    <row r="556" spans="14:16" x14ac:dyDescent="0.3">
      <c r="N556" s="1" t="str">
        <f t="shared" si="28"/>
        <v/>
      </c>
      <c r="O556" s="1" t="str">
        <f t="shared" si="29"/>
        <v/>
      </c>
      <c r="P556" s="1" t="str">
        <f t="shared" si="30"/>
        <v/>
      </c>
    </row>
    <row r="557" spans="14:16" x14ac:dyDescent="0.3">
      <c r="N557" s="1" t="str">
        <f t="shared" si="28"/>
        <v/>
      </c>
      <c r="O557" s="1" t="str">
        <f t="shared" si="29"/>
        <v/>
      </c>
      <c r="P557" s="1" t="str">
        <f t="shared" si="30"/>
        <v/>
      </c>
    </row>
    <row r="558" spans="14:16" x14ac:dyDescent="0.3">
      <c r="N558" s="1" t="str">
        <f t="shared" si="28"/>
        <v/>
      </c>
      <c r="O558" s="1" t="str">
        <f t="shared" si="29"/>
        <v/>
      </c>
      <c r="P558" s="1" t="str">
        <f t="shared" si="30"/>
        <v/>
      </c>
    </row>
    <row r="559" spans="14:16" x14ac:dyDescent="0.3">
      <c r="N559" s="1" t="str">
        <f t="shared" si="28"/>
        <v/>
      </c>
      <c r="O559" s="1" t="str">
        <f t="shared" si="29"/>
        <v/>
      </c>
      <c r="P559" s="1" t="str">
        <f t="shared" si="30"/>
        <v/>
      </c>
    </row>
    <row r="560" spans="14:16" x14ac:dyDescent="0.3">
      <c r="N560" s="1" t="str">
        <f t="shared" si="28"/>
        <v/>
      </c>
      <c r="O560" s="1" t="str">
        <f t="shared" si="29"/>
        <v/>
      </c>
      <c r="P560" s="1" t="str">
        <f t="shared" si="30"/>
        <v/>
      </c>
    </row>
    <row r="561" spans="14:16" x14ac:dyDescent="0.3">
      <c r="N561" s="1" t="str">
        <f t="shared" si="28"/>
        <v/>
      </c>
      <c r="O561" s="1" t="str">
        <f t="shared" si="29"/>
        <v/>
      </c>
      <c r="P561" s="1" t="str">
        <f t="shared" si="30"/>
        <v/>
      </c>
    </row>
    <row r="562" spans="14:16" x14ac:dyDescent="0.3">
      <c r="N562" s="1" t="str">
        <f t="shared" si="28"/>
        <v/>
      </c>
      <c r="O562" s="1" t="str">
        <f t="shared" si="29"/>
        <v/>
      </c>
      <c r="P562" s="1" t="str">
        <f t="shared" si="30"/>
        <v/>
      </c>
    </row>
    <row r="563" spans="14:16" x14ac:dyDescent="0.3">
      <c r="N563" s="1" t="str">
        <f t="shared" si="28"/>
        <v/>
      </c>
      <c r="O563" s="1" t="str">
        <f t="shared" si="29"/>
        <v/>
      </c>
      <c r="P563" s="1" t="str">
        <f t="shared" si="30"/>
        <v/>
      </c>
    </row>
    <row r="564" spans="14:16" x14ac:dyDescent="0.3">
      <c r="N564" s="1" t="str">
        <f t="shared" si="28"/>
        <v/>
      </c>
      <c r="O564" s="1" t="str">
        <f t="shared" si="29"/>
        <v/>
      </c>
      <c r="P564" s="1" t="str">
        <f t="shared" si="30"/>
        <v/>
      </c>
    </row>
    <row r="565" spans="14:16" x14ac:dyDescent="0.3">
      <c r="N565" s="1" t="str">
        <f t="shared" si="28"/>
        <v/>
      </c>
      <c r="O565" s="1" t="str">
        <f t="shared" si="29"/>
        <v/>
      </c>
      <c r="P565" s="1" t="str">
        <f t="shared" si="30"/>
        <v/>
      </c>
    </row>
    <row r="566" spans="14:16" x14ac:dyDescent="0.3">
      <c r="N566" s="1" t="str">
        <f t="shared" si="28"/>
        <v/>
      </c>
      <c r="O566" s="1" t="str">
        <f t="shared" si="29"/>
        <v/>
      </c>
      <c r="P566" s="1" t="str">
        <f t="shared" si="30"/>
        <v/>
      </c>
    </row>
    <row r="567" spans="14:16" x14ac:dyDescent="0.3">
      <c r="N567" s="1" t="str">
        <f t="shared" si="28"/>
        <v/>
      </c>
      <c r="O567" s="1" t="str">
        <f t="shared" si="29"/>
        <v/>
      </c>
      <c r="P567" s="1" t="str">
        <f t="shared" si="30"/>
        <v/>
      </c>
    </row>
    <row r="568" spans="14:16" x14ac:dyDescent="0.3">
      <c r="N568" s="1" t="str">
        <f t="shared" si="28"/>
        <v/>
      </c>
      <c r="O568" s="1" t="str">
        <f t="shared" si="29"/>
        <v/>
      </c>
      <c r="P568" s="1" t="str">
        <f t="shared" si="30"/>
        <v/>
      </c>
    </row>
    <row r="569" spans="14:16" x14ac:dyDescent="0.3">
      <c r="N569" s="1" t="str">
        <f t="shared" si="28"/>
        <v/>
      </c>
      <c r="O569" s="1" t="str">
        <f t="shared" si="29"/>
        <v/>
      </c>
      <c r="P569" s="1" t="str">
        <f t="shared" si="30"/>
        <v/>
      </c>
    </row>
    <row r="570" spans="14:16" x14ac:dyDescent="0.3">
      <c r="N570" s="1" t="str">
        <f t="shared" si="28"/>
        <v/>
      </c>
      <c r="O570" s="1" t="str">
        <f t="shared" si="29"/>
        <v/>
      </c>
      <c r="P570" s="1" t="str">
        <f t="shared" si="30"/>
        <v/>
      </c>
    </row>
    <row r="571" spans="14:16" x14ac:dyDescent="0.3">
      <c r="N571" s="1" t="str">
        <f t="shared" si="28"/>
        <v/>
      </c>
      <c r="O571" s="1" t="str">
        <f t="shared" si="29"/>
        <v/>
      </c>
      <c r="P571" s="1" t="str">
        <f t="shared" si="30"/>
        <v/>
      </c>
    </row>
    <row r="572" spans="14:16" x14ac:dyDescent="0.3">
      <c r="N572" s="1" t="str">
        <f t="shared" si="28"/>
        <v/>
      </c>
      <c r="O572" s="1" t="str">
        <f t="shared" si="29"/>
        <v/>
      </c>
      <c r="P572" s="1" t="str">
        <f t="shared" si="30"/>
        <v/>
      </c>
    </row>
    <row r="573" spans="14:16" x14ac:dyDescent="0.3">
      <c r="N573" s="1" t="str">
        <f t="shared" si="28"/>
        <v/>
      </c>
      <c r="O573" s="1" t="str">
        <f t="shared" si="29"/>
        <v/>
      </c>
      <c r="P573" s="1" t="str">
        <f t="shared" si="30"/>
        <v/>
      </c>
    </row>
    <row r="574" spans="14:16" x14ac:dyDescent="0.3">
      <c r="N574" s="1" t="str">
        <f t="shared" si="28"/>
        <v/>
      </c>
      <c r="O574" s="1" t="str">
        <f t="shared" si="29"/>
        <v/>
      </c>
      <c r="P574" s="1" t="str">
        <f t="shared" si="30"/>
        <v/>
      </c>
    </row>
    <row r="575" spans="14:16" x14ac:dyDescent="0.3">
      <c r="N575" s="1" t="str">
        <f t="shared" si="28"/>
        <v/>
      </c>
      <c r="O575" s="1" t="str">
        <f t="shared" si="29"/>
        <v/>
      </c>
      <c r="P575" s="1" t="str">
        <f t="shared" si="30"/>
        <v/>
      </c>
    </row>
    <row r="576" spans="14:16" x14ac:dyDescent="0.3">
      <c r="N576" s="1" t="str">
        <f t="shared" si="28"/>
        <v/>
      </c>
      <c r="O576" s="1" t="str">
        <f t="shared" si="29"/>
        <v/>
      </c>
      <c r="P576" s="1" t="str">
        <f t="shared" si="30"/>
        <v/>
      </c>
    </row>
    <row r="577" spans="14:16" x14ac:dyDescent="0.3">
      <c r="N577" s="1" t="str">
        <f t="shared" si="28"/>
        <v/>
      </c>
      <c r="O577" s="1" t="str">
        <f t="shared" si="29"/>
        <v/>
      </c>
      <c r="P577" s="1" t="str">
        <f t="shared" si="30"/>
        <v/>
      </c>
    </row>
    <row r="578" spans="14:16" x14ac:dyDescent="0.3">
      <c r="N578" s="1" t="str">
        <f t="shared" si="28"/>
        <v/>
      </c>
      <c r="O578" s="1" t="str">
        <f t="shared" si="29"/>
        <v/>
      </c>
      <c r="P578" s="1" t="str">
        <f t="shared" si="30"/>
        <v/>
      </c>
    </row>
    <row r="579" spans="14:16" x14ac:dyDescent="0.3">
      <c r="N579" s="1" t="str">
        <f t="shared" si="28"/>
        <v/>
      </c>
      <c r="O579" s="1" t="str">
        <f t="shared" si="29"/>
        <v/>
      </c>
      <c r="P579" s="1" t="str">
        <f t="shared" si="30"/>
        <v/>
      </c>
    </row>
    <row r="580" spans="14:16" x14ac:dyDescent="0.3">
      <c r="N580" s="1" t="str">
        <f t="shared" si="28"/>
        <v/>
      </c>
      <c r="O580" s="1" t="str">
        <f t="shared" si="29"/>
        <v/>
      </c>
      <c r="P580" s="1" t="str">
        <f t="shared" si="30"/>
        <v/>
      </c>
    </row>
    <row r="581" spans="14:16" x14ac:dyDescent="0.3">
      <c r="N581" s="1" t="str">
        <f t="shared" si="28"/>
        <v/>
      </c>
      <c r="O581" s="1" t="str">
        <f t="shared" si="29"/>
        <v/>
      </c>
      <c r="P581" s="1" t="str">
        <f t="shared" si="30"/>
        <v/>
      </c>
    </row>
    <row r="582" spans="14:16" x14ac:dyDescent="0.3">
      <c r="N582" s="1" t="str">
        <f t="shared" si="28"/>
        <v/>
      </c>
      <c r="O582" s="1" t="str">
        <f t="shared" si="29"/>
        <v/>
      </c>
      <c r="P582" s="1" t="str">
        <f t="shared" si="30"/>
        <v/>
      </c>
    </row>
    <row r="583" spans="14:16" x14ac:dyDescent="0.3">
      <c r="N583" s="1" t="str">
        <f t="shared" ref="N583:N646" si="31">IF(LEN($C583)&gt;0,H583-E583,"")</f>
        <v/>
      </c>
      <c r="O583" s="1" t="str">
        <f t="shared" ref="O583:O646" si="32">IF(LEN($C583)&gt;0,I583-F583,"")</f>
        <v/>
      </c>
      <c r="P583" s="1" t="str">
        <f t="shared" ref="P583:P646" si="33">IF(LEN($C583)&gt;0,J583-G583,"")</f>
        <v/>
      </c>
    </row>
    <row r="584" spans="14:16" x14ac:dyDescent="0.3">
      <c r="N584" s="1" t="str">
        <f t="shared" si="31"/>
        <v/>
      </c>
      <c r="O584" s="1" t="str">
        <f t="shared" si="32"/>
        <v/>
      </c>
      <c r="P584" s="1" t="str">
        <f t="shared" si="33"/>
        <v/>
      </c>
    </row>
    <row r="585" spans="14:16" x14ac:dyDescent="0.3">
      <c r="N585" s="1" t="str">
        <f t="shared" si="31"/>
        <v/>
      </c>
      <c r="O585" s="1" t="str">
        <f t="shared" si="32"/>
        <v/>
      </c>
      <c r="P585" s="1" t="str">
        <f t="shared" si="33"/>
        <v/>
      </c>
    </row>
    <row r="586" spans="14:16" x14ac:dyDescent="0.3">
      <c r="N586" s="1" t="str">
        <f t="shared" si="31"/>
        <v/>
      </c>
      <c r="O586" s="1" t="str">
        <f t="shared" si="32"/>
        <v/>
      </c>
      <c r="P586" s="1" t="str">
        <f t="shared" si="33"/>
        <v/>
      </c>
    </row>
    <row r="587" spans="14:16" x14ac:dyDescent="0.3">
      <c r="N587" s="1" t="str">
        <f t="shared" si="31"/>
        <v/>
      </c>
      <c r="O587" s="1" t="str">
        <f t="shared" si="32"/>
        <v/>
      </c>
      <c r="P587" s="1" t="str">
        <f t="shared" si="33"/>
        <v/>
      </c>
    </row>
    <row r="588" spans="14:16" x14ac:dyDescent="0.3">
      <c r="N588" s="1" t="str">
        <f t="shared" si="31"/>
        <v/>
      </c>
      <c r="O588" s="1" t="str">
        <f t="shared" si="32"/>
        <v/>
      </c>
      <c r="P588" s="1" t="str">
        <f t="shared" si="33"/>
        <v/>
      </c>
    </row>
    <row r="589" spans="14:16" x14ac:dyDescent="0.3">
      <c r="N589" s="1" t="str">
        <f t="shared" si="31"/>
        <v/>
      </c>
      <c r="O589" s="1" t="str">
        <f t="shared" si="32"/>
        <v/>
      </c>
      <c r="P589" s="1" t="str">
        <f t="shared" si="33"/>
        <v/>
      </c>
    </row>
    <row r="590" spans="14:16" x14ac:dyDescent="0.3">
      <c r="N590" s="1" t="str">
        <f t="shared" si="31"/>
        <v/>
      </c>
      <c r="O590" s="1" t="str">
        <f t="shared" si="32"/>
        <v/>
      </c>
      <c r="P590" s="1" t="str">
        <f t="shared" si="33"/>
        <v/>
      </c>
    </row>
    <row r="591" spans="14:16" x14ac:dyDescent="0.3">
      <c r="N591" s="1" t="str">
        <f t="shared" si="31"/>
        <v/>
      </c>
      <c r="O591" s="1" t="str">
        <f t="shared" si="32"/>
        <v/>
      </c>
      <c r="P591" s="1" t="str">
        <f t="shared" si="33"/>
        <v/>
      </c>
    </row>
    <row r="592" spans="14:16" x14ac:dyDescent="0.3">
      <c r="N592" s="1" t="str">
        <f t="shared" si="31"/>
        <v/>
      </c>
      <c r="O592" s="1" t="str">
        <f t="shared" si="32"/>
        <v/>
      </c>
      <c r="P592" s="1" t="str">
        <f t="shared" si="33"/>
        <v/>
      </c>
    </row>
    <row r="593" spans="14:16" x14ac:dyDescent="0.3">
      <c r="N593" s="1" t="str">
        <f t="shared" si="31"/>
        <v/>
      </c>
      <c r="O593" s="1" t="str">
        <f t="shared" si="32"/>
        <v/>
      </c>
      <c r="P593" s="1" t="str">
        <f t="shared" si="33"/>
        <v/>
      </c>
    </row>
    <row r="594" spans="14:16" x14ac:dyDescent="0.3">
      <c r="N594" s="1" t="str">
        <f t="shared" si="31"/>
        <v/>
      </c>
      <c r="O594" s="1" t="str">
        <f t="shared" si="32"/>
        <v/>
      </c>
      <c r="P594" s="1" t="str">
        <f t="shared" si="33"/>
        <v/>
      </c>
    </row>
    <row r="595" spans="14:16" x14ac:dyDescent="0.3">
      <c r="N595" s="1" t="str">
        <f t="shared" si="31"/>
        <v/>
      </c>
      <c r="O595" s="1" t="str">
        <f t="shared" si="32"/>
        <v/>
      </c>
      <c r="P595" s="1" t="str">
        <f t="shared" si="33"/>
        <v/>
      </c>
    </row>
    <row r="596" spans="14:16" x14ac:dyDescent="0.3">
      <c r="N596" s="1" t="str">
        <f t="shared" si="31"/>
        <v/>
      </c>
      <c r="O596" s="1" t="str">
        <f t="shared" si="32"/>
        <v/>
      </c>
      <c r="P596" s="1" t="str">
        <f t="shared" si="33"/>
        <v/>
      </c>
    </row>
    <row r="597" spans="14:16" x14ac:dyDescent="0.3">
      <c r="N597" s="1" t="str">
        <f t="shared" si="31"/>
        <v/>
      </c>
      <c r="O597" s="1" t="str">
        <f t="shared" si="32"/>
        <v/>
      </c>
      <c r="P597" s="1" t="str">
        <f t="shared" si="33"/>
        <v/>
      </c>
    </row>
    <row r="598" spans="14:16" x14ac:dyDescent="0.3">
      <c r="N598" s="1" t="str">
        <f t="shared" si="31"/>
        <v/>
      </c>
      <c r="O598" s="1" t="str">
        <f t="shared" si="32"/>
        <v/>
      </c>
      <c r="P598" s="1" t="str">
        <f t="shared" si="33"/>
        <v/>
      </c>
    </row>
    <row r="599" spans="14:16" x14ac:dyDescent="0.3">
      <c r="N599" s="1" t="str">
        <f t="shared" si="31"/>
        <v/>
      </c>
      <c r="O599" s="1" t="str">
        <f t="shared" si="32"/>
        <v/>
      </c>
      <c r="P599" s="1" t="str">
        <f t="shared" si="33"/>
        <v/>
      </c>
    </row>
    <row r="600" spans="14:16" x14ac:dyDescent="0.3">
      <c r="N600" s="1" t="str">
        <f t="shared" si="31"/>
        <v/>
      </c>
      <c r="O600" s="1" t="str">
        <f t="shared" si="32"/>
        <v/>
      </c>
      <c r="P600" s="1" t="str">
        <f t="shared" si="33"/>
        <v/>
      </c>
    </row>
    <row r="601" spans="14:16" x14ac:dyDescent="0.3">
      <c r="N601" s="1" t="str">
        <f t="shared" si="31"/>
        <v/>
      </c>
      <c r="O601" s="1" t="str">
        <f t="shared" si="32"/>
        <v/>
      </c>
      <c r="P601" s="1" t="str">
        <f t="shared" si="33"/>
        <v/>
      </c>
    </row>
    <row r="602" spans="14:16" x14ac:dyDescent="0.3">
      <c r="N602" s="1" t="str">
        <f t="shared" si="31"/>
        <v/>
      </c>
      <c r="O602" s="1" t="str">
        <f t="shared" si="32"/>
        <v/>
      </c>
      <c r="P602" s="1" t="str">
        <f t="shared" si="33"/>
        <v/>
      </c>
    </row>
    <row r="603" spans="14:16" x14ac:dyDescent="0.3">
      <c r="N603" s="1" t="str">
        <f t="shared" si="31"/>
        <v/>
      </c>
      <c r="O603" s="1" t="str">
        <f t="shared" si="32"/>
        <v/>
      </c>
      <c r="P603" s="1" t="str">
        <f t="shared" si="33"/>
        <v/>
      </c>
    </row>
    <row r="604" spans="14:16" x14ac:dyDescent="0.3">
      <c r="N604" s="1" t="str">
        <f t="shared" si="31"/>
        <v/>
      </c>
      <c r="O604" s="1" t="str">
        <f t="shared" si="32"/>
        <v/>
      </c>
      <c r="P604" s="1" t="str">
        <f t="shared" si="33"/>
        <v/>
      </c>
    </row>
    <row r="605" spans="14:16" x14ac:dyDescent="0.3">
      <c r="N605" s="1" t="str">
        <f t="shared" si="31"/>
        <v/>
      </c>
      <c r="O605" s="1" t="str">
        <f t="shared" si="32"/>
        <v/>
      </c>
      <c r="P605" s="1" t="str">
        <f t="shared" si="33"/>
        <v/>
      </c>
    </row>
    <row r="606" spans="14:16" x14ac:dyDescent="0.3">
      <c r="N606" s="1" t="str">
        <f t="shared" si="31"/>
        <v/>
      </c>
      <c r="O606" s="1" t="str">
        <f t="shared" si="32"/>
        <v/>
      </c>
      <c r="P606" s="1" t="str">
        <f t="shared" si="33"/>
        <v/>
      </c>
    </row>
    <row r="607" spans="14:16" x14ac:dyDescent="0.3">
      <c r="N607" s="1" t="str">
        <f t="shared" si="31"/>
        <v/>
      </c>
      <c r="O607" s="1" t="str">
        <f t="shared" si="32"/>
        <v/>
      </c>
      <c r="P607" s="1" t="str">
        <f t="shared" si="33"/>
        <v/>
      </c>
    </row>
    <row r="608" spans="14:16" x14ac:dyDescent="0.3">
      <c r="N608" s="1" t="str">
        <f t="shared" si="31"/>
        <v/>
      </c>
      <c r="O608" s="1" t="str">
        <f t="shared" si="32"/>
        <v/>
      </c>
      <c r="P608" s="1" t="str">
        <f t="shared" si="33"/>
        <v/>
      </c>
    </row>
    <row r="609" spans="14:16" x14ac:dyDescent="0.3">
      <c r="N609" s="1" t="str">
        <f t="shared" si="31"/>
        <v/>
      </c>
      <c r="O609" s="1" t="str">
        <f t="shared" si="32"/>
        <v/>
      </c>
      <c r="P609" s="1" t="str">
        <f t="shared" si="33"/>
        <v/>
      </c>
    </row>
    <row r="610" spans="14:16" x14ac:dyDescent="0.3">
      <c r="N610" s="1" t="str">
        <f t="shared" si="31"/>
        <v/>
      </c>
      <c r="O610" s="1" t="str">
        <f t="shared" si="32"/>
        <v/>
      </c>
      <c r="P610" s="1" t="str">
        <f t="shared" si="33"/>
        <v/>
      </c>
    </row>
    <row r="611" spans="14:16" x14ac:dyDescent="0.3">
      <c r="N611" s="1" t="str">
        <f t="shared" si="31"/>
        <v/>
      </c>
      <c r="O611" s="1" t="str">
        <f t="shared" si="32"/>
        <v/>
      </c>
      <c r="P611" s="1" t="str">
        <f t="shared" si="33"/>
        <v/>
      </c>
    </row>
    <row r="612" spans="14:16" x14ac:dyDescent="0.3">
      <c r="N612" s="1" t="str">
        <f t="shared" si="31"/>
        <v/>
      </c>
      <c r="O612" s="1" t="str">
        <f t="shared" si="32"/>
        <v/>
      </c>
      <c r="P612" s="1" t="str">
        <f t="shared" si="33"/>
        <v/>
      </c>
    </row>
    <row r="613" spans="14:16" x14ac:dyDescent="0.3">
      <c r="N613" s="1" t="str">
        <f t="shared" si="31"/>
        <v/>
      </c>
      <c r="O613" s="1" t="str">
        <f t="shared" si="32"/>
        <v/>
      </c>
      <c r="P613" s="1" t="str">
        <f t="shared" si="33"/>
        <v/>
      </c>
    </row>
    <row r="614" spans="14:16" x14ac:dyDescent="0.3">
      <c r="N614" s="1" t="str">
        <f t="shared" si="31"/>
        <v/>
      </c>
      <c r="O614" s="1" t="str">
        <f t="shared" si="32"/>
        <v/>
      </c>
      <c r="P614" s="1" t="str">
        <f t="shared" si="33"/>
        <v/>
      </c>
    </row>
    <row r="615" spans="14:16" x14ac:dyDescent="0.3">
      <c r="N615" s="1" t="str">
        <f t="shared" si="31"/>
        <v/>
      </c>
      <c r="O615" s="1" t="str">
        <f t="shared" si="32"/>
        <v/>
      </c>
      <c r="P615" s="1" t="str">
        <f t="shared" si="33"/>
        <v/>
      </c>
    </row>
    <row r="616" spans="14:16" x14ac:dyDescent="0.3">
      <c r="N616" s="1" t="str">
        <f t="shared" si="31"/>
        <v/>
      </c>
      <c r="O616" s="1" t="str">
        <f t="shared" si="32"/>
        <v/>
      </c>
      <c r="P616" s="1" t="str">
        <f t="shared" si="33"/>
        <v/>
      </c>
    </row>
    <row r="617" spans="14:16" x14ac:dyDescent="0.3">
      <c r="N617" s="1" t="str">
        <f t="shared" si="31"/>
        <v/>
      </c>
      <c r="O617" s="1" t="str">
        <f t="shared" si="32"/>
        <v/>
      </c>
      <c r="P617" s="1" t="str">
        <f t="shared" si="33"/>
        <v/>
      </c>
    </row>
    <row r="618" spans="14:16" x14ac:dyDescent="0.3">
      <c r="N618" s="1" t="str">
        <f t="shared" si="31"/>
        <v/>
      </c>
      <c r="O618" s="1" t="str">
        <f t="shared" si="32"/>
        <v/>
      </c>
      <c r="P618" s="1" t="str">
        <f t="shared" si="33"/>
        <v/>
      </c>
    </row>
    <row r="619" spans="14:16" x14ac:dyDescent="0.3">
      <c r="N619" s="1" t="str">
        <f t="shared" si="31"/>
        <v/>
      </c>
      <c r="O619" s="1" t="str">
        <f t="shared" si="32"/>
        <v/>
      </c>
      <c r="P619" s="1" t="str">
        <f t="shared" si="33"/>
        <v/>
      </c>
    </row>
    <row r="620" spans="14:16" x14ac:dyDescent="0.3">
      <c r="N620" s="1" t="str">
        <f t="shared" si="31"/>
        <v/>
      </c>
      <c r="O620" s="1" t="str">
        <f t="shared" si="32"/>
        <v/>
      </c>
      <c r="P620" s="1" t="str">
        <f t="shared" si="33"/>
        <v/>
      </c>
    </row>
    <row r="621" spans="14:16" x14ac:dyDescent="0.3">
      <c r="N621" s="1" t="str">
        <f t="shared" si="31"/>
        <v/>
      </c>
      <c r="O621" s="1" t="str">
        <f t="shared" si="32"/>
        <v/>
      </c>
      <c r="P621" s="1" t="str">
        <f t="shared" si="33"/>
        <v/>
      </c>
    </row>
    <row r="622" spans="14:16" x14ac:dyDescent="0.3">
      <c r="N622" s="1" t="str">
        <f t="shared" si="31"/>
        <v/>
      </c>
      <c r="O622" s="1" t="str">
        <f t="shared" si="32"/>
        <v/>
      </c>
      <c r="P622" s="1" t="str">
        <f t="shared" si="33"/>
        <v/>
      </c>
    </row>
    <row r="623" spans="14:16" x14ac:dyDescent="0.3">
      <c r="N623" s="1" t="str">
        <f t="shared" si="31"/>
        <v/>
      </c>
      <c r="O623" s="1" t="str">
        <f t="shared" si="32"/>
        <v/>
      </c>
      <c r="P623" s="1" t="str">
        <f t="shared" si="33"/>
        <v/>
      </c>
    </row>
    <row r="624" spans="14:16" x14ac:dyDescent="0.3">
      <c r="N624" s="1" t="str">
        <f t="shared" si="31"/>
        <v/>
      </c>
      <c r="O624" s="1" t="str">
        <f t="shared" si="32"/>
        <v/>
      </c>
      <c r="P624" s="1" t="str">
        <f t="shared" si="33"/>
        <v/>
      </c>
    </row>
    <row r="625" spans="14:16" x14ac:dyDescent="0.3">
      <c r="N625" s="1" t="str">
        <f t="shared" si="31"/>
        <v/>
      </c>
      <c r="O625" s="1" t="str">
        <f t="shared" si="32"/>
        <v/>
      </c>
      <c r="P625" s="1" t="str">
        <f t="shared" si="33"/>
        <v/>
      </c>
    </row>
    <row r="626" spans="14:16" x14ac:dyDescent="0.3">
      <c r="N626" s="1" t="str">
        <f t="shared" si="31"/>
        <v/>
      </c>
      <c r="O626" s="1" t="str">
        <f t="shared" si="32"/>
        <v/>
      </c>
      <c r="P626" s="1" t="str">
        <f t="shared" si="33"/>
        <v/>
      </c>
    </row>
    <row r="627" spans="14:16" x14ac:dyDescent="0.3">
      <c r="N627" s="1" t="str">
        <f t="shared" si="31"/>
        <v/>
      </c>
      <c r="O627" s="1" t="str">
        <f t="shared" si="32"/>
        <v/>
      </c>
      <c r="P627" s="1" t="str">
        <f t="shared" si="33"/>
        <v/>
      </c>
    </row>
    <row r="628" spans="14:16" x14ac:dyDescent="0.3">
      <c r="N628" s="1" t="str">
        <f t="shared" si="31"/>
        <v/>
      </c>
      <c r="O628" s="1" t="str">
        <f t="shared" si="32"/>
        <v/>
      </c>
      <c r="P628" s="1" t="str">
        <f t="shared" si="33"/>
        <v/>
      </c>
    </row>
    <row r="629" spans="14:16" x14ac:dyDescent="0.3">
      <c r="N629" s="1" t="str">
        <f t="shared" si="31"/>
        <v/>
      </c>
      <c r="O629" s="1" t="str">
        <f t="shared" si="32"/>
        <v/>
      </c>
      <c r="P629" s="1" t="str">
        <f t="shared" si="33"/>
        <v/>
      </c>
    </row>
    <row r="630" spans="14:16" x14ac:dyDescent="0.3">
      <c r="N630" s="1" t="str">
        <f t="shared" si="31"/>
        <v/>
      </c>
      <c r="O630" s="1" t="str">
        <f t="shared" si="32"/>
        <v/>
      </c>
      <c r="P630" s="1" t="str">
        <f t="shared" si="33"/>
        <v/>
      </c>
    </row>
    <row r="631" spans="14:16" x14ac:dyDescent="0.3">
      <c r="N631" s="1" t="str">
        <f t="shared" si="31"/>
        <v/>
      </c>
      <c r="O631" s="1" t="str">
        <f t="shared" si="32"/>
        <v/>
      </c>
      <c r="P631" s="1" t="str">
        <f t="shared" si="33"/>
        <v/>
      </c>
    </row>
    <row r="632" spans="14:16" x14ac:dyDescent="0.3">
      <c r="N632" s="1" t="str">
        <f t="shared" si="31"/>
        <v/>
      </c>
      <c r="O632" s="1" t="str">
        <f t="shared" si="32"/>
        <v/>
      </c>
      <c r="P632" s="1" t="str">
        <f t="shared" si="33"/>
        <v/>
      </c>
    </row>
    <row r="633" spans="14:16" x14ac:dyDescent="0.3">
      <c r="N633" s="1" t="str">
        <f t="shared" si="31"/>
        <v/>
      </c>
      <c r="O633" s="1" t="str">
        <f t="shared" si="32"/>
        <v/>
      </c>
      <c r="P633" s="1" t="str">
        <f t="shared" si="33"/>
        <v/>
      </c>
    </row>
    <row r="634" spans="14:16" x14ac:dyDescent="0.3">
      <c r="N634" s="1" t="str">
        <f t="shared" si="31"/>
        <v/>
      </c>
      <c r="O634" s="1" t="str">
        <f t="shared" si="32"/>
        <v/>
      </c>
      <c r="P634" s="1" t="str">
        <f t="shared" si="33"/>
        <v/>
      </c>
    </row>
    <row r="635" spans="14:16" x14ac:dyDescent="0.3">
      <c r="N635" s="1" t="str">
        <f t="shared" si="31"/>
        <v/>
      </c>
      <c r="O635" s="1" t="str">
        <f t="shared" si="32"/>
        <v/>
      </c>
      <c r="P635" s="1" t="str">
        <f t="shared" si="33"/>
        <v/>
      </c>
    </row>
    <row r="636" spans="14:16" x14ac:dyDescent="0.3">
      <c r="N636" s="1" t="str">
        <f t="shared" si="31"/>
        <v/>
      </c>
      <c r="O636" s="1" t="str">
        <f t="shared" si="32"/>
        <v/>
      </c>
      <c r="P636" s="1" t="str">
        <f t="shared" si="33"/>
        <v/>
      </c>
    </row>
    <row r="637" spans="14:16" x14ac:dyDescent="0.3">
      <c r="N637" s="1" t="str">
        <f t="shared" si="31"/>
        <v/>
      </c>
      <c r="O637" s="1" t="str">
        <f t="shared" si="32"/>
        <v/>
      </c>
      <c r="P637" s="1" t="str">
        <f t="shared" si="33"/>
        <v/>
      </c>
    </row>
    <row r="638" spans="14:16" x14ac:dyDescent="0.3">
      <c r="N638" s="1" t="str">
        <f t="shared" si="31"/>
        <v/>
      </c>
      <c r="O638" s="1" t="str">
        <f t="shared" si="32"/>
        <v/>
      </c>
      <c r="P638" s="1" t="str">
        <f t="shared" si="33"/>
        <v/>
      </c>
    </row>
    <row r="639" spans="14:16" x14ac:dyDescent="0.3">
      <c r="N639" s="1" t="str">
        <f t="shared" si="31"/>
        <v/>
      </c>
      <c r="O639" s="1" t="str">
        <f t="shared" si="32"/>
        <v/>
      </c>
      <c r="P639" s="1" t="str">
        <f t="shared" si="33"/>
        <v/>
      </c>
    </row>
    <row r="640" spans="14:16" x14ac:dyDescent="0.3">
      <c r="N640" s="1" t="str">
        <f t="shared" si="31"/>
        <v/>
      </c>
      <c r="O640" s="1" t="str">
        <f t="shared" si="32"/>
        <v/>
      </c>
      <c r="P640" s="1" t="str">
        <f t="shared" si="33"/>
        <v/>
      </c>
    </row>
    <row r="641" spans="14:16" x14ac:dyDescent="0.3">
      <c r="N641" s="1" t="str">
        <f t="shared" si="31"/>
        <v/>
      </c>
      <c r="O641" s="1" t="str">
        <f t="shared" si="32"/>
        <v/>
      </c>
      <c r="P641" s="1" t="str">
        <f t="shared" si="33"/>
        <v/>
      </c>
    </row>
    <row r="642" spans="14:16" x14ac:dyDescent="0.3">
      <c r="N642" s="1" t="str">
        <f t="shared" si="31"/>
        <v/>
      </c>
      <c r="O642" s="1" t="str">
        <f t="shared" si="32"/>
        <v/>
      </c>
      <c r="P642" s="1" t="str">
        <f t="shared" si="33"/>
        <v/>
      </c>
    </row>
    <row r="643" spans="14:16" x14ac:dyDescent="0.3">
      <c r="N643" s="1" t="str">
        <f t="shared" si="31"/>
        <v/>
      </c>
      <c r="O643" s="1" t="str">
        <f t="shared" si="32"/>
        <v/>
      </c>
      <c r="P643" s="1" t="str">
        <f t="shared" si="33"/>
        <v/>
      </c>
    </row>
    <row r="644" spans="14:16" x14ac:dyDescent="0.3">
      <c r="N644" s="1" t="str">
        <f t="shared" si="31"/>
        <v/>
      </c>
      <c r="O644" s="1" t="str">
        <f t="shared" si="32"/>
        <v/>
      </c>
      <c r="P644" s="1" t="str">
        <f t="shared" si="33"/>
        <v/>
      </c>
    </row>
    <row r="645" spans="14:16" x14ac:dyDescent="0.3">
      <c r="N645" s="1" t="str">
        <f t="shared" si="31"/>
        <v/>
      </c>
      <c r="O645" s="1" t="str">
        <f t="shared" si="32"/>
        <v/>
      </c>
      <c r="P645" s="1" t="str">
        <f t="shared" si="33"/>
        <v/>
      </c>
    </row>
    <row r="646" spans="14:16" x14ac:dyDescent="0.3">
      <c r="N646" s="1" t="str">
        <f t="shared" si="31"/>
        <v/>
      </c>
      <c r="O646" s="1" t="str">
        <f t="shared" si="32"/>
        <v/>
      </c>
      <c r="P646" s="1" t="str">
        <f t="shared" si="33"/>
        <v/>
      </c>
    </row>
    <row r="647" spans="14:16" x14ac:dyDescent="0.3">
      <c r="N647" s="1" t="str">
        <f t="shared" ref="N647:N710" si="34">IF(LEN($C647)&gt;0,H647-E647,"")</f>
        <v/>
      </c>
      <c r="O647" s="1" t="str">
        <f t="shared" ref="O647:O710" si="35">IF(LEN($C647)&gt;0,I647-F647,"")</f>
        <v/>
      </c>
      <c r="P647" s="1" t="str">
        <f t="shared" ref="P647:P710" si="36">IF(LEN($C647)&gt;0,J647-G647,"")</f>
        <v/>
      </c>
    </row>
    <row r="648" spans="14:16" x14ac:dyDescent="0.3">
      <c r="N648" s="1" t="str">
        <f t="shared" si="34"/>
        <v/>
      </c>
      <c r="O648" s="1" t="str">
        <f t="shared" si="35"/>
        <v/>
      </c>
      <c r="P648" s="1" t="str">
        <f t="shared" si="36"/>
        <v/>
      </c>
    </row>
    <row r="649" spans="14:16" x14ac:dyDescent="0.3">
      <c r="N649" s="1" t="str">
        <f t="shared" si="34"/>
        <v/>
      </c>
      <c r="O649" s="1" t="str">
        <f t="shared" si="35"/>
        <v/>
      </c>
      <c r="P649" s="1" t="str">
        <f t="shared" si="36"/>
        <v/>
      </c>
    </row>
    <row r="650" spans="14:16" x14ac:dyDescent="0.3">
      <c r="N650" s="1" t="str">
        <f t="shared" si="34"/>
        <v/>
      </c>
      <c r="O650" s="1" t="str">
        <f t="shared" si="35"/>
        <v/>
      </c>
      <c r="P650" s="1" t="str">
        <f t="shared" si="36"/>
        <v/>
      </c>
    </row>
    <row r="651" spans="14:16" x14ac:dyDescent="0.3">
      <c r="N651" s="1" t="str">
        <f t="shared" si="34"/>
        <v/>
      </c>
      <c r="O651" s="1" t="str">
        <f t="shared" si="35"/>
        <v/>
      </c>
      <c r="P651" s="1" t="str">
        <f t="shared" si="36"/>
        <v/>
      </c>
    </row>
    <row r="652" spans="14:16" x14ac:dyDescent="0.3">
      <c r="N652" s="1" t="str">
        <f t="shared" si="34"/>
        <v/>
      </c>
      <c r="O652" s="1" t="str">
        <f t="shared" si="35"/>
        <v/>
      </c>
      <c r="P652" s="1" t="str">
        <f t="shared" si="36"/>
        <v/>
      </c>
    </row>
    <row r="653" spans="14:16" x14ac:dyDescent="0.3">
      <c r="N653" s="1" t="str">
        <f t="shared" si="34"/>
        <v/>
      </c>
      <c r="O653" s="1" t="str">
        <f t="shared" si="35"/>
        <v/>
      </c>
      <c r="P653" s="1" t="str">
        <f t="shared" si="36"/>
        <v/>
      </c>
    </row>
    <row r="654" spans="14:16" x14ac:dyDescent="0.3">
      <c r="N654" s="1" t="str">
        <f t="shared" si="34"/>
        <v/>
      </c>
      <c r="O654" s="1" t="str">
        <f t="shared" si="35"/>
        <v/>
      </c>
      <c r="P654" s="1" t="str">
        <f t="shared" si="36"/>
        <v/>
      </c>
    </row>
    <row r="655" spans="14:16" x14ac:dyDescent="0.3">
      <c r="N655" s="1" t="str">
        <f t="shared" si="34"/>
        <v/>
      </c>
      <c r="O655" s="1" t="str">
        <f t="shared" si="35"/>
        <v/>
      </c>
      <c r="P655" s="1" t="str">
        <f t="shared" si="36"/>
        <v/>
      </c>
    </row>
    <row r="656" spans="14:16" x14ac:dyDescent="0.3">
      <c r="N656" s="1" t="str">
        <f t="shared" si="34"/>
        <v/>
      </c>
      <c r="O656" s="1" t="str">
        <f t="shared" si="35"/>
        <v/>
      </c>
      <c r="P656" s="1" t="str">
        <f t="shared" si="36"/>
        <v/>
      </c>
    </row>
    <row r="657" spans="14:16" x14ac:dyDescent="0.3">
      <c r="N657" s="1" t="str">
        <f t="shared" si="34"/>
        <v/>
      </c>
      <c r="O657" s="1" t="str">
        <f t="shared" si="35"/>
        <v/>
      </c>
      <c r="P657" s="1" t="str">
        <f t="shared" si="36"/>
        <v/>
      </c>
    </row>
    <row r="658" spans="14:16" x14ac:dyDescent="0.3">
      <c r="N658" s="1" t="str">
        <f t="shared" si="34"/>
        <v/>
      </c>
      <c r="O658" s="1" t="str">
        <f t="shared" si="35"/>
        <v/>
      </c>
      <c r="P658" s="1" t="str">
        <f t="shared" si="36"/>
        <v/>
      </c>
    </row>
    <row r="659" spans="14:16" x14ac:dyDescent="0.3">
      <c r="N659" s="1" t="str">
        <f t="shared" si="34"/>
        <v/>
      </c>
      <c r="O659" s="1" t="str">
        <f t="shared" si="35"/>
        <v/>
      </c>
      <c r="P659" s="1" t="str">
        <f t="shared" si="36"/>
        <v/>
      </c>
    </row>
    <row r="660" spans="14:16" x14ac:dyDescent="0.3">
      <c r="N660" s="1" t="str">
        <f t="shared" si="34"/>
        <v/>
      </c>
      <c r="O660" s="1" t="str">
        <f t="shared" si="35"/>
        <v/>
      </c>
      <c r="P660" s="1" t="str">
        <f t="shared" si="36"/>
        <v/>
      </c>
    </row>
    <row r="661" spans="14:16" x14ac:dyDescent="0.3">
      <c r="N661" s="1" t="str">
        <f t="shared" si="34"/>
        <v/>
      </c>
      <c r="O661" s="1" t="str">
        <f t="shared" si="35"/>
        <v/>
      </c>
      <c r="P661" s="1" t="str">
        <f t="shared" si="36"/>
        <v/>
      </c>
    </row>
    <row r="662" spans="14:16" x14ac:dyDescent="0.3">
      <c r="N662" s="1" t="str">
        <f t="shared" si="34"/>
        <v/>
      </c>
      <c r="O662" s="1" t="str">
        <f t="shared" si="35"/>
        <v/>
      </c>
      <c r="P662" s="1" t="str">
        <f t="shared" si="36"/>
        <v/>
      </c>
    </row>
    <row r="663" spans="14:16" x14ac:dyDescent="0.3">
      <c r="N663" s="1" t="str">
        <f t="shared" si="34"/>
        <v/>
      </c>
      <c r="O663" s="1" t="str">
        <f t="shared" si="35"/>
        <v/>
      </c>
      <c r="P663" s="1" t="str">
        <f t="shared" si="36"/>
        <v/>
      </c>
    </row>
    <row r="664" spans="14:16" x14ac:dyDescent="0.3">
      <c r="N664" s="1" t="str">
        <f t="shared" si="34"/>
        <v/>
      </c>
      <c r="O664" s="1" t="str">
        <f t="shared" si="35"/>
        <v/>
      </c>
      <c r="P664" s="1" t="str">
        <f t="shared" si="36"/>
        <v/>
      </c>
    </row>
    <row r="665" spans="14:16" x14ac:dyDescent="0.3">
      <c r="N665" s="1" t="str">
        <f t="shared" si="34"/>
        <v/>
      </c>
      <c r="O665" s="1" t="str">
        <f t="shared" si="35"/>
        <v/>
      </c>
      <c r="P665" s="1" t="str">
        <f t="shared" si="36"/>
        <v/>
      </c>
    </row>
    <row r="666" spans="14:16" x14ac:dyDescent="0.3">
      <c r="N666" s="1" t="str">
        <f t="shared" si="34"/>
        <v/>
      </c>
      <c r="O666" s="1" t="str">
        <f t="shared" si="35"/>
        <v/>
      </c>
      <c r="P666" s="1" t="str">
        <f t="shared" si="36"/>
        <v/>
      </c>
    </row>
    <row r="667" spans="14:16" x14ac:dyDescent="0.3">
      <c r="N667" s="1" t="str">
        <f t="shared" si="34"/>
        <v/>
      </c>
      <c r="O667" s="1" t="str">
        <f t="shared" si="35"/>
        <v/>
      </c>
      <c r="P667" s="1" t="str">
        <f t="shared" si="36"/>
        <v/>
      </c>
    </row>
    <row r="668" spans="14:16" x14ac:dyDescent="0.3">
      <c r="N668" s="1" t="str">
        <f t="shared" si="34"/>
        <v/>
      </c>
      <c r="O668" s="1" t="str">
        <f t="shared" si="35"/>
        <v/>
      </c>
      <c r="P668" s="1" t="str">
        <f t="shared" si="36"/>
        <v/>
      </c>
    </row>
    <row r="669" spans="14:16" x14ac:dyDescent="0.3">
      <c r="N669" s="1" t="str">
        <f t="shared" si="34"/>
        <v/>
      </c>
      <c r="O669" s="1" t="str">
        <f t="shared" si="35"/>
        <v/>
      </c>
      <c r="P669" s="1" t="str">
        <f t="shared" si="36"/>
        <v/>
      </c>
    </row>
    <row r="670" spans="14:16" x14ac:dyDescent="0.3">
      <c r="N670" s="1" t="str">
        <f t="shared" si="34"/>
        <v/>
      </c>
      <c r="O670" s="1" t="str">
        <f t="shared" si="35"/>
        <v/>
      </c>
      <c r="P670" s="1" t="str">
        <f t="shared" si="36"/>
        <v/>
      </c>
    </row>
    <row r="671" spans="14:16" x14ac:dyDescent="0.3">
      <c r="N671" s="1" t="str">
        <f t="shared" si="34"/>
        <v/>
      </c>
      <c r="O671" s="1" t="str">
        <f t="shared" si="35"/>
        <v/>
      </c>
      <c r="P671" s="1" t="str">
        <f t="shared" si="36"/>
        <v/>
      </c>
    </row>
    <row r="672" spans="14:16" x14ac:dyDescent="0.3">
      <c r="N672" s="1" t="str">
        <f t="shared" si="34"/>
        <v/>
      </c>
      <c r="O672" s="1" t="str">
        <f t="shared" si="35"/>
        <v/>
      </c>
      <c r="P672" s="1" t="str">
        <f t="shared" si="36"/>
        <v/>
      </c>
    </row>
    <row r="673" spans="14:16" x14ac:dyDescent="0.3">
      <c r="N673" s="1" t="str">
        <f t="shared" si="34"/>
        <v/>
      </c>
      <c r="O673" s="1" t="str">
        <f t="shared" si="35"/>
        <v/>
      </c>
      <c r="P673" s="1" t="str">
        <f t="shared" si="36"/>
        <v/>
      </c>
    </row>
    <row r="674" spans="14:16" x14ac:dyDescent="0.3">
      <c r="N674" s="1" t="str">
        <f t="shared" si="34"/>
        <v/>
      </c>
      <c r="O674" s="1" t="str">
        <f t="shared" si="35"/>
        <v/>
      </c>
      <c r="P674" s="1" t="str">
        <f t="shared" si="36"/>
        <v/>
      </c>
    </row>
    <row r="675" spans="14:16" x14ac:dyDescent="0.3">
      <c r="N675" s="1" t="str">
        <f t="shared" si="34"/>
        <v/>
      </c>
      <c r="O675" s="1" t="str">
        <f t="shared" si="35"/>
        <v/>
      </c>
      <c r="P675" s="1" t="str">
        <f t="shared" si="36"/>
        <v/>
      </c>
    </row>
    <row r="676" spans="14:16" x14ac:dyDescent="0.3">
      <c r="N676" s="1" t="str">
        <f t="shared" si="34"/>
        <v/>
      </c>
      <c r="O676" s="1" t="str">
        <f t="shared" si="35"/>
        <v/>
      </c>
      <c r="P676" s="1" t="str">
        <f t="shared" si="36"/>
        <v/>
      </c>
    </row>
    <row r="677" spans="14:16" x14ac:dyDescent="0.3">
      <c r="N677" s="1" t="str">
        <f t="shared" si="34"/>
        <v/>
      </c>
      <c r="O677" s="1" t="str">
        <f t="shared" si="35"/>
        <v/>
      </c>
      <c r="P677" s="1" t="str">
        <f t="shared" si="36"/>
        <v/>
      </c>
    </row>
    <row r="678" spans="14:16" x14ac:dyDescent="0.3">
      <c r="N678" s="1" t="str">
        <f t="shared" si="34"/>
        <v/>
      </c>
      <c r="O678" s="1" t="str">
        <f t="shared" si="35"/>
        <v/>
      </c>
      <c r="P678" s="1" t="str">
        <f t="shared" si="36"/>
        <v/>
      </c>
    </row>
    <row r="679" spans="14:16" x14ac:dyDescent="0.3">
      <c r="N679" s="1" t="str">
        <f t="shared" si="34"/>
        <v/>
      </c>
      <c r="O679" s="1" t="str">
        <f t="shared" si="35"/>
        <v/>
      </c>
      <c r="P679" s="1" t="str">
        <f t="shared" si="36"/>
        <v/>
      </c>
    </row>
    <row r="680" spans="14:16" x14ac:dyDescent="0.3">
      <c r="N680" s="1" t="str">
        <f t="shared" si="34"/>
        <v/>
      </c>
      <c r="O680" s="1" t="str">
        <f t="shared" si="35"/>
        <v/>
      </c>
      <c r="P680" s="1" t="str">
        <f t="shared" si="36"/>
        <v/>
      </c>
    </row>
    <row r="681" spans="14:16" x14ac:dyDescent="0.3">
      <c r="N681" s="1" t="str">
        <f t="shared" si="34"/>
        <v/>
      </c>
      <c r="O681" s="1" t="str">
        <f t="shared" si="35"/>
        <v/>
      </c>
      <c r="P681" s="1" t="str">
        <f t="shared" si="36"/>
        <v/>
      </c>
    </row>
    <row r="682" spans="14:16" x14ac:dyDescent="0.3">
      <c r="N682" s="1" t="str">
        <f t="shared" si="34"/>
        <v/>
      </c>
      <c r="O682" s="1" t="str">
        <f t="shared" si="35"/>
        <v/>
      </c>
      <c r="P682" s="1" t="str">
        <f t="shared" si="36"/>
        <v/>
      </c>
    </row>
    <row r="683" spans="14:16" x14ac:dyDescent="0.3">
      <c r="N683" s="1" t="str">
        <f t="shared" si="34"/>
        <v/>
      </c>
      <c r="O683" s="1" t="str">
        <f t="shared" si="35"/>
        <v/>
      </c>
      <c r="P683" s="1" t="str">
        <f t="shared" si="36"/>
        <v/>
      </c>
    </row>
    <row r="684" spans="14:16" x14ac:dyDescent="0.3">
      <c r="N684" s="1" t="str">
        <f t="shared" si="34"/>
        <v/>
      </c>
      <c r="O684" s="1" t="str">
        <f t="shared" si="35"/>
        <v/>
      </c>
      <c r="P684" s="1" t="str">
        <f t="shared" si="36"/>
        <v/>
      </c>
    </row>
    <row r="685" spans="14:16" x14ac:dyDescent="0.3">
      <c r="N685" s="1" t="str">
        <f t="shared" si="34"/>
        <v/>
      </c>
      <c r="O685" s="1" t="str">
        <f t="shared" si="35"/>
        <v/>
      </c>
      <c r="P685" s="1" t="str">
        <f t="shared" si="36"/>
        <v/>
      </c>
    </row>
    <row r="686" spans="14:16" x14ac:dyDescent="0.3">
      <c r="N686" s="1" t="str">
        <f t="shared" si="34"/>
        <v/>
      </c>
      <c r="O686" s="1" t="str">
        <f t="shared" si="35"/>
        <v/>
      </c>
      <c r="P686" s="1" t="str">
        <f t="shared" si="36"/>
        <v/>
      </c>
    </row>
    <row r="687" spans="14:16" x14ac:dyDescent="0.3">
      <c r="N687" s="1" t="str">
        <f t="shared" si="34"/>
        <v/>
      </c>
      <c r="O687" s="1" t="str">
        <f t="shared" si="35"/>
        <v/>
      </c>
      <c r="P687" s="1" t="str">
        <f t="shared" si="36"/>
        <v/>
      </c>
    </row>
    <row r="688" spans="14:16" x14ac:dyDescent="0.3">
      <c r="N688" s="1" t="str">
        <f t="shared" si="34"/>
        <v/>
      </c>
      <c r="O688" s="1" t="str">
        <f t="shared" si="35"/>
        <v/>
      </c>
      <c r="P688" s="1" t="str">
        <f t="shared" si="36"/>
        <v/>
      </c>
    </row>
    <row r="689" spans="14:16" x14ac:dyDescent="0.3">
      <c r="N689" s="1" t="str">
        <f t="shared" si="34"/>
        <v/>
      </c>
      <c r="O689" s="1" t="str">
        <f t="shared" si="35"/>
        <v/>
      </c>
      <c r="P689" s="1" t="str">
        <f t="shared" si="36"/>
        <v/>
      </c>
    </row>
    <row r="690" spans="14:16" x14ac:dyDescent="0.3">
      <c r="N690" s="1" t="str">
        <f t="shared" si="34"/>
        <v/>
      </c>
      <c r="O690" s="1" t="str">
        <f t="shared" si="35"/>
        <v/>
      </c>
      <c r="P690" s="1" t="str">
        <f t="shared" si="36"/>
        <v/>
      </c>
    </row>
    <row r="691" spans="14:16" x14ac:dyDescent="0.3">
      <c r="N691" s="1" t="str">
        <f t="shared" si="34"/>
        <v/>
      </c>
      <c r="O691" s="1" t="str">
        <f t="shared" si="35"/>
        <v/>
      </c>
      <c r="P691" s="1" t="str">
        <f t="shared" si="36"/>
        <v/>
      </c>
    </row>
    <row r="692" spans="14:16" x14ac:dyDescent="0.3">
      <c r="N692" s="1" t="str">
        <f t="shared" si="34"/>
        <v/>
      </c>
      <c r="O692" s="1" t="str">
        <f t="shared" si="35"/>
        <v/>
      </c>
      <c r="P692" s="1" t="str">
        <f t="shared" si="36"/>
        <v/>
      </c>
    </row>
    <row r="693" spans="14:16" x14ac:dyDescent="0.3">
      <c r="N693" s="1" t="str">
        <f t="shared" si="34"/>
        <v/>
      </c>
      <c r="O693" s="1" t="str">
        <f t="shared" si="35"/>
        <v/>
      </c>
      <c r="P693" s="1" t="str">
        <f t="shared" si="36"/>
        <v/>
      </c>
    </row>
    <row r="694" spans="14:16" x14ac:dyDescent="0.3">
      <c r="N694" s="1" t="str">
        <f t="shared" si="34"/>
        <v/>
      </c>
      <c r="O694" s="1" t="str">
        <f t="shared" si="35"/>
        <v/>
      </c>
      <c r="P694" s="1" t="str">
        <f t="shared" si="36"/>
        <v/>
      </c>
    </row>
    <row r="695" spans="14:16" x14ac:dyDescent="0.3">
      <c r="N695" s="1" t="str">
        <f t="shared" si="34"/>
        <v/>
      </c>
      <c r="O695" s="1" t="str">
        <f t="shared" si="35"/>
        <v/>
      </c>
      <c r="P695" s="1" t="str">
        <f t="shared" si="36"/>
        <v/>
      </c>
    </row>
    <row r="696" spans="14:16" x14ac:dyDescent="0.3">
      <c r="N696" s="1" t="str">
        <f t="shared" si="34"/>
        <v/>
      </c>
      <c r="O696" s="1" t="str">
        <f t="shared" si="35"/>
        <v/>
      </c>
      <c r="P696" s="1" t="str">
        <f t="shared" si="36"/>
        <v/>
      </c>
    </row>
    <row r="697" spans="14:16" x14ac:dyDescent="0.3">
      <c r="N697" s="1" t="str">
        <f t="shared" si="34"/>
        <v/>
      </c>
      <c r="O697" s="1" t="str">
        <f t="shared" si="35"/>
        <v/>
      </c>
      <c r="P697" s="1" t="str">
        <f t="shared" si="36"/>
        <v/>
      </c>
    </row>
    <row r="698" spans="14:16" x14ac:dyDescent="0.3">
      <c r="N698" s="1" t="str">
        <f t="shared" si="34"/>
        <v/>
      </c>
      <c r="O698" s="1" t="str">
        <f t="shared" si="35"/>
        <v/>
      </c>
      <c r="P698" s="1" t="str">
        <f t="shared" si="36"/>
        <v/>
      </c>
    </row>
    <row r="699" spans="14:16" x14ac:dyDescent="0.3">
      <c r="N699" s="1" t="str">
        <f t="shared" si="34"/>
        <v/>
      </c>
      <c r="O699" s="1" t="str">
        <f t="shared" si="35"/>
        <v/>
      </c>
      <c r="P699" s="1" t="str">
        <f t="shared" si="36"/>
        <v/>
      </c>
    </row>
    <row r="700" spans="14:16" x14ac:dyDescent="0.3">
      <c r="N700" s="1" t="str">
        <f t="shared" si="34"/>
        <v/>
      </c>
      <c r="O700" s="1" t="str">
        <f t="shared" si="35"/>
        <v/>
      </c>
      <c r="P700" s="1" t="str">
        <f t="shared" si="36"/>
        <v/>
      </c>
    </row>
    <row r="701" spans="14:16" x14ac:dyDescent="0.3">
      <c r="N701" s="1" t="str">
        <f t="shared" si="34"/>
        <v/>
      </c>
      <c r="O701" s="1" t="str">
        <f t="shared" si="35"/>
        <v/>
      </c>
      <c r="P701" s="1" t="str">
        <f t="shared" si="36"/>
        <v/>
      </c>
    </row>
    <row r="702" spans="14:16" x14ac:dyDescent="0.3">
      <c r="N702" s="1" t="str">
        <f t="shared" si="34"/>
        <v/>
      </c>
      <c r="O702" s="1" t="str">
        <f t="shared" si="35"/>
        <v/>
      </c>
      <c r="P702" s="1" t="str">
        <f t="shared" si="36"/>
        <v/>
      </c>
    </row>
    <row r="703" spans="14:16" x14ac:dyDescent="0.3">
      <c r="N703" s="1" t="str">
        <f t="shared" si="34"/>
        <v/>
      </c>
      <c r="O703" s="1" t="str">
        <f t="shared" si="35"/>
        <v/>
      </c>
      <c r="P703" s="1" t="str">
        <f t="shared" si="36"/>
        <v/>
      </c>
    </row>
    <row r="704" spans="14:16" x14ac:dyDescent="0.3">
      <c r="N704" s="1" t="str">
        <f t="shared" si="34"/>
        <v/>
      </c>
      <c r="O704" s="1" t="str">
        <f t="shared" si="35"/>
        <v/>
      </c>
      <c r="P704" s="1" t="str">
        <f t="shared" si="36"/>
        <v/>
      </c>
    </row>
    <row r="705" spans="14:16" x14ac:dyDescent="0.3">
      <c r="N705" s="1" t="str">
        <f t="shared" si="34"/>
        <v/>
      </c>
      <c r="O705" s="1" t="str">
        <f t="shared" si="35"/>
        <v/>
      </c>
      <c r="P705" s="1" t="str">
        <f t="shared" si="36"/>
        <v/>
      </c>
    </row>
    <row r="706" spans="14:16" x14ac:dyDescent="0.3">
      <c r="N706" s="1" t="str">
        <f t="shared" si="34"/>
        <v/>
      </c>
      <c r="O706" s="1" t="str">
        <f t="shared" si="35"/>
        <v/>
      </c>
      <c r="P706" s="1" t="str">
        <f t="shared" si="36"/>
        <v/>
      </c>
    </row>
    <row r="707" spans="14:16" x14ac:dyDescent="0.3">
      <c r="N707" s="1" t="str">
        <f t="shared" si="34"/>
        <v/>
      </c>
      <c r="O707" s="1" t="str">
        <f t="shared" si="35"/>
        <v/>
      </c>
      <c r="P707" s="1" t="str">
        <f t="shared" si="36"/>
        <v/>
      </c>
    </row>
    <row r="708" spans="14:16" x14ac:dyDescent="0.3">
      <c r="N708" s="1" t="str">
        <f t="shared" si="34"/>
        <v/>
      </c>
      <c r="O708" s="1" t="str">
        <f t="shared" si="35"/>
        <v/>
      </c>
      <c r="P708" s="1" t="str">
        <f t="shared" si="36"/>
        <v/>
      </c>
    </row>
    <row r="709" spans="14:16" x14ac:dyDescent="0.3">
      <c r="N709" s="1" t="str">
        <f t="shared" si="34"/>
        <v/>
      </c>
      <c r="O709" s="1" t="str">
        <f t="shared" si="35"/>
        <v/>
      </c>
      <c r="P709" s="1" t="str">
        <f t="shared" si="36"/>
        <v/>
      </c>
    </row>
    <row r="710" spans="14:16" x14ac:dyDescent="0.3">
      <c r="N710" s="1" t="str">
        <f t="shared" si="34"/>
        <v/>
      </c>
      <c r="O710" s="1" t="str">
        <f t="shared" si="35"/>
        <v/>
      </c>
      <c r="P710" s="1" t="str">
        <f t="shared" si="36"/>
        <v/>
      </c>
    </row>
    <row r="711" spans="14:16" x14ac:dyDescent="0.3">
      <c r="N711" s="1" t="str">
        <f t="shared" ref="N711:N774" si="37">IF(LEN($C711)&gt;0,H711-E711,"")</f>
        <v/>
      </c>
      <c r="O711" s="1" t="str">
        <f t="shared" ref="O711:O774" si="38">IF(LEN($C711)&gt;0,I711-F711,"")</f>
        <v/>
      </c>
      <c r="P711" s="1" t="str">
        <f t="shared" ref="P711:P774" si="39">IF(LEN($C711)&gt;0,J711-G711,"")</f>
        <v/>
      </c>
    </row>
    <row r="712" spans="14:16" x14ac:dyDescent="0.3">
      <c r="N712" s="1" t="str">
        <f t="shared" si="37"/>
        <v/>
      </c>
      <c r="O712" s="1" t="str">
        <f t="shared" si="38"/>
        <v/>
      </c>
      <c r="P712" s="1" t="str">
        <f t="shared" si="39"/>
        <v/>
      </c>
    </row>
    <row r="713" spans="14:16" x14ac:dyDescent="0.3">
      <c r="N713" s="1" t="str">
        <f t="shared" si="37"/>
        <v/>
      </c>
      <c r="O713" s="1" t="str">
        <f t="shared" si="38"/>
        <v/>
      </c>
      <c r="P713" s="1" t="str">
        <f t="shared" si="39"/>
        <v/>
      </c>
    </row>
    <row r="714" spans="14:16" x14ac:dyDescent="0.3">
      <c r="N714" s="1" t="str">
        <f t="shared" si="37"/>
        <v/>
      </c>
      <c r="O714" s="1" t="str">
        <f t="shared" si="38"/>
        <v/>
      </c>
      <c r="P714" s="1" t="str">
        <f t="shared" si="39"/>
        <v/>
      </c>
    </row>
    <row r="715" spans="14:16" x14ac:dyDescent="0.3">
      <c r="N715" s="1" t="str">
        <f t="shared" si="37"/>
        <v/>
      </c>
      <c r="O715" s="1" t="str">
        <f t="shared" si="38"/>
        <v/>
      </c>
      <c r="P715" s="1" t="str">
        <f t="shared" si="39"/>
        <v/>
      </c>
    </row>
    <row r="716" spans="14:16" x14ac:dyDescent="0.3">
      <c r="N716" s="1" t="str">
        <f t="shared" si="37"/>
        <v/>
      </c>
      <c r="O716" s="1" t="str">
        <f t="shared" si="38"/>
        <v/>
      </c>
      <c r="P716" s="1" t="str">
        <f t="shared" si="39"/>
        <v/>
      </c>
    </row>
    <row r="717" spans="14:16" x14ac:dyDescent="0.3">
      <c r="N717" s="1" t="str">
        <f t="shared" si="37"/>
        <v/>
      </c>
      <c r="O717" s="1" t="str">
        <f t="shared" si="38"/>
        <v/>
      </c>
      <c r="P717" s="1" t="str">
        <f t="shared" si="39"/>
        <v/>
      </c>
    </row>
    <row r="718" spans="14:16" x14ac:dyDescent="0.3">
      <c r="N718" s="1" t="str">
        <f t="shared" si="37"/>
        <v/>
      </c>
      <c r="O718" s="1" t="str">
        <f t="shared" si="38"/>
        <v/>
      </c>
      <c r="P718" s="1" t="str">
        <f t="shared" si="39"/>
        <v/>
      </c>
    </row>
    <row r="719" spans="14:16" x14ac:dyDescent="0.3">
      <c r="N719" s="1" t="str">
        <f t="shared" si="37"/>
        <v/>
      </c>
      <c r="O719" s="1" t="str">
        <f t="shared" si="38"/>
        <v/>
      </c>
      <c r="P719" s="1" t="str">
        <f t="shared" si="39"/>
        <v/>
      </c>
    </row>
    <row r="720" spans="14:16" x14ac:dyDescent="0.3">
      <c r="N720" s="1" t="str">
        <f t="shared" si="37"/>
        <v/>
      </c>
      <c r="O720" s="1" t="str">
        <f t="shared" si="38"/>
        <v/>
      </c>
      <c r="P720" s="1" t="str">
        <f t="shared" si="39"/>
        <v/>
      </c>
    </row>
    <row r="721" spans="14:16" x14ac:dyDescent="0.3">
      <c r="N721" s="1" t="str">
        <f t="shared" si="37"/>
        <v/>
      </c>
      <c r="O721" s="1" t="str">
        <f t="shared" si="38"/>
        <v/>
      </c>
      <c r="P721" s="1" t="str">
        <f t="shared" si="39"/>
        <v/>
      </c>
    </row>
    <row r="722" spans="14:16" x14ac:dyDescent="0.3">
      <c r="N722" s="1" t="str">
        <f t="shared" si="37"/>
        <v/>
      </c>
      <c r="O722" s="1" t="str">
        <f t="shared" si="38"/>
        <v/>
      </c>
      <c r="P722" s="1" t="str">
        <f t="shared" si="39"/>
        <v/>
      </c>
    </row>
    <row r="723" spans="14:16" x14ac:dyDescent="0.3">
      <c r="N723" s="1" t="str">
        <f t="shared" si="37"/>
        <v/>
      </c>
      <c r="O723" s="1" t="str">
        <f t="shared" si="38"/>
        <v/>
      </c>
      <c r="P723" s="1" t="str">
        <f t="shared" si="39"/>
        <v/>
      </c>
    </row>
    <row r="724" spans="14:16" x14ac:dyDescent="0.3">
      <c r="N724" s="1" t="str">
        <f t="shared" si="37"/>
        <v/>
      </c>
      <c r="O724" s="1" t="str">
        <f t="shared" si="38"/>
        <v/>
      </c>
      <c r="P724" s="1" t="str">
        <f t="shared" si="39"/>
        <v/>
      </c>
    </row>
    <row r="725" spans="14:16" x14ac:dyDescent="0.3">
      <c r="N725" s="1" t="str">
        <f t="shared" si="37"/>
        <v/>
      </c>
      <c r="O725" s="1" t="str">
        <f t="shared" si="38"/>
        <v/>
      </c>
      <c r="P725" s="1" t="str">
        <f t="shared" si="39"/>
        <v/>
      </c>
    </row>
    <row r="726" spans="14:16" x14ac:dyDescent="0.3">
      <c r="N726" s="1" t="str">
        <f t="shared" si="37"/>
        <v/>
      </c>
      <c r="O726" s="1" t="str">
        <f t="shared" si="38"/>
        <v/>
      </c>
      <c r="P726" s="1" t="str">
        <f t="shared" si="39"/>
        <v/>
      </c>
    </row>
    <row r="727" spans="14:16" x14ac:dyDescent="0.3">
      <c r="N727" s="1" t="str">
        <f t="shared" si="37"/>
        <v/>
      </c>
      <c r="O727" s="1" t="str">
        <f t="shared" si="38"/>
        <v/>
      </c>
      <c r="P727" s="1" t="str">
        <f t="shared" si="39"/>
        <v/>
      </c>
    </row>
    <row r="728" spans="14:16" x14ac:dyDescent="0.3">
      <c r="N728" s="1" t="str">
        <f t="shared" si="37"/>
        <v/>
      </c>
      <c r="O728" s="1" t="str">
        <f t="shared" si="38"/>
        <v/>
      </c>
      <c r="P728" s="1" t="str">
        <f t="shared" si="39"/>
        <v/>
      </c>
    </row>
    <row r="729" spans="14:16" x14ac:dyDescent="0.3">
      <c r="N729" s="1" t="str">
        <f t="shared" si="37"/>
        <v/>
      </c>
      <c r="O729" s="1" t="str">
        <f t="shared" si="38"/>
        <v/>
      </c>
      <c r="P729" s="1" t="str">
        <f t="shared" si="39"/>
        <v/>
      </c>
    </row>
    <row r="730" spans="14:16" x14ac:dyDescent="0.3">
      <c r="N730" s="1" t="str">
        <f t="shared" si="37"/>
        <v/>
      </c>
      <c r="O730" s="1" t="str">
        <f t="shared" si="38"/>
        <v/>
      </c>
      <c r="P730" s="1" t="str">
        <f t="shared" si="39"/>
        <v/>
      </c>
    </row>
    <row r="731" spans="14:16" x14ac:dyDescent="0.3">
      <c r="N731" s="1" t="str">
        <f t="shared" si="37"/>
        <v/>
      </c>
      <c r="O731" s="1" t="str">
        <f t="shared" si="38"/>
        <v/>
      </c>
      <c r="P731" s="1" t="str">
        <f t="shared" si="39"/>
        <v/>
      </c>
    </row>
    <row r="732" spans="14:16" x14ac:dyDescent="0.3">
      <c r="N732" s="1" t="str">
        <f t="shared" si="37"/>
        <v/>
      </c>
      <c r="O732" s="1" t="str">
        <f t="shared" si="38"/>
        <v/>
      </c>
      <c r="P732" s="1" t="str">
        <f t="shared" si="39"/>
        <v/>
      </c>
    </row>
    <row r="733" spans="14:16" x14ac:dyDescent="0.3">
      <c r="N733" s="1" t="str">
        <f t="shared" si="37"/>
        <v/>
      </c>
      <c r="O733" s="1" t="str">
        <f t="shared" si="38"/>
        <v/>
      </c>
      <c r="P733" s="1" t="str">
        <f t="shared" si="39"/>
        <v/>
      </c>
    </row>
    <row r="734" spans="14:16" x14ac:dyDescent="0.3">
      <c r="N734" s="1" t="str">
        <f t="shared" si="37"/>
        <v/>
      </c>
      <c r="O734" s="1" t="str">
        <f t="shared" si="38"/>
        <v/>
      </c>
      <c r="P734" s="1" t="str">
        <f t="shared" si="39"/>
        <v/>
      </c>
    </row>
    <row r="735" spans="14:16" x14ac:dyDescent="0.3">
      <c r="N735" s="1" t="str">
        <f t="shared" si="37"/>
        <v/>
      </c>
      <c r="O735" s="1" t="str">
        <f t="shared" si="38"/>
        <v/>
      </c>
      <c r="P735" s="1" t="str">
        <f t="shared" si="39"/>
        <v/>
      </c>
    </row>
    <row r="736" spans="14:16" x14ac:dyDescent="0.3">
      <c r="N736" s="1" t="str">
        <f t="shared" si="37"/>
        <v/>
      </c>
      <c r="O736" s="1" t="str">
        <f t="shared" si="38"/>
        <v/>
      </c>
      <c r="P736" s="1" t="str">
        <f t="shared" si="39"/>
        <v/>
      </c>
    </row>
    <row r="737" spans="14:16" x14ac:dyDescent="0.3">
      <c r="N737" s="1" t="str">
        <f t="shared" si="37"/>
        <v/>
      </c>
      <c r="O737" s="1" t="str">
        <f t="shared" si="38"/>
        <v/>
      </c>
      <c r="P737" s="1" t="str">
        <f t="shared" si="39"/>
        <v/>
      </c>
    </row>
    <row r="738" spans="14:16" x14ac:dyDescent="0.3">
      <c r="N738" s="1" t="str">
        <f t="shared" si="37"/>
        <v/>
      </c>
      <c r="O738" s="1" t="str">
        <f t="shared" si="38"/>
        <v/>
      </c>
      <c r="P738" s="1" t="str">
        <f t="shared" si="39"/>
        <v/>
      </c>
    </row>
    <row r="739" spans="14:16" x14ac:dyDescent="0.3">
      <c r="N739" s="1" t="str">
        <f t="shared" si="37"/>
        <v/>
      </c>
      <c r="O739" s="1" t="str">
        <f t="shared" si="38"/>
        <v/>
      </c>
      <c r="P739" s="1" t="str">
        <f t="shared" si="39"/>
        <v/>
      </c>
    </row>
    <row r="740" spans="14:16" x14ac:dyDescent="0.3">
      <c r="N740" s="1" t="str">
        <f t="shared" si="37"/>
        <v/>
      </c>
      <c r="O740" s="1" t="str">
        <f t="shared" si="38"/>
        <v/>
      </c>
      <c r="P740" s="1" t="str">
        <f t="shared" si="39"/>
        <v/>
      </c>
    </row>
    <row r="741" spans="14:16" x14ac:dyDescent="0.3">
      <c r="N741" s="1" t="str">
        <f t="shared" si="37"/>
        <v/>
      </c>
      <c r="O741" s="1" t="str">
        <f t="shared" si="38"/>
        <v/>
      </c>
      <c r="P741" s="1" t="str">
        <f t="shared" si="39"/>
        <v/>
      </c>
    </row>
    <row r="742" spans="14:16" x14ac:dyDescent="0.3">
      <c r="N742" s="1" t="str">
        <f t="shared" si="37"/>
        <v/>
      </c>
      <c r="O742" s="1" t="str">
        <f t="shared" si="38"/>
        <v/>
      </c>
      <c r="P742" s="1" t="str">
        <f t="shared" si="39"/>
        <v/>
      </c>
    </row>
    <row r="743" spans="14:16" x14ac:dyDescent="0.3">
      <c r="N743" s="1" t="str">
        <f t="shared" si="37"/>
        <v/>
      </c>
      <c r="O743" s="1" t="str">
        <f t="shared" si="38"/>
        <v/>
      </c>
      <c r="P743" s="1" t="str">
        <f t="shared" si="39"/>
        <v/>
      </c>
    </row>
    <row r="744" spans="14:16" x14ac:dyDescent="0.3">
      <c r="N744" s="1" t="str">
        <f t="shared" si="37"/>
        <v/>
      </c>
      <c r="O744" s="1" t="str">
        <f t="shared" si="38"/>
        <v/>
      </c>
      <c r="P744" s="1" t="str">
        <f t="shared" si="39"/>
        <v/>
      </c>
    </row>
    <row r="745" spans="14:16" x14ac:dyDescent="0.3">
      <c r="N745" s="1" t="str">
        <f t="shared" si="37"/>
        <v/>
      </c>
      <c r="O745" s="1" t="str">
        <f t="shared" si="38"/>
        <v/>
      </c>
      <c r="P745" s="1" t="str">
        <f t="shared" si="39"/>
        <v/>
      </c>
    </row>
    <row r="746" spans="14:16" x14ac:dyDescent="0.3">
      <c r="N746" s="1" t="str">
        <f t="shared" si="37"/>
        <v/>
      </c>
      <c r="O746" s="1" t="str">
        <f t="shared" si="38"/>
        <v/>
      </c>
      <c r="P746" s="1" t="str">
        <f t="shared" si="39"/>
        <v/>
      </c>
    </row>
    <row r="747" spans="14:16" x14ac:dyDescent="0.3">
      <c r="N747" s="1" t="str">
        <f t="shared" si="37"/>
        <v/>
      </c>
      <c r="O747" s="1" t="str">
        <f t="shared" si="38"/>
        <v/>
      </c>
      <c r="P747" s="1" t="str">
        <f t="shared" si="39"/>
        <v/>
      </c>
    </row>
    <row r="748" spans="14:16" x14ac:dyDescent="0.3">
      <c r="N748" s="1" t="str">
        <f t="shared" si="37"/>
        <v/>
      </c>
      <c r="O748" s="1" t="str">
        <f t="shared" si="38"/>
        <v/>
      </c>
      <c r="P748" s="1" t="str">
        <f t="shared" si="39"/>
        <v/>
      </c>
    </row>
    <row r="749" spans="14:16" x14ac:dyDescent="0.3">
      <c r="N749" s="1" t="str">
        <f t="shared" si="37"/>
        <v/>
      </c>
      <c r="O749" s="1" t="str">
        <f t="shared" si="38"/>
        <v/>
      </c>
      <c r="P749" s="1" t="str">
        <f t="shared" si="39"/>
        <v/>
      </c>
    </row>
    <row r="750" spans="14:16" x14ac:dyDescent="0.3">
      <c r="N750" s="1" t="str">
        <f t="shared" si="37"/>
        <v/>
      </c>
      <c r="O750" s="1" t="str">
        <f t="shared" si="38"/>
        <v/>
      </c>
      <c r="P750" s="1" t="str">
        <f t="shared" si="39"/>
        <v/>
      </c>
    </row>
    <row r="751" spans="14:16" x14ac:dyDescent="0.3">
      <c r="N751" s="1" t="str">
        <f t="shared" si="37"/>
        <v/>
      </c>
      <c r="O751" s="1" t="str">
        <f t="shared" si="38"/>
        <v/>
      </c>
      <c r="P751" s="1" t="str">
        <f t="shared" si="39"/>
        <v/>
      </c>
    </row>
    <row r="752" spans="14:16" x14ac:dyDescent="0.3">
      <c r="N752" s="1" t="str">
        <f t="shared" si="37"/>
        <v/>
      </c>
      <c r="O752" s="1" t="str">
        <f t="shared" si="38"/>
        <v/>
      </c>
      <c r="P752" s="1" t="str">
        <f t="shared" si="39"/>
        <v/>
      </c>
    </row>
    <row r="753" spans="14:16" x14ac:dyDescent="0.3">
      <c r="N753" s="1" t="str">
        <f t="shared" si="37"/>
        <v/>
      </c>
      <c r="O753" s="1" t="str">
        <f t="shared" si="38"/>
        <v/>
      </c>
      <c r="P753" s="1" t="str">
        <f t="shared" si="39"/>
        <v/>
      </c>
    </row>
    <row r="754" spans="14:16" x14ac:dyDescent="0.3">
      <c r="N754" s="1" t="str">
        <f t="shared" si="37"/>
        <v/>
      </c>
      <c r="O754" s="1" t="str">
        <f t="shared" si="38"/>
        <v/>
      </c>
      <c r="P754" s="1" t="str">
        <f t="shared" si="39"/>
        <v/>
      </c>
    </row>
    <row r="755" spans="14:16" x14ac:dyDescent="0.3">
      <c r="N755" s="1" t="str">
        <f t="shared" si="37"/>
        <v/>
      </c>
      <c r="O755" s="1" t="str">
        <f t="shared" si="38"/>
        <v/>
      </c>
      <c r="P755" s="1" t="str">
        <f t="shared" si="39"/>
        <v/>
      </c>
    </row>
    <row r="756" spans="14:16" x14ac:dyDescent="0.3">
      <c r="N756" s="1" t="str">
        <f t="shared" si="37"/>
        <v/>
      </c>
      <c r="O756" s="1" t="str">
        <f t="shared" si="38"/>
        <v/>
      </c>
      <c r="P756" s="1" t="str">
        <f t="shared" si="39"/>
        <v/>
      </c>
    </row>
    <row r="757" spans="14:16" x14ac:dyDescent="0.3">
      <c r="N757" s="1" t="str">
        <f t="shared" si="37"/>
        <v/>
      </c>
      <c r="O757" s="1" t="str">
        <f t="shared" si="38"/>
        <v/>
      </c>
      <c r="P757" s="1" t="str">
        <f t="shared" si="39"/>
        <v/>
      </c>
    </row>
    <row r="758" spans="14:16" x14ac:dyDescent="0.3">
      <c r="N758" s="1" t="str">
        <f t="shared" si="37"/>
        <v/>
      </c>
      <c r="O758" s="1" t="str">
        <f t="shared" si="38"/>
        <v/>
      </c>
      <c r="P758" s="1" t="str">
        <f t="shared" si="39"/>
        <v/>
      </c>
    </row>
    <row r="759" spans="14:16" x14ac:dyDescent="0.3">
      <c r="N759" s="1" t="str">
        <f t="shared" si="37"/>
        <v/>
      </c>
      <c r="O759" s="1" t="str">
        <f t="shared" si="38"/>
        <v/>
      </c>
      <c r="P759" s="1" t="str">
        <f t="shared" si="39"/>
        <v/>
      </c>
    </row>
    <row r="760" spans="14:16" x14ac:dyDescent="0.3">
      <c r="N760" s="1" t="str">
        <f t="shared" si="37"/>
        <v/>
      </c>
      <c r="O760" s="1" t="str">
        <f t="shared" si="38"/>
        <v/>
      </c>
      <c r="P760" s="1" t="str">
        <f t="shared" si="39"/>
        <v/>
      </c>
    </row>
    <row r="761" spans="14:16" x14ac:dyDescent="0.3">
      <c r="N761" s="1" t="str">
        <f t="shared" si="37"/>
        <v/>
      </c>
      <c r="O761" s="1" t="str">
        <f t="shared" si="38"/>
        <v/>
      </c>
      <c r="P761" s="1" t="str">
        <f t="shared" si="39"/>
        <v/>
      </c>
    </row>
    <row r="762" spans="14:16" x14ac:dyDescent="0.3">
      <c r="N762" s="1" t="str">
        <f t="shared" si="37"/>
        <v/>
      </c>
      <c r="O762" s="1" t="str">
        <f t="shared" si="38"/>
        <v/>
      </c>
      <c r="P762" s="1" t="str">
        <f t="shared" si="39"/>
        <v/>
      </c>
    </row>
    <row r="763" spans="14:16" x14ac:dyDescent="0.3">
      <c r="N763" s="1" t="str">
        <f t="shared" si="37"/>
        <v/>
      </c>
      <c r="O763" s="1" t="str">
        <f t="shared" si="38"/>
        <v/>
      </c>
      <c r="P763" s="1" t="str">
        <f t="shared" si="39"/>
        <v/>
      </c>
    </row>
    <row r="764" spans="14:16" x14ac:dyDescent="0.3">
      <c r="N764" s="1" t="str">
        <f t="shared" si="37"/>
        <v/>
      </c>
      <c r="O764" s="1" t="str">
        <f t="shared" si="38"/>
        <v/>
      </c>
      <c r="P764" s="1" t="str">
        <f t="shared" si="39"/>
        <v/>
      </c>
    </row>
    <row r="765" spans="14:16" x14ac:dyDescent="0.3">
      <c r="N765" s="1" t="str">
        <f t="shared" si="37"/>
        <v/>
      </c>
      <c r="O765" s="1" t="str">
        <f t="shared" si="38"/>
        <v/>
      </c>
      <c r="P765" s="1" t="str">
        <f t="shared" si="39"/>
        <v/>
      </c>
    </row>
    <row r="766" spans="14:16" x14ac:dyDescent="0.3">
      <c r="N766" s="1" t="str">
        <f t="shared" si="37"/>
        <v/>
      </c>
      <c r="O766" s="1" t="str">
        <f t="shared" si="38"/>
        <v/>
      </c>
      <c r="P766" s="1" t="str">
        <f t="shared" si="39"/>
        <v/>
      </c>
    </row>
    <row r="767" spans="14:16" x14ac:dyDescent="0.3">
      <c r="N767" s="1" t="str">
        <f t="shared" si="37"/>
        <v/>
      </c>
      <c r="O767" s="1" t="str">
        <f t="shared" si="38"/>
        <v/>
      </c>
      <c r="P767" s="1" t="str">
        <f t="shared" si="39"/>
        <v/>
      </c>
    </row>
    <row r="768" spans="14:16" x14ac:dyDescent="0.3">
      <c r="N768" s="1" t="str">
        <f t="shared" si="37"/>
        <v/>
      </c>
      <c r="O768" s="1" t="str">
        <f t="shared" si="38"/>
        <v/>
      </c>
      <c r="P768" s="1" t="str">
        <f t="shared" si="39"/>
        <v/>
      </c>
    </row>
    <row r="769" spans="14:16" x14ac:dyDescent="0.3">
      <c r="N769" s="1" t="str">
        <f t="shared" si="37"/>
        <v/>
      </c>
      <c r="O769" s="1" t="str">
        <f t="shared" si="38"/>
        <v/>
      </c>
      <c r="P769" s="1" t="str">
        <f t="shared" si="39"/>
        <v/>
      </c>
    </row>
    <row r="770" spans="14:16" x14ac:dyDescent="0.3">
      <c r="N770" s="1" t="str">
        <f t="shared" si="37"/>
        <v/>
      </c>
      <c r="O770" s="1" t="str">
        <f t="shared" si="38"/>
        <v/>
      </c>
      <c r="P770" s="1" t="str">
        <f t="shared" si="39"/>
        <v/>
      </c>
    </row>
    <row r="771" spans="14:16" x14ac:dyDescent="0.3">
      <c r="N771" s="1" t="str">
        <f t="shared" si="37"/>
        <v/>
      </c>
      <c r="O771" s="1" t="str">
        <f t="shared" si="38"/>
        <v/>
      </c>
      <c r="P771" s="1" t="str">
        <f t="shared" si="39"/>
        <v/>
      </c>
    </row>
    <row r="772" spans="14:16" x14ac:dyDescent="0.3">
      <c r="N772" s="1" t="str">
        <f t="shared" si="37"/>
        <v/>
      </c>
      <c r="O772" s="1" t="str">
        <f t="shared" si="38"/>
        <v/>
      </c>
      <c r="P772" s="1" t="str">
        <f t="shared" si="39"/>
        <v/>
      </c>
    </row>
    <row r="773" spans="14:16" x14ac:dyDescent="0.3">
      <c r="N773" s="1" t="str">
        <f t="shared" si="37"/>
        <v/>
      </c>
      <c r="O773" s="1" t="str">
        <f t="shared" si="38"/>
        <v/>
      </c>
      <c r="P773" s="1" t="str">
        <f t="shared" si="39"/>
        <v/>
      </c>
    </row>
    <row r="774" spans="14:16" x14ac:dyDescent="0.3">
      <c r="N774" s="1" t="str">
        <f t="shared" si="37"/>
        <v/>
      </c>
      <c r="O774" s="1" t="str">
        <f t="shared" si="38"/>
        <v/>
      </c>
      <c r="P774" s="1" t="str">
        <f t="shared" si="39"/>
        <v/>
      </c>
    </row>
    <row r="775" spans="14:16" x14ac:dyDescent="0.3">
      <c r="N775" s="1" t="str">
        <f t="shared" ref="N775:N838" si="40">IF(LEN($C775)&gt;0,H775-E775,"")</f>
        <v/>
      </c>
      <c r="O775" s="1" t="str">
        <f t="shared" ref="O775:O838" si="41">IF(LEN($C775)&gt;0,I775-F775,"")</f>
        <v/>
      </c>
      <c r="P775" s="1" t="str">
        <f t="shared" ref="P775:P838" si="42">IF(LEN($C775)&gt;0,J775-G775,"")</f>
        <v/>
      </c>
    </row>
    <row r="776" spans="14:16" x14ac:dyDescent="0.3">
      <c r="N776" s="1" t="str">
        <f t="shared" si="40"/>
        <v/>
      </c>
      <c r="O776" s="1" t="str">
        <f t="shared" si="41"/>
        <v/>
      </c>
      <c r="P776" s="1" t="str">
        <f t="shared" si="42"/>
        <v/>
      </c>
    </row>
    <row r="777" spans="14:16" x14ac:dyDescent="0.3">
      <c r="N777" s="1" t="str">
        <f t="shared" si="40"/>
        <v/>
      </c>
      <c r="O777" s="1" t="str">
        <f t="shared" si="41"/>
        <v/>
      </c>
      <c r="P777" s="1" t="str">
        <f t="shared" si="42"/>
        <v/>
      </c>
    </row>
    <row r="778" spans="14:16" x14ac:dyDescent="0.3">
      <c r="N778" s="1" t="str">
        <f t="shared" si="40"/>
        <v/>
      </c>
      <c r="O778" s="1" t="str">
        <f t="shared" si="41"/>
        <v/>
      </c>
      <c r="P778" s="1" t="str">
        <f t="shared" si="42"/>
        <v/>
      </c>
    </row>
    <row r="779" spans="14:16" x14ac:dyDescent="0.3">
      <c r="N779" s="1" t="str">
        <f t="shared" si="40"/>
        <v/>
      </c>
      <c r="O779" s="1" t="str">
        <f t="shared" si="41"/>
        <v/>
      </c>
      <c r="P779" s="1" t="str">
        <f t="shared" si="42"/>
        <v/>
      </c>
    </row>
    <row r="780" spans="14:16" x14ac:dyDescent="0.3">
      <c r="N780" s="1" t="str">
        <f t="shared" si="40"/>
        <v/>
      </c>
      <c r="O780" s="1" t="str">
        <f t="shared" si="41"/>
        <v/>
      </c>
      <c r="P780" s="1" t="str">
        <f t="shared" si="42"/>
        <v/>
      </c>
    </row>
    <row r="781" spans="14:16" x14ac:dyDescent="0.3">
      <c r="N781" s="1" t="str">
        <f t="shared" si="40"/>
        <v/>
      </c>
      <c r="O781" s="1" t="str">
        <f t="shared" si="41"/>
        <v/>
      </c>
      <c r="P781" s="1" t="str">
        <f t="shared" si="42"/>
        <v/>
      </c>
    </row>
    <row r="782" spans="14:16" x14ac:dyDescent="0.3">
      <c r="N782" s="1" t="str">
        <f t="shared" si="40"/>
        <v/>
      </c>
      <c r="O782" s="1" t="str">
        <f t="shared" si="41"/>
        <v/>
      </c>
      <c r="P782" s="1" t="str">
        <f t="shared" si="42"/>
        <v/>
      </c>
    </row>
    <row r="783" spans="14:16" x14ac:dyDescent="0.3">
      <c r="N783" s="1" t="str">
        <f t="shared" si="40"/>
        <v/>
      </c>
      <c r="O783" s="1" t="str">
        <f t="shared" si="41"/>
        <v/>
      </c>
      <c r="P783" s="1" t="str">
        <f t="shared" si="42"/>
        <v/>
      </c>
    </row>
    <row r="784" spans="14:16" x14ac:dyDescent="0.3">
      <c r="N784" s="1" t="str">
        <f t="shared" si="40"/>
        <v/>
      </c>
      <c r="O784" s="1" t="str">
        <f t="shared" si="41"/>
        <v/>
      </c>
      <c r="P784" s="1" t="str">
        <f t="shared" si="42"/>
        <v/>
      </c>
    </row>
    <row r="785" spans="14:16" x14ac:dyDescent="0.3">
      <c r="N785" s="1" t="str">
        <f t="shared" si="40"/>
        <v/>
      </c>
      <c r="O785" s="1" t="str">
        <f t="shared" si="41"/>
        <v/>
      </c>
      <c r="P785" s="1" t="str">
        <f t="shared" si="42"/>
        <v/>
      </c>
    </row>
    <row r="786" spans="14:16" x14ac:dyDescent="0.3">
      <c r="N786" s="1" t="str">
        <f t="shared" si="40"/>
        <v/>
      </c>
      <c r="O786" s="1" t="str">
        <f t="shared" si="41"/>
        <v/>
      </c>
      <c r="P786" s="1" t="str">
        <f t="shared" si="42"/>
        <v/>
      </c>
    </row>
    <row r="787" spans="14:16" x14ac:dyDescent="0.3">
      <c r="N787" s="1" t="str">
        <f t="shared" si="40"/>
        <v/>
      </c>
      <c r="O787" s="1" t="str">
        <f t="shared" si="41"/>
        <v/>
      </c>
      <c r="P787" s="1" t="str">
        <f t="shared" si="42"/>
        <v/>
      </c>
    </row>
    <row r="788" spans="14:16" x14ac:dyDescent="0.3">
      <c r="N788" s="1" t="str">
        <f t="shared" si="40"/>
        <v/>
      </c>
      <c r="O788" s="1" t="str">
        <f t="shared" si="41"/>
        <v/>
      </c>
      <c r="P788" s="1" t="str">
        <f t="shared" si="42"/>
        <v/>
      </c>
    </row>
    <row r="789" spans="14:16" x14ac:dyDescent="0.3">
      <c r="N789" s="1" t="str">
        <f t="shared" si="40"/>
        <v/>
      </c>
      <c r="O789" s="1" t="str">
        <f t="shared" si="41"/>
        <v/>
      </c>
      <c r="P789" s="1" t="str">
        <f t="shared" si="42"/>
        <v/>
      </c>
    </row>
    <row r="790" spans="14:16" x14ac:dyDescent="0.3">
      <c r="N790" s="1" t="str">
        <f t="shared" si="40"/>
        <v/>
      </c>
      <c r="O790" s="1" t="str">
        <f t="shared" si="41"/>
        <v/>
      </c>
      <c r="P790" s="1" t="str">
        <f t="shared" si="42"/>
        <v/>
      </c>
    </row>
    <row r="791" spans="14:16" x14ac:dyDescent="0.3">
      <c r="N791" s="1" t="str">
        <f t="shared" si="40"/>
        <v/>
      </c>
      <c r="O791" s="1" t="str">
        <f t="shared" si="41"/>
        <v/>
      </c>
      <c r="P791" s="1" t="str">
        <f t="shared" si="42"/>
        <v/>
      </c>
    </row>
    <row r="792" spans="14:16" x14ac:dyDescent="0.3">
      <c r="N792" s="1" t="str">
        <f t="shared" si="40"/>
        <v/>
      </c>
      <c r="O792" s="1" t="str">
        <f t="shared" si="41"/>
        <v/>
      </c>
      <c r="P792" s="1" t="str">
        <f t="shared" si="42"/>
        <v/>
      </c>
    </row>
    <row r="793" spans="14:16" x14ac:dyDescent="0.3">
      <c r="N793" s="1" t="str">
        <f t="shared" si="40"/>
        <v/>
      </c>
      <c r="O793" s="1" t="str">
        <f t="shared" si="41"/>
        <v/>
      </c>
      <c r="P793" s="1" t="str">
        <f t="shared" si="42"/>
        <v/>
      </c>
    </row>
    <row r="794" spans="14:16" x14ac:dyDescent="0.3">
      <c r="N794" s="1" t="str">
        <f t="shared" si="40"/>
        <v/>
      </c>
      <c r="O794" s="1" t="str">
        <f t="shared" si="41"/>
        <v/>
      </c>
      <c r="P794" s="1" t="str">
        <f t="shared" si="42"/>
        <v/>
      </c>
    </row>
    <row r="795" spans="14:16" x14ac:dyDescent="0.3">
      <c r="N795" s="1" t="str">
        <f t="shared" si="40"/>
        <v/>
      </c>
      <c r="O795" s="1" t="str">
        <f t="shared" si="41"/>
        <v/>
      </c>
      <c r="P795" s="1" t="str">
        <f t="shared" si="42"/>
        <v/>
      </c>
    </row>
    <row r="796" spans="14:16" x14ac:dyDescent="0.3">
      <c r="N796" s="1" t="str">
        <f t="shared" si="40"/>
        <v/>
      </c>
      <c r="O796" s="1" t="str">
        <f t="shared" si="41"/>
        <v/>
      </c>
      <c r="P796" s="1" t="str">
        <f t="shared" si="42"/>
        <v/>
      </c>
    </row>
    <row r="797" spans="14:16" x14ac:dyDescent="0.3">
      <c r="N797" s="1" t="str">
        <f t="shared" si="40"/>
        <v/>
      </c>
      <c r="O797" s="1" t="str">
        <f t="shared" si="41"/>
        <v/>
      </c>
      <c r="P797" s="1" t="str">
        <f t="shared" si="42"/>
        <v/>
      </c>
    </row>
    <row r="798" spans="14:16" x14ac:dyDescent="0.3">
      <c r="N798" s="1" t="str">
        <f t="shared" si="40"/>
        <v/>
      </c>
      <c r="O798" s="1" t="str">
        <f t="shared" si="41"/>
        <v/>
      </c>
      <c r="P798" s="1" t="str">
        <f t="shared" si="42"/>
        <v/>
      </c>
    </row>
    <row r="799" spans="14:16" x14ac:dyDescent="0.3">
      <c r="N799" s="1" t="str">
        <f t="shared" si="40"/>
        <v/>
      </c>
      <c r="O799" s="1" t="str">
        <f t="shared" si="41"/>
        <v/>
      </c>
      <c r="P799" s="1" t="str">
        <f t="shared" si="42"/>
        <v/>
      </c>
    </row>
    <row r="800" spans="14:16" x14ac:dyDescent="0.3">
      <c r="N800" s="1" t="str">
        <f t="shared" si="40"/>
        <v/>
      </c>
      <c r="O800" s="1" t="str">
        <f t="shared" si="41"/>
        <v/>
      </c>
      <c r="P800" s="1" t="str">
        <f t="shared" si="42"/>
        <v/>
      </c>
    </row>
    <row r="801" spans="14:16" x14ac:dyDescent="0.3">
      <c r="N801" s="1" t="str">
        <f t="shared" si="40"/>
        <v/>
      </c>
      <c r="O801" s="1" t="str">
        <f t="shared" si="41"/>
        <v/>
      </c>
      <c r="P801" s="1" t="str">
        <f t="shared" si="42"/>
        <v/>
      </c>
    </row>
    <row r="802" spans="14:16" x14ac:dyDescent="0.3">
      <c r="N802" s="1" t="str">
        <f t="shared" si="40"/>
        <v/>
      </c>
      <c r="O802" s="1" t="str">
        <f t="shared" si="41"/>
        <v/>
      </c>
      <c r="P802" s="1" t="str">
        <f t="shared" si="42"/>
        <v/>
      </c>
    </row>
    <row r="803" spans="14:16" x14ac:dyDescent="0.3">
      <c r="N803" s="1" t="str">
        <f t="shared" si="40"/>
        <v/>
      </c>
      <c r="O803" s="1" t="str">
        <f t="shared" si="41"/>
        <v/>
      </c>
      <c r="P803" s="1" t="str">
        <f t="shared" si="42"/>
        <v/>
      </c>
    </row>
    <row r="804" spans="14:16" x14ac:dyDescent="0.3">
      <c r="N804" s="1" t="str">
        <f t="shared" si="40"/>
        <v/>
      </c>
      <c r="O804" s="1" t="str">
        <f t="shared" si="41"/>
        <v/>
      </c>
      <c r="P804" s="1" t="str">
        <f t="shared" si="42"/>
        <v/>
      </c>
    </row>
    <row r="805" spans="14:16" x14ac:dyDescent="0.3">
      <c r="N805" s="1" t="str">
        <f t="shared" si="40"/>
        <v/>
      </c>
      <c r="O805" s="1" t="str">
        <f t="shared" si="41"/>
        <v/>
      </c>
      <c r="P805" s="1" t="str">
        <f t="shared" si="42"/>
        <v/>
      </c>
    </row>
    <row r="806" spans="14:16" x14ac:dyDescent="0.3">
      <c r="N806" s="1" t="str">
        <f t="shared" si="40"/>
        <v/>
      </c>
      <c r="O806" s="1" t="str">
        <f t="shared" si="41"/>
        <v/>
      </c>
      <c r="P806" s="1" t="str">
        <f t="shared" si="42"/>
        <v/>
      </c>
    </row>
    <row r="807" spans="14:16" x14ac:dyDescent="0.3">
      <c r="N807" s="1" t="str">
        <f t="shared" si="40"/>
        <v/>
      </c>
      <c r="O807" s="1" t="str">
        <f t="shared" si="41"/>
        <v/>
      </c>
      <c r="P807" s="1" t="str">
        <f t="shared" si="42"/>
        <v/>
      </c>
    </row>
    <row r="808" spans="14:16" x14ac:dyDescent="0.3">
      <c r="N808" s="1" t="str">
        <f t="shared" si="40"/>
        <v/>
      </c>
      <c r="O808" s="1" t="str">
        <f t="shared" si="41"/>
        <v/>
      </c>
      <c r="P808" s="1" t="str">
        <f t="shared" si="42"/>
        <v/>
      </c>
    </row>
    <row r="809" spans="14:16" x14ac:dyDescent="0.3">
      <c r="N809" s="1" t="str">
        <f t="shared" si="40"/>
        <v/>
      </c>
      <c r="O809" s="1" t="str">
        <f t="shared" si="41"/>
        <v/>
      </c>
      <c r="P809" s="1" t="str">
        <f t="shared" si="42"/>
        <v/>
      </c>
    </row>
    <row r="810" spans="14:16" x14ac:dyDescent="0.3">
      <c r="N810" s="1" t="str">
        <f t="shared" si="40"/>
        <v/>
      </c>
      <c r="O810" s="1" t="str">
        <f t="shared" si="41"/>
        <v/>
      </c>
      <c r="P810" s="1" t="str">
        <f t="shared" si="42"/>
        <v/>
      </c>
    </row>
    <row r="811" spans="14:16" x14ac:dyDescent="0.3">
      <c r="N811" s="1" t="str">
        <f t="shared" si="40"/>
        <v/>
      </c>
      <c r="O811" s="1" t="str">
        <f t="shared" si="41"/>
        <v/>
      </c>
      <c r="P811" s="1" t="str">
        <f t="shared" si="42"/>
        <v/>
      </c>
    </row>
    <row r="812" spans="14:16" x14ac:dyDescent="0.3">
      <c r="N812" s="1" t="str">
        <f t="shared" si="40"/>
        <v/>
      </c>
      <c r="O812" s="1" t="str">
        <f t="shared" si="41"/>
        <v/>
      </c>
      <c r="P812" s="1" t="str">
        <f t="shared" si="42"/>
        <v/>
      </c>
    </row>
    <row r="813" spans="14:16" x14ac:dyDescent="0.3">
      <c r="N813" s="1" t="str">
        <f t="shared" si="40"/>
        <v/>
      </c>
      <c r="O813" s="1" t="str">
        <f t="shared" si="41"/>
        <v/>
      </c>
      <c r="P813" s="1" t="str">
        <f t="shared" si="42"/>
        <v/>
      </c>
    </row>
    <row r="814" spans="14:16" x14ac:dyDescent="0.3">
      <c r="N814" s="1" t="str">
        <f t="shared" si="40"/>
        <v/>
      </c>
      <c r="O814" s="1" t="str">
        <f t="shared" si="41"/>
        <v/>
      </c>
      <c r="P814" s="1" t="str">
        <f t="shared" si="42"/>
        <v/>
      </c>
    </row>
    <row r="815" spans="14:16" x14ac:dyDescent="0.3">
      <c r="N815" s="1" t="str">
        <f t="shared" si="40"/>
        <v/>
      </c>
      <c r="O815" s="1" t="str">
        <f t="shared" si="41"/>
        <v/>
      </c>
      <c r="P815" s="1" t="str">
        <f t="shared" si="42"/>
        <v/>
      </c>
    </row>
    <row r="816" spans="14:16" x14ac:dyDescent="0.3">
      <c r="N816" s="1" t="str">
        <f t="shared" si="40"/>
        <v/>
      </c>
      <c r="O816" s="1" t="str">
        <f t="shared" si="41"/>
        <v/>
      </c>
      <c r="P816" s="1" t="str">
        <f t="shared" si="42"/>
        <v/>
      </c>
    </row>
    <row r="817" spans="14:16" x14ac:dyDescent="0.3">
      <c r="N817" s="1" t="str">
        <f t="shared" si="40"/>
        <v/>
      </c>
      <c r="O817" s="1" t="str">
        <f t="shared" si="41"/>
        <v/>
      </c>
      <c r="P817" s="1" t="str">
        <f t="shared" si="42"/>
        <v/>
      </c>
    </row>
    <row r="818" spans="14:16" x14ac:dyDescent="0.3">
      <c r="N818" s="1" t="str">
        <f t="shared" si="40"/>
        <v/>
      </c>
      <c r="O818" s="1" t="str">
        <f t="shared" si="41"/>
        <v/>
      </c>
      <c r="P818" s="1" t="str">
        <f t="shared" si="42"/>
        <v/>
      </c>
    </row>
    <row r="819" spans="14:16" x14ac:dyDescent="0.3">
      <c r="N819" s="1" t="str">
        <f t="shared" si="40"/>
        <v/>
      </c>
      <c r="O819" s="1" t="str">
        <f t="shared" si="41"/>
        <v/>
      </c>
      <c r="P819" s="1" t="str">
        <f t="shared" si="42"/>
        <v/>
      </c>
    </row>
    <row r="820" spans="14:16" x14ac:dyDescent="0.3">
      <c r="N820" s="1" t="str">
        <f t="shared" si="40"/>
        <v/>
      </c>
      <c r="O820" s="1" t="str">
        <f t="shared" si="41"/>
        <v/>
      </c>
      <c r="P820" s="1" t="str">
        <f t="shared" si="42"/>
        <v/>
      </c>
    </row>
    <row r="821" spans="14:16" x14ac:dyDescent="0.3">
      <c r="N821" s="1" t="str">
        <f t="shared" si="40"/>
        <v/>
      </c>
      <c r="O821" s="1" t="str">
        <f t="shared" si="41"/>
        <v/>
      </c>
      <c r="P821" s="1" t="str">
        <f t="shared" si="42"/>
        <v/>
      </c>
    </row>
    <row r="822" spans="14:16" x14ac:dyDescent="0.3">
      <c r="N822" s="1" t="str">
        <f t="shared" si="40"/>
        <v/>
      </c>
      <c r="O822" s="1" t="str">
        <f t="shared" si="41"/>
        <v/>
      </c>
      <c r="P822" s="1" t="str">
        <f t="shared" si="42"/>
        <v/>
      </c>
    </row>
    <row r="823" spans="14:16" x14ac:dyDescent="0.3">
      <c r="N823" s="1" t="str">
        <f t="shared" si="40"/>
        <v/>
      </c>
      <c r="O823" s="1" t="str">
        <f t="shared" si="41"/>
        <v/>
      </c>
      <c r="P823" s="1" t="str">
        <f t="shared" si="42"/>
        <v/>
      </c>
    </row>
    <row r="824" spans="14:16" x14ac:dyDescent="0.3">
      <c r="N824" s="1" t="str">
        <f t="shared" si="40"/>
        <v/>
      </c>
      <c r="O824" s="1" t="str">
        <f t="shared" si="41"/>
        <v/>
      </c>
      <c r="P824" s="1" t="str">
        <f t="shared" si="42"/>
        <v/>
      </c>
    </row>
    <row r="825" spans="14:16" x14ac:dyDescent="0.3">
      <c r="N825" s="1" t="str">
        <f t="shared" si="40"/>
        <v/>
      </c>
      <c r="O825" s="1" t="str">
        <f t="shared" si="41"/>
        <v/>
      </c>
      <c r="P825" s="1" t="str">
        <f t="shared" si="42"/>
        <v/>
      </c>
    </row>
    <row r="826" spans="14:16" x14ac:dyDescent="0.3">
      <c r="N826" s="1" t="str">
        <f t="shared" si="40"/>
        <v/>
      </c>
      <c r="O826" s="1" t="str">
        <f t="shared" si="41"/>
        <v/>
      </c>
      <c r="P826" s="1" t="str">
        <f t="shared" si="42"/>
        <v/>
      </c>
    </row>
    <row r="827" spans="14:16" x14ac:dyDescent="0.3">
      <c r="N827" s="1" t="str">
        <f t="shared" si="40"/>
        <v/>
      </c>
      <c r="O827" s="1" t="str">
        <f t="shared" si="41"/>
        <v/>
      </c>
      <c r="P827" s="1" t="str">
        <f t="shared" si="42"/>
        <v/>
      </c>
    </row>
    <row r="828" spans="14:16" x14ac:dyDescent="0.3">
      <c r="N828" s="1" t="str">
        <f t="shared" si="40"/>
        <v/>
      </c>
      <c r="O828" s="1" t="str">
        <f t="shared" si="41"/>
        <v/>
      </c>
      <c r="P828" s="1" t="str">
        <f t="shared" si="42"/>
        <v/>
      </c>
    </row>
    <row r="829" spans="14:16" x14ac:dyDescent="0.3">
      <c r="N829" s="1" t="str">
        <f t="shared" si="40"/>
        <v/>
      </c>
      <c r="O829" s="1" t="str">
        <f t="shared" si="41"/>
        <v/>
      </c>
      <c r="P829" s="1" t="str">
        <f t="shared" si="42"/>
        <v/>
      </c>
    </row>
    <row r="830" spans="14:16" x14ac:dyDescent="0.3">
      <c r="N830" s="1" t="str">
        <f t="shared" si="40"/>
        <v/>
      </c>
      <c r="O830" s="1" t="str">
        <f t="shared" si="41"/>
        <v/>
      </c>
      <c r="P830" s="1" t="str">
        <f t="shared" si="42"/>
        <v/>
      </c>
    </row>
    <row r="831" spans="14:16" x14ac:dyDescent="0.3">
      <c r="N831" s="1" t="str">
        <f t="shared" si="40"/>
        <v/>
      </c>
      <c r="O831" s="1" t="str">
        <f t="shared" si="41"/>
        <v/>
      </c>
      <c r="P831" s="1" t="str">
        <f t="shared" si="42"/>
        <v/>
      </c>
    </row>
    <row r="832" spans="14:16" x14ac:dyDescent="0.3">
      <c r="N832" s="1" t="str">
        <f t="shared" si="40"/>
        <v/>
      </c>
      <c r="O832" s="1" t="str">
        <f t="shared" si="41"/>
        <v/>
      </c>
      <c r="P832" s="1" t="str">
        <f t="shared" si="42"/>
        <v/>
      </c>
    </row>
    <row r="833" spans="14:16" x14ac:dyDescent="0.3">
      <c r="N833" s="1" t="str">
        <f t="shared" si="40"/>
        <v/>
      </c>
      <c r="O833" s="1" t="str">
        <f t="shared" si="41"/>
        <v/>
      </c>
      <c r="P833" s="1" t="str">
        <f t="shared" si="42"/>
        <v/>
      </c>
    </row>
    <row r="834" spans="14:16" x14ac:dyDescent="0.3">
      <c r="N834" s="1" t="str">
        <f t="shared" si="40"/>
        <v/>
      </c>
      <c r="O834" s="1" t="str">
        <f t="shared" si="41"/>
        <v/>
      </c>
      <c r="P834" s="1" t="str">
        <f t="shared" si="42"/>
        <v/>
      </c>
    </row>
    <row r="835" spans="14:16" x14ac:dyDescent="0.3">
      <c r="N835" s="1" t="str">
        <f t="shared" si="40"/>
        <v/>
      </c>
      <c r="O835" s="1" t="str">
        <f t="shared" si="41"/>
        <v/>
      </c>
      <c r="P835" s="1" t="str">
        <f t="shared" si="42"/>
        <v/>
      </c>
    </row>
    <row r="836" spans="14:16" x14ac:dyDescent="0.3">
      <c r="N836" s="1" t="str">
        <f t="shared" si="40"/>
        <v/>
      </c>
      <c r="O836" s="1" t="str">
        <f t="shared" si="41"/>
        <v/>
      </c>
      <c r="P836" s="1" t="str">
        <f t="shared" si="42"/>
        <v/>
      </c>
    </row>
    <row r="837" spans="14:16" x14ac:dyDescent="0.3">
      <c r="N837" s="1" t="str">
        <f t="shared" si="40"/>
        <v/>
      </c>
      <c r="O837" s="1" t="str">
        <f t="shared" si="41"/>
        <v/>
      </c>
      <c r="P837" s="1" t="str">
        <f t="shared" si="42"/>
        <v/>
      </c>
    </row>
    <row r="838" spans="14:16" x14ac:dyDescent="0.3">
      <c r="N838" s="1" t="str">
        <f t="shared" si="40"/>
        <v/>
      </c>
      <c r="O838" s="1" t="str">
        <f t="shared" si="41"/>
        <v/>
      </c>
      <c r="P838" s="1" t="str">
        <f t="shared" si="42"/>
        <v/>
      </c>
    </row>
    <row r="839" spans="14:16" x14ac:dyDescent="0.3">
      <c r="N839" s="1" t="str">
        <f t="shared" ref="N839:N902" si="43">IF(LEN($C839)&gt;0,H839-E839,"")</f>
        <v/>
      </c>
      <c r="O839" s="1" t="str">
        <f t="shared" ref="O839:O902" si="44">IF(LEN($C839)&gt;0,I839-F839,"")</f>
        <v/>
      </c>
      <c r="P839" s="1" t="str">
        <f t="shared" ref="P839:P902" si="45">IF(LEN($C839)&gt;0,J839-G839,"")</f>
        <v/>
      </c>
    </row>
    <row r="840" spans="14:16" x14ac:dyDescent="0.3">
      <c r="N840" s="1" t="str">
        <f t="shared" si="43"/>
        <v/>
      </c>
      <c r="O840" s="1" t="str">
        <f t="shared" si="44"/>
        <v/>
      </c>
      <c r="P840" s="1" t="str">
        <f t="shared" si="45"/>
        <v/>
      </c>
    </row>
    <row r="841" spans="14:16" x14ac:dyDescent="0.3">
      <c r="N841" s="1" t="str">
        <f t="shared" si="43"/>
        <v/>
      </c>
      <c r="O841" s="1" t="str">
        <f t="shared" si="44"/>
        <v/>
      </c>
      <c r="P841" s="1" t="str">
        <f t="shared" si="45"/>
        <v/>
      </c>
    </row>
    <row r="842" spans="14:16" x14ac:dyDescent="0.3">
      <c r="N842" s="1" t="str">
        <f t="shared" si="43"/>
        <v/>
      </c>
      <c r="O842" s="1" t="str">
        <f t="shared" si="44"/>
        <v/>
      </c>
      <c r="P842" s="1" t="str">
        <f t="shared" si="45"/>
        <v/>
      </c>
    </row>
    <row r="843" spans="14:16" x14ac:dyDescent="0.3">
      <c r="N843" s="1" t="str">
        <f t="shared" si="43"/>
        <v/>
      </c>
      <c r="O843" s="1" t="str">
        <f t="shared" si="44"/>
        <v/>
      </c>
      <c r="P843" s="1" t="str">
        <f t="shared" si="45"/>
        <v/>
      </c>
    </row>
    <row r="844" spans="14:16" x14ac:dyDescent="0.3">
      <c r="N844" s="1" t="str">
        <f t="shared" si="43"/>
        <v/>
      </c>
      <c r="O844" s="1" t="str">
        <f t="shared" si="44"/>
        <v/>
      </c>
      <c r="P844" s="1" t="str">
        <f t="shared" si="45"/>
        <v/>
      </c>
    </row>
    <row r="845" spans="14:16" x14ac:dyDescent="0.3">
      <c r="N845" s="1" t="str">
        <f t="shared" si="43"/>
        <v/>
      </c>
      <c r="O845" s="1" t="str">
        <f t="shared" si="44"/>
        <v/>
      </c>
      <c r="P845" s="1" t="str">
        <f t="shared" si="45"/>
        <v/>
      </c>
    </row>
    <row r="846" spans="14:16" x14ac:dyDescent="0.3">
      <c r="N846" s="1" t="str">
        <f t="shared" si="43"/>
        <v/>
      </c>
      <c r="O846" s="1" t="str">
        <f t="shared" si="44"/>
        <v/>
      </c>
      <c r="P846" s="1" t="str">
        <f t="shared" si="45"/>
        <v/>
      </c>
    </row>
    <row r="847" spans="14:16" x14ac:dyDescent="0.3">
      <c r="N847" s="1" t="str">
        <f t="shared" si="43"/>
        <v/>
      </c>
      <c r="O847" s="1" t="str">
        <f t="shared" si="44"/>
        <v/>
      </c>
      <c r="P847" s="1" t="str">
        <f t="shared" si="45"/>
        <v/>
      </c>
    </row>
    <row r="848" spans="14:16" x14ac:dyDescent="0.3">
      <c r="N848" s="1" t="str">
        <f t="shared" si="43"/>
        <v/>
      </c>
      <c r="O848" s="1" t="str">
        <f t="shared" si="44"/>
        <v/>
      </c>
      <c r="P848" s="1" t="str">
        <f t="shared" si="45"/>
        <v/>
      </c>
    </row>
    <row r="849" spans="14:16" x14ac:dyDescent="0.3">
      <c r="N849" s="1" t="str">
        <f t="shared" si="43"/>
        <v/>
      </c>
      <c r="O849" s="1" t="str">
        <f t="shared" si="44"/>
        <v/>
      </c>
      <c r="P849" s="1" t="str">
        <f t="shared" si="45"/>
        <v/>
      </c>
    </row>
    <row r="850" spans="14:16" x14ac:dyDescent="0.3">
      <c r="N850" s="1" t="str">
        <f t="shared" si="43"/>
        <v/>
      </c>
      <c r="O850" s="1" t="str">
        <f t="shared" si="44"/>
        <v/>
      </c>
      <c r="P850" s="1" t="str">
        <f t="shared" si="45"/>
        <v/>
      </c>
    </row>
    <row r="851" spans="14:16" x14ac:dyDescent="0.3">
      <c r="N851" s="1" t="str">
        <f t="shared" si="43"/>
        <v/>
      </c>
      <c r="O851" s="1" t="str">
        <f t="shared" si="44"/>
        <v/>
      </c>
      <c r="P851" s="1" t="str">
        <f t="shared" si="45"/>
        <v/>
      </c>
    </row>
    <row r="852" spans="14:16" x14ac:dyDescent="0.3">
      <c r="N852" s="1" t="str">
        <f t="shared" si="43"/>
        <v/>
      </c>
      <c r="O852" s="1" t="str">
        <f t="shared" si="44"/>
        <v/>
      </c>
      <c r="P852" s="1" t="str">
        <f t="shared" si="45"/>
        <v/>
      </c>
    </row>
    <row r="853" spans="14:16" x14ac:dyDescent="0.3">
      <c r="N853" s="1" t="str">
        <f t="shared" si="43"/>
        <v/>
      </c>
      <c r="O853" s="1" t="str">
        <f t="shared" si="44"/>
        <v/>
      </c>
      <c r="P853" s="1" t="str">
        <f t="shared" si="45"/>
        <v/>
      </c>
    </row>
    <row r="854" spans="14:16" x14ac:dyDescent="0.3">
      <c r="N854" s="1" t="str">
        <f t="shared" si="43"/>
        <v/>
      </c>
      <c r="O854" s="1" t="str">
        <f t="shared" si="44"/>
        <v/>
      </c>
      <c r="P854" s="1" t="str">
        <f t="shared" si="45"/>
        <v/>
      </c>
    </row>
    <row r="855" spans="14:16" x14ac:dyDescent="0.3">
      <c r="N855" s="1" t="str">
        <f t="shared" si="43"/>
        <v/>
      </c>
      <c r="O855" s="1" t="str">
        <f t="shared" si="44"/>
        <v/>
      </c>
      <c r="P855" s="1" t="str">
        <f t="shared" si="45"/>
        <v/>
      </c>
    </row>
    <row r="856" spans="14:16" x14ac:dyDescent="0.3">
      <c r="N856" s="1" t="str">
        <f t="shared" si="43"/>
        <v/>
      </c>
      <c r="O856" s="1" t="str">
        <f t="shared" si="44"/>
        <v/>
      </c>
      <c r="P856" s="1" t="str">
        <f t="shared" si="45"/>
        <v/>
      </c>
    </row>
    <row r="857" spans="14:16" x14ac:dyDescent="0.3">
      <c r="N857" s="1" t="str">
        <f t="shared" si="43"/>
        <v/>
      </c>
      <c r="O857" s="1" t="str">
        <f t="shared" si="44"/>
        <v/>
      </c>
      <c r="P857" s="1" t="str">
        <f t="shared" si="45"/>
        <v/>
      </c>
    </row>
    <row r="858" spans="14:16" x14ac:dyDescent="0.3">
      <c r="N858" s="1" t="str">
        <f t="shared" si="43"/>
        <v/>
      </c>
      <c r="O858" s="1" t="str">
        <f t="shared" si="44"/>
        <v/>
      </c>
      <c r="P858" s="1" t="str">
        <f t="shared" si="45"/>
        <v/>
      </c>
    </row>
    <row r="859" spans="14:16" x14ac:dyDescent="0.3">
      <c r="N859" s="1" t="str">
        <f t="shared" si="43"/>
        <v/>
      </c>
      <c r="O859" s="1" t="str">
        <f t="shared" si="44"/>
        <v/>
      </c>
      <c r="P859" s="1" t="str">
        <f t="shared" si="45"/>
        <v/>
      </c>
    </row>
    <row r="860" spans="14:16" x14ac:dyDescent="0.3">
      <c r="N860" s="1" t="str">
        <f t="shared" si="43"/>
        <v/>
      </c>
      <c r="O860" s="1" t="str">
        <f t="shared" si="44"/>
        <v/>
      </c>
      <c r="P860" s="1" t="str">
        <f t="shared" si="45"/>
        <v/>
      </c>
    </row>
    <row r="861" spans="14:16" x14ac:dyDescent="0.3">
      <c r="N861" s="1" t="str">
        <f t="shared" si="43"/>
        <v/>
      </c>
      <c r="O861" s="1" t="str">
        <f t="shared" si="44"/>
        <v/>
      </c>
      <c r="P861" s="1" t="str">
        <f t="shared" si="45"/>
        <v/>
      </c>
    </row>
    <row r="862" spans="14:16" x14ac:dyDescent="0.3">
      <c r="N862" s="1" t="str">
        <f t="shared" si="43"/>
        <v/>
      </c>
      <c r="O862" s="1" t="str">
        <f t="shared" si="44"/>
        <v/>
      </c>
      <c r="P862" s="1" t="str">
        <f t="shared" si="45"/>
        <v/>
      </c>
    </row>
    <row r="863" spans="14:16" x14ac:dyDescent="0.3">
      <c r="N863" s="1" t="str">
        <f t="shared" si="43"/>
        <v/>
      </c>
      <c r="O863" s="1" t="str">
        <f t="shared" si="44"/>
        <v/>
      </c>
      <c r="P863" s="1" t="str">
        <f t="shared" si="45"/>
        <v/>
      </c>
    </row>
    <row r="864" spans="14:16" x14ac:dyDescent="0.3">
      <c r="N864" s="1" t="str">
        <f t="shared" si="43"/>
        <v/>
      </c>
      <c r="O864" s="1" t="str">
        <f t="shared" si="44"/>
        <v/>
      </c>
      <c r="P864" s="1" t="str">
        <f t="shared" si="45"/>
        <v/>
      </c>
    </row>
    <row r="865" spans="14:16" x14ac:dyDescent="0.3">
      <c r="N865" s="1" t="str">
        <f t="shared" si="43"/>
        <v/>
      </c>
      <c r="O865" s="1" t="str">
        <f t="shared" si="44"/>
        <v/>
      </c>
      <c r="P865" s="1" t="str">
        <f t="shared" si="45"/>
        <v/>
      </c>
    </row>
    <row r="866" spans="14:16" x14ac:dyDescent="0.3">
      <c r="N866" s="1" t="str">
        <f t="shared" si="43"/>
        <v/>
      </c>
      <c r="O866" s="1" t="str">
        <f t="shared" si="44"/>
        <v/>
      </c>
      <c r="P866" s="1" t="str">
        <f t="shared" si="45"/>
        <v/>
      </c>
    </row>
    <row r="867" spans="14:16" x14ac:dyDescent="0.3">
      <c r="N867" s="1" t="str">
        <f t="shared" si="43"/>
        <v/>
      </c>
      <c r="O867" s="1" t="str">
        <f t="shared" si="44"/>
        <v/>
      </c>
      <c r="P867" s="1" t="str">
        <f t="shared" si="45"/>
        <v/>
      </c>
    </row>
    <row r="868" spans="14:16" x14ac:dyDescent="0.3">
      <c r="N868" s="1" t="str">
        <f t="shared" si="43"/>
        <v/>
      </c>
      <c r="O868" s="1" t="str">
        <f t="shared" si="44"/>
        <v/>
      </c>
      <c r="P868" s="1" t="str">
        <f t="shared" si="45"/>
        <v/>
      </c>
    </row>
    <row r="869" spans="14:16" x14ac:dyDescent="0.3">
      <c r="N869" s="1" t="str">
        <f t="shared" si="43"/>
        <v/>
      </c>
      <c r="O869" s="1" t="str">
        <f t="shared" si="44"/>
        <v/>
      </c>
      <c r="P869" s="1" t="str">
        <f t="shared" si="45"/>
        <v/>
      </c>
    </row>
    <row r="870" spans="14:16" x14ac:dyDescent="0.3">
      <c r="N870" s="1" t="str">
        <f t="shared" si="43"/>
        <v/>
      </c>
      <c r="O870" s="1" t="str">
        <f t="shared" si="44"/>
        <v/>
      </c>
      <c r="P870" s="1" t="str">
        <f t="shared" si="45"/>
        <v/>
      </c>
    </row>
    <row r="871" spans="14:16" x14ac:dyDescent="0.3">
      <c r="N871" s="1" t="str">
        <f t="shared" si="43"/>
        <v/>
      </c>
      <c r="O871" s="1" t="str">
        <f t="shared" si="44"/>
        <v/>
      </c>
      <c r="P871" s="1" t="str">
        <f t="shared" si="45"/>
        <v/>
      </c>
    </row>
    <row r="872" spans="14:16" x14ac:dyDescent="0.3">
      <c r="N872" s="1" t="str">
        <f t="shared" si="43"/>
        <v/>
      </c>
      <c r="O872" s="1" t="str">
        <f t="shared" si="44"/>
        <v/>
      </c>
      <c r="P872" s="1" t="str">
        <f t="shared" si="45"/>
        <v/>
      </c>
    </row>
    <row r="873" spans="14:16" x14ac:dyDescent="0.3">
      <c r="N873" s="1" t="str">
        <f t="shared" si="43"/>
        <v/>
      </c>
      <c r="O873" s="1" t="str">
        <f t="shared" si="44"/>
        <v/>
      </c>
      <c r="P873" s="1" t="str">
        <f t="shared" si="45"/>
        <v/>
      </c>
    </row>
    <row r="874" spans="14:16" x14ac:dyDescent="0.3">
      <c r="N874" s="1" t="str">
        <f t="shared" si="43"/>
        <v/>
      </c>
      <c r="O874" s="1" t="str">
        <f t="shared" si="44"/>
        <v/>
      </c>
      <c r="P874" s="1" t="str">
        <f t="shared" si="45"/>
        <v/>
      </c>
    </row>
    <row r="875" spans="14:16" x14ac:dyDescent="0.3">
      <c r="N875" s="1" t="str">
        <f t="shared" si="43"/>
        <v/>
      </c>
      <c r="O875" s="1" t="str">
        <f t="shared" si="44"/>
        <v/>
      </c>
      <c r="P875" s="1" t="str">
        <f t="shared" si="45"/>
        <v/>
      </c>
    </row>
    <row r="876" spans="14:16" x14ac:dyDescent="0.3">
      <c r="N876" s="1" t="str">
        <f t="shared" si="43"/>
        <v/>
      </c>
      <c r="O876" s="1" t="str">
        <f t="shared" si="44"/>
        <v/>
      </c>
      <c r="P876" s="1" t="str">
        <f t="shared" si="45"/>
        <v/>
      </c>
    </row>
    <row r="877" spans="14:16" x14ac:dyDescent="0.3">
      <c r="N877" s="1" t="str">
        <f t="shared" si="43"/>
        <v/>
      </c>
      <c r="O877" s="1" t="str">
        <f t="shared" si="44"/>
        <v/>
      </c>
      <c r="P877" s="1" t="str">
        <f t="shared" si="45"/>
        <v/>
      </c>
    </row>
    <row r="878" spans="14:16" x14ac:dyDescent="0.3">
      <c r="N878" s="1" t="str">
        <f t="shared" si="43"/>
        <v/>
      </c>
      <c r="O878" s="1" t="str">
        <f t="shared" si="44"/>
        <v/>
      </c>
      <c r="P878" s="1" t="str">
        <f t="shared" si="45"/>
        <v/>
      </c>
    </row>
    <row r="879" spans="14:16" x14ac:dyDescent="0.3">
      <c r="N879" s="1" t="str">
        <f t="shared" si="43"/>
        <v/>
      </c>
      <c r="O879" s="1" t="str">
        <f t="shared" si="44"/>
        <v/>
      </c>
      <c r="P879" s="1" t="str">
        <f t="shared" si="45"/>
        <v/>
      </c>
    </row>
    <row r="880" spans="14:16" x14ac:dyDescent="0.3">
      <c r="N880" s="1" t="str">
        <f t="shared" si="43"/>
        <v/>
      </c>
      <c r="O880" s="1" t="str">
        <f t="shared" si="44"/>
        <v/>
      </c>
      <c r="P880" s="1" t="str">
        <f t="shared" si="45"/>
        <v/>
      </c>
    </row>
    <row r="881" spans="14:16" x14ac:dyDescent="0.3">
      <c r="N881" s="1" t="str">
        <f t="shared" si="43"/>
        <v/>
      </c>
      <c r="O881" s="1" t="str">
        <f t="shared" si="44"/>
        <v/>
      </c>
      <c r="P881" s="1" t="str">
        <f t="shared" si="45"/>
        <v/>
      </c>
    </row>
    <row r="882" spans="14:16" x14ac:dyDescent="0.3">
      <c r="N882" s="1" t="str">
        <f t="shared" si="43"/>
        <v/>
      </c>
      <c r="O882" s="1" t="str">
        <f t="shared" si="44"/>
        <v/>
      </c>
      <c r="P882" s="1" t="str">
        <f t="shared" si="45"/>
        <v/>
      </c>
    </row>
    <row r="883" spans="14:16" x14ac:dyDescent="0.3">
      <c r="N883" s="1" t="str">
        <f t="shared" si="43"/>
        <v/>
      </c>
      <c r="O883" s="1" t="str">
        <f t="shared" si="44"/>
        <v/>
      </c>
      <c r="P883" s="1" t="str">
        <f t="shared" si="45"/>
        <v/>
      </c>
    </row>
    <row r="884" spans="14:16" x14ac:dyDescent="0.3">
      <c r="N884" s="1" t="str">
        <f t="shared" si="43"/>
        <v/>
      </c>
      <c r="O884" s="1" t="str">
        <f t="shared" si="44"/>
        <v/>
      </c>
      <c r="P884" s="1" t="str">
        <f t="shared" si="45"/>
        <v/>
      </c>
    </row>
    <row r="885" spans="14:16" x14ac:dyDescent="0.3">
      <c r="N885" s="1" t="str">
        <f t="shared" si="43"/>
        <v/>
      </c>
      <c r="O885" s="1" t="str">
        <f t="shared" si="44"/>
        <v/>
      </c>
      <c r="P885" s="1" t="str">
        <f t="shared" si="45"/>
        <v/>
      </c>
    </row>
    <row r="886" spans="14:16" x14ac:dyDescent="0.3">
      <c r="N886" s="1" t="str">
        <f t="shared" si="43"/>
        <v/>
      </c>
      <c r="O886" s="1" t="str">
        <f t="shared" si="44"/>
        <v/>
      </c>
      <c r="P886" s="1" t="str">
        <f t="shared" si="45"/>
        <v/>
      </c>
    </row>
    <row r="887" spans="14:16" x14ac:dyDescent="0.3">
      <c r="N887" s="1" t="str">
        <f t="shared" si="43"/>
        <v/>
      </c>
      <c r="O887" s="1" t="str">
        <f t="shared" si="44"/>
        <v/>
      </c>
      <c r="P887" s="1" t="str">
        <f t="shared" si="45"/>
        <v/>
      </c>
    </row>
    <row r="888" spans="14:16" x14ac:dyDescent="0.3">
      <c r="N888" s="1" t="str">
        <f t="shared" si="43"/>
        <v/>
      </c>
      <c r="O888" s="1" t="str">
        <f t="shared" si="44"/>
        <v/>
      </c>
      <c r="P888" s="1" t="str">
        <f t="shared" si="45"/>
        <v/>
      </c>
    </row>
    <row r="889" spans="14:16" x14ac:dyDescent="0.3">
      <c r="N889" s="1" t="str">
        <f t="shared" si="43"/>
        <v/>
      </c>
      <c r="O889" s="1" t="str">
        <f t="shared" si="44"/>
        <v/>
      </c>
      <c r="P889" s="1" t="str">
        <f t="shared" si="45"/>
        <v/>
      </c>
    </row>
    <row r="890" spans="14:16" x14ac:dyDescent="0.3">
      <c r="N890" s="1" t="str">
        <f t="shared" si="43"/>
        <v/>
      </c>
      <c r="O890" s="1" t="str">
        <f t="shared" si="44"/>
        <v/>
      </c>
      <c r="P890" s="1" t="str">
        <f t="shared" si="45"/>
        <v/>
      </c>
    </row>
    <row r="891" spans="14:16" x14ac:dyDescent="0.3">
      <c r="N891" s="1" t="str">
        <f t="shared" si="43"/>
        <v/>
      </c>
      <c r="O891" s="1" t="str">
        <f t="shared" si="44"/>
        <v/>
      </c>
      <c r="P891" s="1" t="str">
        <f t="shared" si="45"/>
        <v/>
      </c>
    </row>
    <row r="892" spans="14:16" x14ac:dyDescent="0.3">
      <c r="N892" s="1" t="str">
        <f t="shared" si="43"/>
        <v/>
      </c>
      <c r="O892" s="1" t="str">
        <f t="shared" si="44"/>
        <v/>
      </c>
      <c r="P892" s="1" t="str">
        <f t="shared" si="45"/>
        <v/>
      </c>
    </row>
    <row r="893" spans="14:16" x14ac:dyDescent="0.3">
      <c r="N893" s="1" t="str">
        <f t="shared" si="43"/>
        <v/>
      </c>
      <c r="O893" s="1" t="str">
        <f t="shared" si="44"/>
        <v/>
      </c>
      <c r="P893" s="1" t="str">
        <f t="shared" si="45"/>
        <v/>
      </c>
    </row>
    <row r="894" spans="14:16" x14ac:dyDescent="0.3">
      <c r="N894" s="1" t="str">
        <f t="shared" si="43"/>
        <v/>
      </c>
      <c r="O894" s="1" t="str">
        <f t="shared" si="44"/>
        <v/>
      </c>
      <c r="P894" s="1" t="str">
        <f t="shared" si="45"/>
        <v/>
      </c>
    </row>
    <row r="895" spans="14:16" x14ac:dyDescent="0.3">
      <c r="N895" s="1" t="str">
        <f t="shared" si="43"/>
        <v/>
      </c>
      <c r="O895" s="1" t="str">
        <f t="shared" si="44"/>
        <v/>
      </c>
      <c r="P895" s="1" t="str">
        <f t="shared" si="45"/>
        <v/>
      </c>
    </row>
    <row r="896" spans="14:16" x14ac:dyDescent="0.3">
      <c r="N896" s="1" t="str">
        <f t="shared" si="43"/>
        <v/>
      </c>
      <c r="O896" s="1" t="str">
        <f t="shared" si="44"/>
        <v/>
      </c>
      <c r="P896" s="1" t="str">
        <f t="shared" si="45"/>
        <v/>
      </c>
    </row>
    <row r="897" spans="14:16" x14ac:dyDescent="0.3">
      <c r="N897" s="1" t="str">
        <f t="shared" si="43"/>
        <v/>
      </c>
      <c r="O897" s="1" t="str">
        <f t="shared" si="44"/>
        <v/>
      </c>
      <c r="P897" s="1" t="str">
        <f t="shared" si="45"/>
        <v/>
      </c>
    </row>
    <row r="898" spans="14:16" x14ac:dyDescent="0.3">
      <c r="N898" s="1" t="str">
        <f t="shared" si="43"/>
        <v/>
      </c>
      <c r="O898" s="1" t="str">
        <f t="shared" si="44"/>
        <v/>
      </c>
      <c r="P898" s="1" t="str">
        <f t="shared" si="45"/>
        <v/>
      </c>
    </row>
    <row r="899" spans="14:16" x14ac:dyDescent="0.3">
      <c r="N899" s="1" t="str">
        <f t="shared" si="43"/>
        <v/>
      </c>
      <c r="O899" s="1" t="str">
        <f t="shared" si="44"/>
        <v/>
      </c>
      <c r="P899" s="1" t="str">
        <f t="shared" si="45"/>
        <v/>
      </c>
    </row>
    <row r="900" spans="14:16" x14ac:dyDescent="0.3">
      <c r="N900" s="1" t="str">
        <f t="shared" si="43"/>
        <v/>
      </c>
      <c r="O900" s="1" t="str">
        <f t="shared" si="44"/>
        <v/>
      </c>
      <c r="P900" s="1" t="str">
        <f t="shared" si="45"/>
        <v/>
      </c>
    </row>
    <row r="901" spans="14:16" x14ac:dyDescent="0.3">
      <c r="N901" s="1" t="str">
        <f t="shared" si="43"/>
        <v/>
      </c>
      <c r="O901" s="1" t="str">
        <f t="shared" si="44"/>
        <v/>
      </c>
      <c r="P901" s="1" t="str">
        <f t="shared" si="45"/>
        <v/>
      </c>
    </row>
    <row r="902" spans="14:16" x14ac:dyDescent="0.3">
      <c r="N902" s="1" t="str">
        <f t="shared" si="43"/>
        <v/>
      </c>
      <c r="O902" s="1" t="str">
        <f t="shared" si="44"/>
        <v/>
      </c>
      <c r="P902" s="1" t="str">
        <f t="shared" si="45"/>
        <v/>
      </c>
    </row>
    <row r="903" spans="14:16" x14ac:dyDescent="0.3">
      <c r="N903" s="1" t="str">
        <f t="shared" ref="N903:N966" si="46">IF(LEN($C903)&gt;0,H903-E903,"")</f>
        <v/>
      </c>
      <c r="O903" s="1" t="str">
        <f t="shared" ref="O903:O966" si="47">IF(LEN($C903)&gt;0,I903-F903,"")</f>
        <v/>
      </c>
      <c r="P903" s="1" t="str">
        <f t="shared" ref="P903:P966" si="48">IF(LEN($C903)&gt;0,J903-G903,"")</f>
        <v/>
      </c>
    </row>
    <row r="904" spans="14:16" x14ac:dyDescent="0.3">
      <c r="N904" s="1" t="str">
        <f t="shared" si="46"/>
        <v/>
      </c>
      <c r="O904" s="1" t="str">
        <f t="shared" si="47"/>
        <v/>
      </c>
      <c r="P904" s="1" t="str">
        <f t="shared" si="48"/>
        <v/>
      </c>
    </row>
    <row r="905" spans="14:16" x14ac:dyDescent="0.3">
      <c r="N905" s="1" t="str">
        <f t="shared" si="46"/>
        <v/>
      </c>
      <c r="O905" s="1" t="str">
        <f t="shared" si="47"/>
        <v/>
      </c>
      <c r="P905" s="1" t="str">
        <f t="shared" si="48"/>
        <v/>
      </c>
    </row>
    <row r="906" spans="14:16" x14ac:dyDescent="0.3">
      <c r="N906" s="1" t="str">
        <f t="shared" si="46"/>
        <v/>
      </c>
      <c r="O906" s="1" t="str">
        <f t="shared" si="47"/>
        <v/>
      </c>
      <c r="P906" s="1" t="str">
        <f t="shared" si="48"/>
        <v/>
      </c>
    </row>
    <row r="907" spans="14:16" x14ac:dyDescent="0.3">
      <c r="N907" s="1" t="str">
        <f t="shared" si="46"/>
        <v/>
      </c>
      <c r="O907" s="1" t="str">
        <f t="shared" si="47"/>
        <v/>
      </c>
      <c r="P907" s="1" t="str">
        <f t="shared" si="48"/>
        <v/>
      </c>
    </row>
    <row r="908" spans="14:16" x14ac:dyDescent="0.3">
      <c r="N908" s="1" t="str">
        <f t="shared" si="46"/>
        <v/>
      </c>
      <c r="O908" s="1" t="str">
        <f t="shared" si="47"/>
        <v/>
      </c>
      <c r="P908" s="1" t="str">
        <f t="shared" si="48"/>
        <v/>
      </c>
    </row>
    <row r="909" spans="14:16" x14ac:dyDescent="0.3">
      <c r="N909" s="1" t="str">
        <f t="shared" si="46"/>
        <v/>
      </c>
      <c r="O909" s="1" t="str">
        <f t="shared" si="47"/>
        <v/>
      </c>
      <c r="P909" s="1" t="str">
        <f t="shared" si="48"/>
        <v/>
      </c>
    </row>
    <row r="910" spans="14:16" x14ac:dyDescent="0.3">
      <c r="N910" s="1" t="str">
        <f t="shared" si="46"/>
        <v/>
      </c>
      <c r="O910" s="1" t="str">
        <f t="shared" si="47"/>
        <v/>
      </c>
      <c r="P910" s="1" t="str">
        <f t="shared" si="48"/>
        <v/>
      </c>
    </row>
    <row r="911" spans="14:16" x14ac:dyDescent="0.3">
      <c r="N911" s="1" t="str">
        <f t="shared" si="46"/>
        <v/>
      </c>
      <c r="O911" s="1" t="str">
        <f t="shared" si="47"/>
        <v/>
      </c>
      <c r="P911" s="1" t="str">
        <f t="shared" si="48"/>
        <v/>
      </c>
    </row>
    <row r="912" spans="14:16" x14ac:dyDescent="0.3">
      <c r="N912" s="1" t="str">
        <f t="shared" si="46"/>
        <v/>
      </c>
      <c r="O912" s="1" t="str">
        <f t="shared" si="47"/>
        <v/>
      </c>
      <c r="P912" s="1" t="str">
        <f t="shared" si="48"/>
        <v/>
      </c>
    </row>
    <row r="913" spans="14:16" x14ac:dyDescent="0.3">
      <c r="N913" s="1" t="str">
        <f t="shared" si="46"/>
        <v/>
      </c>
      <c r="O913" s="1" t="str">
        <f t="shared" si="47"/>
        <v/>
      </c>
      <c r="P913" s="1" t="str">
        <f t="shared" si="48"/>
        <v/>
      </c>
    </row>
    <row r="914" spans="14:16" x14ac:dyDescent="0.3">
      <c r="N914" s="1" t="str">
        <f t="shared" si="46"/>
        <v/>
      </c>
      <c r="O914" s="1" t="str">
        <f t="shared" si="47"/>
        <v/>
      </c>
      <c r="P914" s="1" t="str">
        <f t="shared" si="48"/>
        <v/>
      </c>
    </row>
    <row r="915" spans="14:16" x14ac:dyDescent="0.3">
      <c r="N915" s="1" t="str">
        <f t="shared" si="46"/>
        <v/>
      </c>
      <c r="O915" s="1" t="str">
        <f t="shared" si="47"/>
        <v/>
      </c>
      <c r="P915" s="1" t="str">
        <f t="shared" si="48"/>
        <v/>
      </c>
    </row>
    <row r="916" spans="14:16" x14ac:dyDescent="0.3">
      <c r="N916" s="1" t="str">
        <f t="shared" si="46"/>
        <v/>
      </c>
      <c r="O916" s="1" t="str">
        <f t="shared" si="47"/>
        <v/>
      </c>
      <c r="P916" s="1" t="str">
        <f t="shared" si="48"/>
        <v/>
      </c>
    </row>
    <row r="917" spans="14:16" x14ac:dyDescent="0.3">
      <c r="N917" s="1" t="str">
        <f t="shared" si="46"/>
        <v/>
      </c>
      <c r="O917" s="1" t="str">
        <f t="shared" si="47"/>
        <v/>
      </c>
      <c r="P917" s="1" t="str">
        <f t="shared" si="48"/>
        <v/>
      </c>
    </row>
    <row r="918" spans="14:16" x14ac:dyDescent="0.3">
      <c r="N918" s="1" t="str">
        <f t="shared" si="46"/>
        <v/>
      </c>
      <c r="O918" s="1" t="str">
        <f t="shared" si="47"/>
        <v/>
      </c>
      <c r="P918" s="1" t="str">
        <f t="shared" si="48"/>
        <v/>
      </c>
    </row>
    <row r="919" spans="14:16" x14ac:dyDescent="0.3">
      <c r="N919" s="1" t="str">
        <f t="shared" si="46"/>
        <v/>
      </c>
      <c r="O919" s="1" t="str">
        <f t="shared" si="47"/>
        <v/>
      </c>
      <c r="P919" s="1" t="str">
        <f t="shared" si="48"/>
        <v/>
      </c>
    </row>
    <row r="920" spans="14:16" x14ac:dyDescent="0.3">
      <c r="N920" s="1" t="str">
        <f t="shared" si="46"/>
        <v/>
      </c>
      <c r="O920" s="1" t="str">
        <f t="shared" si="47"/>
        <v/>
      </c>
      <c r="P920" s="1" t="str">
        <f t="shared" si="48"/>
        <v/>
      </c>
    </row>
    <row r="921" spans="14:16" x14ac:dyDescent="0.3">
      <c r="N921" s="1" t="str">
        <f t="shared" si="46"/>
        <v/>
      </c>
      <c r="O921" s="1" t="str">
        <f t="shared" si="47"/>
        <v/>
      </c>
      <c r="P921" s="1" t="str">
        <f t="shared" si="48"/>
        <v/>
      </c>
    </row>
    <row r="922" spans="14:16" x14ac:dyDescent="0.3">
      <c r="N922" s="1" t="str">
        <f t="shared" si="46"/>
        <v/>
      </c>
      <c r="O922" s="1" t="str">
        <f t="shared" si="47"/>
        <v/>
      </c>
      <c r="P922" s="1" t="str">
        <f t="shared" si="48"/>
        <v/>
      </c>
    </row>
    <row r="923" spans="14:16" x14ac:dyDescent="0.3">
      <c r="N923" s="1" t="str">
        <f t="shared" si="46"/>
        <v/>
      </c>
      <c r="O923" s="1" t="str">
        <f t="shared" si="47"/>
        <v/>
      </c>
      <c r="P923" s="1" t="str">
        <f t="shared" si="48"/>
        <v/>
      </c>
    </row>
    <row r="924" spans="14:16" x14ac:dyDescent="0.3">
      <c r="N924" s="1" t="str">
        <f t="shared" si="46"/>
        <v/>
      </c>
      <c r="O924" s="1" t="str">
        <f t="shared" si="47"/>
        <v/>
      </c>
      <c r="P924" s="1" t="str">
        <f t="shared" si="48"/>
        <v/>
      </c>
    </row>
    <row r="925" spans="14:16" x14ac:dyDescent="0.3">
      <c r="N925" s="1" t="str">
        <f t="shared" si="46"/>
        <v/>
      </c>
      <c r="O925" s="1" t="str">
        <f t="shared" si="47"/>
        <v/>
      </c>
      <c r="P925" s="1" t="str">
        <f t="shared" si="48"/>
        <v/>
      </c>
    </row>
    <row r="926" spans="14:16" x14ac:dyDescent="0.3">
      <c r="N926" s="1" t="str">
        <f t="shared" si="46"/>
        <v/>
      </c>
      <c r="O926" s="1" t="str">
        <f t="shared" si="47"/>
        <v/>
      </c>
      <c r="P926" s="1" t="str">
        <f t="shared" si="48"/>
        <v/>
      </c>
    </row>
    <row r="927" spans="14:16" x14ac:dyDescent="0.3">
      <c r="N927" s="1" t="str">
        <f t="shared" si="46"/>
        <v/>
      </c>
      <c r="O927" s="1" t="str">
        <f t="shared" si="47"/>
        <v/>
      </c>
      <c r="P927" s="1" t="str">
        <f t="shared" si="48"/>
        <v/>
      </c>
    </row>
    <row r="928" spans="14:16" x14ac:dyDescent="0.3">
      <c r="N928" s="1" t="str">
        <f t="shared" si="46"/>
        <v/>
      </c>
      <c r="O928" s="1" t="str">
        <f t="shared" si="47"/>
        <v/>
      </c>
      <c r="P928" s="1" t="str">
        <f t="shared" si="48"/>
        <v/>
      </c>
    </row>
    <row r="929" spans="14:16" x14ac:dyDescent="0.3">
      <c r="N929" s="1" t="str">
        <f t="shared" si="46"/>
        <v/>
      </c>
      <c r="O929" s="1" t="str">
        <f t="shared" si="47"/>
        <v/>
      </c>
      <c r="P929" s="1" t="str">
        <f t="shared" si="48"/>
        <v/>
      </c>
    </row>
    <row r="930" spans="14:16" x14ac:dyDescent="0.3">
      <c r="N930" s="1" t="str">
        <f t="shared" si="46"/>
        <v/>
      </c>
      <c r="O930" s="1" t="str">
        <f t="shared" si="47"/>
        <v/>
      </c>
      <c r="P930" s="1" t="str">
        <f t="shared" si="48"/>
        <v/>
      </c>
    </row>
    <row r="931" spans="14:16" x14ac:dyDescent="0.3">
      <c r="N931" s="1" t="str">
        <f t="shared" si="46"/>
        <v/>
      </c>
      <c r="O931" s="1" t="str">
        <f t="shared" si="47"/>
        <v/>
      </c>
      <c r="P931" s="1" t="str">
        <f t="shared" si="48"/>
        <v/>
      </c>
    </row>
    <row r="932" spans="14:16" x14ac:dyDescent="0.3">
      <c r="N932" s="1" t="str">
        <f t="shared" si="46"/>
        <v/>
      </c>
      <c r="O932" s="1" t="str">
        <f t="shared" si="47"/>
        <v/>
      </c>
      <c r="P932" s="1" t="str">
        <f t="shared" si="48"/>
        <v/>
      </c>
    </row>
    <row r="933" spans="14:16" x14ac:dyDescent="0.3">
      <c r="N933" s="1" t="str">
        <f t="shared" si="46"/>
        <v/>
      </c>
      <c r="O933" s="1" t="str">
        <f t="shared" si="47"/>
        <v/>
      </c>
      <c r="P933" s="1" t="str">
        <f t="shared" si="48"/>
        <v/>
      </c>
    </row>
    <row r="934" spans="14:16" x14ac:dyDescent="0.3">
      <c r="N934" s="1" t="str">
        <f t="shared" si="46"/>
        <v/>
      </c>
      <c r="O934" s="1" t="str">
        <f t="shared" si="47"/>
        <v/>
      </c>
      <c r="P934" s="1" t="str">
        <f t="shared" si="48"/>
        <v/>
      </c>
    </row>
    <row r="935" spans="14:16" x14ac:dyDescent="0.3">
      <c r="N935" s="1" t="str">
        <f t="shared" si="46"/>
        <v/>
      </c>
      <c r="O935" s="1" t="str">
        <f t="shared" si="47"/>
        <v/>
      </c>
      <c r="P935" s="1" t="str">
        <f t="shared" si="48"/>
        <v/>
      </c>
    </row>
    <row r="936" spans="14:16" x14ac:dyDescent="0.3">
      <c r="N936" s="1" t="str">
        <f t="shared" si="46"/>
        <v/>
      </c>
      <c r="O936" s="1" t="str">
        <f t="shared" si="47"/>
        <v/>
      </c>
      <c r="P936" s="1" t="str">
        <f t="shared" si="48"/>
        <v/>
      </c>
    </row>
    <row r="937" spans="14:16" x14ac:dyDescent="0.3">
      <c r="N937" s="1" t="str">
        <f t="shared" si="46"/>
        <v/>
      </c>
      <c r="O937" s="1" t="str">
        <f t="shared" si="47"/>
        <v/>
      </c>
      <c r="P937" s="1" t="str">
        <f t="shared" si="48"/>
        <v/>
      </c>
    </row>
    <row r="938" spans="14:16" x14ac:dyDescent="0.3">
      <c r="N938" s="1" t="str">
        <f t="shared" si="46"/>
        <v/>
      </c>
      <c r="O938" s="1" t="str">
        <f t="shared" si="47"/>
        <v/>
      </c>
      <c r="P938" s="1" t="str">
        <f t="shared" si="48"/>
        <v/>
      </c>
    </row>
    <row r="939" spans="14:16" x14ac:dyDescent="0.3">
      <c r="N939" s="1" t="str">
        <f t="shared" si="46"/>
        <v/>
      </c>
      <c r="O939" s="1" t="str">
        <f t="shared" si="47"/>
        <v/>
      </c>
      <c r="P939" s="1" t="str">
        <f t="shared" si="48"/>
        <v/>
      </c>
    </row>
    <row r="940" spans="14:16" x14ac:dyDescent="0.3">
      <c r="N940" s="1" t="str">
        <f t="shared" si="46"/>
        <v/>
      </c>
      <c r="O940" s="1" t="str">
        <f t="shared" si="47"/>
        <v/>
      </c>
      <c r="P940" s="1" t="str">
        <f t="shared" si="48"/>
        <v/>
      </c>
    </row>
    <row r="941" spans="14:16" x14ac:dyDescent="0.3">
      <c r="N941" s="1" t="str">
        <f t="shared" si="46"/>
        <v/>
      </c>
      <c r="O941" s="1" t="str">
        <f t="shared" si="47"/>
        <v/>
      </c>
      <c r="P941" s="1" t="str">
        <f t="shared" si="48"/>
        <v/>
      </c>
    </row>
    <row r="942" spans="14:16" x14ac:dyDescent="0.3">
      <c r="N942" s="1" t="str">
        <f t="shared" si="46"/>
        <v/>
      </c>
      <c r="O942" s="1" t="str">
        <f t="shared" si="47"/>
        <v/>
      </c>
      <c r="P942" s="1" t="str">
        <f t="shared" si="48"/>
        <v/>
      </c>
    </row>
    <row r="943" spans="14:16" x14ac:dyDescent="0.3">
      <c r="N943" s="1" t="str">
        <f t="shared" si="46"/>
        <v/>
      </c>
      <c r="O943" s="1" t="str">
        <f t="shared" si="47"/>
        <v/>
      </c>
      <c r="P943" s="1" t="str">
        <f t="shared" si="48"/>
        <v/>
      </c>
    </row>
    <row r="944" spans="14:16" x14ac:dyDescent="0.3">
      <c r="N944" s="1" t="str">
        <f t="shared" si="46"/>
        <v/>
      </c>
      <c r="O944" s="1" t="str">
        <f t="shared" si="47"/>
        <v/>
      </c>
      <c r="P944" s="1" t="str">
        <f t="shared" si="48"/>
        <v/>
      </c>
    </row>
    <row r="945" spans="14:16" x14ac:dyDescent="0.3">
      <c r="N945" s="1" t="str">
        <f t="shared" si="46"/>
        <v/>
      </c>
      <c r="O945" s="1" t="str">
        <f t="shared" si="47"/>
        <v/>
      </c>
      <c r="P945" s="1" t="str">
        <f t="shared" si="48"/>
        <v/>
      </c>
    </row>
    <row r="946" spans="14:16" x14ac:dyDescent="0.3">
      <c r="N946" s="1" t="str">
        <f t="shared" si="46"/>
        <v/>
      </c>
      <c r="O946" s="1" t="str">
        <f t="shared" si="47"/>
        <v/>
      </c>
      <c r="P946" s="1" t="str">
        <f t="shared" si="48"/>
        <v/>
      </c>
    </row>
    <row r="947" spans="14:16" x14ac:dyDescent="0.3">
      <c r="N947" s="1" t="str">
        <f t="shared" si="46"/>
        <v/>
      </c>
      <c r="O947" s="1" t="str">
        <f t="shared" si="47"/>
        <v/>
      </c>
      <c r="P947" s="1" t="str">
        <f t="shared" si="48"/>
        <v/>
      </c>
    </row>
    <row r="948" spans="14:16" x14ac:dyDescent="0.3">
      <c r="N948" s="1" t="str">
        <f t="shared" si="46"/>
        <v/>
      </c>
      <c r="O948" s="1" t="str">
        <f t="shared" si="47"/>
        <v/>
      </c>
      <c r="P948" s="1" t="str">
        <f t="shared" si="48"/>
        <v/>
      </c>
    </row>
    <row r="949" spans="14:16" x14ac:dyDescent="0.3">
      <c r="N949" s="1" t="str">
        <f t="shared" si="46"/>
        <v/>
      </c>
      <c r="O949" s="1" t="str">
        <f t="shared" si="47"/>
        <v/>
      </c>
      <c r="P949" s="1" t="str">
        <f t="shared" si="48"/>
        <v/>
      </c>
    </row>
    <row r="950" spans="14:16" x14ac:dyDescent="0.3">
      <c r="N950" s="1" t="str">
        <f t="shared" si="46"/>
        <v/>
      </c>
      <c r="O950" s="1" t="str">
        <f t="shared" si="47"/>
        <v/>
      </c>
      <c r="P950" s="1" t="str">
        <f t="shared" si="48"/>
        <v/>
      </c>
    </row>
    <row r="951" spans="14:16" x14ac:dyDescent="0.3">
      <c r="N951" s="1" t="str">
        <f t="shared" si="46"/>
        <v/>
      </c>
      <c r="O951" s="1" t="str">
        <f t="shared" si="47"/>
        <v/>
      </c>
      <c r="P951" s="1" t="str">
        <f t="shared" si="48"/>
        <v/>
      </c>
    </row>
    <row r="952" spans="14:16" x14ac:dyDescent="0.3">
      <c r="N952" s="1" t="str">
        <f t="shared" si="46"/>
        <v/>
      </c>
      <c r="O952" s="1" t="str">
        <f t="shared" si="47"/>
        <v/>
      </c>
      <c r="P952" s="1" t="str">
        <f t="shared" si="48"/>
        <v/>
      </c>
    </row>
    <row r="953" spans="14:16" x14ac:dyDescent="0.3">
      <c r="N953" s="1" t="str">
        <f t="shared" si="46"/>
        <v/>
      </c>
      <c r="O953" s="1" t="str">
        <f t="shared" si="47"/>
        <v/>
      </c>
      <c r="P953" s="1" t="str">
        <f t="shared" si="48"/>
        <v/>
      </c>
    </row>
    <row r="954" spans="14:16" x14ac:dyDescent="0.3">
      <c r="N954" s="1" t="str">
        <f t="shared" si="46"/>
        <v/>
      </c>
      <c r="O954" s="1" t="str">
        <f t="shared" si="47"/>
        <v/>
      </c>
      <c r="P954" s="1" t="str">
        <f t="shared" si="48"/>
        <v/>
      </c>
    </row>
    <row r="955" spans="14:16" x14ac:dyDescent="0.3">
      <c r="N955" s="1" t="str">
        <f t="shared" si="46"/>
        <v/>
      </c>
      <c r="O955" s="1" t="str">
        <f t="shared" si="47"/>
        <v/>
      </c>
      <c r="P955" s="1" t="str">
        <f t="shared" si="48"/>
        <v/>
      </c>
    </row>
    <row r="956" spans="14:16" x14ac:dyDescent="0.3">
      <c r="N956" s="1" t="str">
        <f t="shared" si="46"/>
        <v/>
      </c>
      <c r="O956" s="1" t="str">
        <f t="shared" si="47"/>
        <v/>
      </c>
      <c r="P956" s="1" t="str">
        <f t="shared" si="48"/>
        <v/>
      </c>
    </row>
    <row r="957" spans="14:16" x14ac:dyDescent="0.3">
      <c r="N957" s="1" t="str">
        <f t="shared" si="46"/>
        <v/>
      </c>
      <c r="O957" s="1" t="str">
        <f t="shared" si="47"/>
        <v/>
      </c>
      <c r="P957" s="1" t="str">
        <f t="shared" si="48"/>
        <v/>
      </c>
    </row>
    <row r="958" spans="14:16" x14ac:dyDescent="0.3">
      <c r="N958" s="1" t="str">
        <f t="shared" si="46"/>
        <v/>
      </c>
      <c r="O958" s="1" t="str">
        <f t="shared" si="47"/>
        <v/>
      </c>
      <c r="P958" s="1" t="str">
        <f t="shared" si="48"/>
        <v/>
      </c>
    </row>
    <row r="959" spans="14:16" x14ac:dyDescent="0.3">
      <c r="N959" s="1" t="str">
        <f t="shared" si="46"/>
        <v/>
      </c>
      <c r="O959" s="1" t="str">
        <f t="shared" si="47"/>
        <v/>
      </c>
      <c r="P959" s="1" t="str">
        <f t="shared" si="48"/>
        <v/>
      </c>
    </row>
    <row r="960" spans="14:16" x14ac:dyDescent="0.3">
      <c r="N960" s="1" t="str">
        <f t="shared" si="46"/>
        <v/>
      </c>
      <c r="O960" s="1" t="str">
        <f t="shared" si="47"/>
        <v/>
      </c>
      <c r="P960" s="1" t="str">
        <f t="shared" si="48"/>
        <v/>
      </c>
    </row>
    <row r="961" spans="14:16" x14ac:dyDescent="0.3">
      <c r="N961" s="1" t="str">
        <f t="shared" si="46"/>
        <v/>
      </c>
      <c r="O961" s="1" t="str">
        <f t="shared" si="47"/>
        <v/>
      </c>
      <c r="P961" s="1" t="str">
        <f t="shared" si="48"/>
        <v/>
      </c>
    </row>
    <row r="962" spans="14:16" x14ac:dyDescent="0.3">
      <c r="N962" s="1" t="str">
        <f t="shared" si="46"/>
        <v/>
      </c>
      <c r="O962" s="1" t="str">
        <f t="shared" si="47"/>
        <v/>
      </c>
      <c r="P962" s="1" t="str">
        <f t="shared" si="48"/>
        <v/>
      </c>
    </row>
    <row r="963" spans="14:16" x14ac:dyDescent="0.3">
      <c r="N963" s="1" t="str">
        <f t="shared" si="46"/>
        <v/>
      </c>
      <c r="O963" s="1" t="str">
        <f t="shared" si="47"/>
        <v/>
      </c>
      <c r="P963" s="1" t="str">
        <f t="shared" si="48"/>
        <v/>
      </c>
    </row>
    <row r="964" spans="14:16" x14ac:dyDescent="0.3">
      <c r="N964" s="1" t="str">
        <f t="shared" si="46"/>
        <v/>
      </c>
      <c r="O964" s="1" t="str">
        <f t="shared" si="47"/>
        <v/>
      </c>
      <c r="P964" s="1" t="str">
        <f t="shared" si="48"/>
        <v/>
      </c>
    </row>
    <row r="965" spans="14:16" x14ac:dyDescent="0.3">
      <c r="N965" s="1" t="str">
        <f t="shared" si="46"/>
        <v/>
      </c>
      <c r="O965" s="1" t="str">
        <f t="shared" si="47"/>
        <v/>
      </c>
      <c r="P965" s="1" t="str">
        <f t="shared" si="48"/>
        <v/>
      </c>
    </row>
    <row r="966" spans="14:16" x14ac:dyDescent="0.3">
      <c r="N966" s="1" t="str">
        <f t="shared" si="46"/>
        <v/>
      </c>
      <c r="O966" s="1" t="str">
        <f t="shared" si="47"/>
        <v/>
      </c>
      <c r="P966" s="1" t="str">
        <f t="shared" si="48"/>
        <v/>
      </c>
    </row>
    <row r="967" spans="14:16" x14ac:dyDescent="0.3">
      <c r="N967" s="1" t="str">
        <f t="shared" ref="N967:N1006" si="49">IF(LEN($C967)&gt;0,H967-E967,"")</f>
        <v/>
      </c>
      <c r="O967" s="1" t="str">
        <f t="shared" ref="O967:O1006" si="50">IF(LEN($C967)&gt;0,I967-F967,"")</f>
        <v/>
      </c>
      <c r="P967" s="1" t="str">
        <f t="shared" ref="P967:P1006" si="51">IF(LEN($C967)&gt;0,J967-G967,"")</f>
        <v/>
      </c>
    </row>
    <row r="968" spans="14:16" x14ac:dyDescent="0.3">
      <c r="N968" s="1" t="str">
        <f t="shared" si="49"/>
        <v/>
      </c>
      <c r="O968" s="1" t="str">
        <f t="shared" si="50"/>
        <v/>
      </c>
      <c r="P968" s="1" t="str">
        <f t="shared" si="51"/>
        <v/>
      </c>
    </row>
    <row r="969" spans="14:16" x14ac:dyDescent="0.3">
      <c r="N969" s="1" t="str">
        <f t="shared" si="49"/>
        <v/>
      </c>
      <c r="O969" s="1" t="str">
        <f t="shared" si="50"/>
        <v/>
      </c>
      <c r="P969" s="1" t="str">
        <f t="shared" si="51"/>
        <v/>
      </c>
    </row>
    <row r="970" spans="14:16" x14ac:dyDescent="0.3">
      <c r="N970" s="1" t="str">
        <f t="shared" si="49"/>
        <v/>
      </c>
      <c r="O970" s="1" t="str">
        <f t="shared" si="50"/>
        <v/>
      </c>
      <c r="P970" s="1" t="str">
        <f t="shared" si="51"/>
        <v/>
      </c>
    </row>
    <row r="971" spans="14:16" x14ac:dyDescent="0.3">
      <c r="N971" s="1" t="str">
        <f t="shared" si="49"/>
        <v/>
      </c>
      <c r="O971" s="1" t="str">
        <f t="shared" si="50"/>
        <v/>
      </c>
      <c r="P971" s="1" t="str">
        <f t="shared" si="51"/>
        <v/>
      </c>
    </row>
    <row r="972" spans="14:16" x14ac:dyDescent="0.3">
      <c r="N972" s="1" t="str">
        <f t="shared" si="49"/>
        <v/>
      </c>
      <c r="O972" s="1" t="str">
        <f t="shared" si="50"/>
        <v/>
      </c>
      <c r="P972" s="1" t="str">
        <f t="shared" si="51"/>
        <v/>
      </c>
    </row>
    <row r="973" spans="14:16" x14ac:dyDescent="0.3">
      <c r="N973" s="1" t="str">
        <f t="shared" si="49"/>
        <v/>
      </c>
      <c r="O973" s="1" t="str">
        <f t="shared" si="50"/>
        <v/>
      </c>
      <c r="P973" s="1" t="str">
        <f t="shared" si="51"/>
        <v/>
      </c>
    </row>
    <row r="974" spans="14:16" x14ac:dyDescent="0.3">
      <c r="N974" s="1" t="str">
        <f t="shared" si="49"/>
        <v/>
      </c>
      <c r="O974" s="1" t="str">
        <f t="shared" si="50"/>
        <v/>
      </c>
      <c r="P974" s="1" t="str">
        <f t="shared" si="51"/>
        <v/>
      </c>
    </row>
    <row r="975" spans="14:16" x14ac:dyDescent="0.3">
      <c r="N975" s="1" t="str">
        <f t="shared" si="49"/>
        <v/>
      </c>
      <c r="O975" s="1" t="str">
        <f t="shared" si="50"/>
        <v/>
      </c>
      <c r="P975" s="1" t="str">
        <f t="shared" si="51"/>
        <v/>
      </c>
    </row>
    <row r="976" spans="14:16" x14ac:dyDescent="0.3">
      <c r="N976" s="1" t="str">
        <f t="shared" si="49"/>
        <v/>
      </c>
      <c r="O976" s="1" t="str">
        <f t="shared" si="50"/>
        <v/>
      </c>
      <c r="P976" s="1" t="str">
        <f t="shared" si="51"/>
        <v/>
      </c>
    </row>
    <row r="977" spans="14:16" x14ac:dyDescent="0.3">
      <c r="N977" s="1" t="str">
        <f t="shared" si="49"/>
        <v/>
      </c>
      <c r="O977" s="1" t="str">
        <f t="shared" si="50"/>
        <v/>
      </c>
      <c r="P977" s="1" t="str">
        <f t="shared" si="51"/>
        <v/>
      </c>
    </row>
    <row r="978" spans="14:16" x14ac:dyDescent="0.3">
      <c r="N978" s="1" t="str">
        <f t="shared" si="49"/>
        <v/>
      </c>
      <c r="O978" s="1" t="str">
        <f t="shared" si="50"/>
        <v/>
      </c>
      <c r="P978" s="1" t="str">
        <f t="shared" si="51"/>
        <v/>
      </c>
    </row>
    <row r="979" spans="14:16" x14ac:dyDescent="0.3">
      <c r="N979" s="1" t="str">
        <f t="shared" si="49"/>
        <v/>
      </c>
      <c r="O979" s="1" t="str">
        <f t="shared" si="50"/>
        <v/>
      </c>
      <c r="P979" s="1" t="str">
        <f t="shared" si="51"/>
        <v/>
      </c>
    </row>
    <row r="980" spans="14:16" x14ac:dyDescent="0.3">
      <c r="N980" s="1" t="str">
        <f t="shared" si="49"/>
        <v/>
      </c>
      <c r="O980" s="1" t="str">
        <f t="shared" si="50"/>
        <v/>
      </c>
      <c r="P980" s="1" t="str">
        <f t="shared" si="51"/>
        <v/>
      </c>
    </row>
    <row r="981" spans="14:16" x14ac:dyDescent="0.3">
      <c r="N981" s="1" t="str">
        <f t="shared" si="49"/>
        <v/>
      </c>
      <c r="O981" s="1" t="str">
        <f t="shared" si="50"/>
        <v/>
      </c>
      <c r="P981" s="1" t="str">
        <f t="shared" si="51"/>
        <v/>
      </c>
    </row>
    <row r="982" spans="14:16" x14ac:dyDescent="0.3">
      <c r="N982" s="1" t="str">
        <f t="shared" si="49"/>
        <v/>
      </c>
      <c r="O982" s="1" t="str">
        <f t="shared" si="50"/>
        <v/>
      </c>
      <c r="P982" s="1" t="str">
        <f t="shared" si="51"/>
        <v/>
      </c>
    </row>
    <row r="983" spans="14:16" x14ac:dyDescent="0.3">
      <c r="N983" s="1" t="str">
        <f t="shared" si="49"/>
        <v/>
      </c>
      <c r="O983" s="1" t="str">
        <f t="shared" si="50"/>
        <v/>
      </c>
      <c r="P983" s="1" t="str">
        <f t="shared" si="51"/>
        <v/>
      </c>
    </row>
    <row r="984" spans="14:16" x14ac:dyDescent="0.3">
      <c r="N984" s="1" t="str">
        <f t="shared" si="49"/>
        <v/>
      </c>
      <c r="O984" s="1" t="str">
        <f t="shared" si="50"/>
        <v/>
      </c>
      <c r="P984" s="1" t="str">
        <f t="shared" si="51"/>
        <v/>
      </c>
    </row>
    <row r="985" spans="14:16" x14ac:dyDescent="0.3">
      <c r="N985" s="1" t="str">
        <f t="shared" si="49"/>
        <v/>
      </c>
      <c r="O985" s="1" t="str">
        <f t="shared" si="50"/>
        <v/>
      </c>
      <c r="P985" s="1" t="str">
        <f t="shared" si="51"/>
        <v/>
      </c>
    </row>
    <row r="986" spans="14:16" x14ac:dyDescent="0.3">
      <c r="N986" s="1" t="str">
        <f t="shared" si="49"/>
        <v/>
      </c>
      <c r="O986" s="1" t="str">
        <f t="shared" si="50"/>
        <v/>
      </c>
      <c r="P986" s="1" t="str">
        <f t="shared" si="51"/>
        <v/>
      </c>
    </row>
    <row r="987" spans="14:16" x14ac:dyDescent="0.3">
      <c r="N987" s="1" t="str">
        <f t="shared" si="49"/>
        <v/>
      </c>
      <c r="O987" s="1" t="str">
        <f t="shared" si="50"/>
        <v/>
      </c>
      <c r="P987" s="1" t="str">
        <f t="shared" si="51"/>
        <v/>
      </c>
    </row>
    <row r="988" spans="14:16" x14ac:dyDescent="0.3">
      <c r="N988" s="1" t="str">
        <f t="shared" si="49"/>
        <v/>
      </c>
      <c r="O988" s="1" t="str">
        <f t="shared" si="50"/>
        <v/>
      </c>
      <c r="P988" s="1" t="str">
        <f t="shared" si="51"/>
        <v/>
      </c>
    </row>
    <row r="989" spans="14:16" x14ac:dyDescent="0.3">
      <c r="N989" s="1" t="str">
        <f t="shared" si="49"/>
        <v/>
      </c>
      <c r="O989" s="1" t="str">
        <f t="shared" si="50"/>
        <v/>
      </c>
      <c r="P989" s="1" t="str">
        <f t="shared" si="51"/>
        <v/>
      </c>
    </row>
    <row r="990" spans="14:16" x14ac:dyDescent="0.3">
      <c r="N990" s="1" t="str">
        <f t="shared" si="49"/>
        <v/>
      </c>
      <c r="O990" s="1" t="str">
        <f t="shared" si="50"/>
        <v/>
      </c>
      <c r="P990" s="1" t="str">
        <f t="shared" si="51"/>
        <v/>
      </c>
    </row>
    <row r="991" spans="14:16" x14ac:dyDescent="0.3">
      <c r="N991" s="1" t="str">
        <f t="shared" si="49"/>
        <v/>
      </c>
      <c r="O991" s="1" t="str">
        <f t="shared" si="50"/>
        <v/>
      </c>
      <c r="P991" s="1" t="str">
        <f t="shared" si="51"/>
        <v/>
      </c>
    </row>
    <row r="992" spans="14:16" x14ac:dyDescent="0.3">
      <c r="N992" s="1" t="str">
        <f t="shared" si="49"/>
        <v/>
      </c>
      <c r="O992" s="1" t="str">
        <f t="shared" si="50"/>
        <v/>
      </c>
      <c r="P992" s="1" t="str">
        <f t="shared" si="51"/>
        <v/>
      </c>
    </row>
    <row r="993" spans="14:16" x14ac:dyDescent="0.3">
      <c r="N993" s="1" t="str">
        <f t="shared" si="49"/>
        <v/>
      </c>
      <c r="O993" s="1" t="str">
        <f t="shared" si="50"/>
        <v/>
      </c>
      <c r="P993" s="1" t="str">
        <f t="shared" si="51"/>
        <v/>
      </c>
    </row>
    <row r="994" spans="14:16" x14ac:dyDescent="0.3">
      <c r="N994" s="1" t="str">
        <f t="shared" si="49"/>
        <v/>
      </c>
      <c r="O994" s="1" t="str">
        <f t="shared" si="50"/>
        <v/>
      </c>
      <c r="P994" s="1" t="str">
        <f t="shared" si="51"/>
        <v/>
      </c>
    </row>
    <row r="995" spans="14:16" x14ac:dyDescent="0.3">
      <c r="N995" s="1" t="str">
        <f t="shared" si="49"/>
        <v/>
      </c>
      <c r="O995" s="1" t="str">
        <f t="shared" si="50"/>
        <v/>
      </c>
      <c r="P995" s="1" t="str">
        <f t="shared" si="51"/>
        <v/>
      </c>
    </row>
    <row r="996" spans="14:16" x14ac:dyDescent="0.3">
      <c r="N996" s="1" t="str">
        <f t="shared" si="49"/>
        <v/>
      </c>
      <c r="O996" s="1" t="str">
        <f t="shared" si="50"/>
        <v/>
      </c>
      <c r="P996" s="1" t="str">
        <f t="shared" si="51"/>
        <v/>
      </c>
    </row>
    <row r="997" spans="14:16" x14ac:dyDescent="0.3">
      <c r="N997" s="1" t="str">
        <f t="shared" si="49"/>
        <v/>
      </c>
      <c r="O997" s="1" t="str">
        <f t="shared" si="50"/>
        <v/>
      </c>
      <c r="P997" s="1" t="str">
        <f t="shared" si="51"/>
        <v/>
      </c>
    </row>
    <row r="998" spans="14:16" x14ac:dyDescent="0.3">
      <c r="N998" s="1" t="str">
        <f t="shared" si="49"/>
        <v/>
      </c>
      <c r="O998" s="1" t="str">
        <f t="shared" si="50"/>
        <v/>
      </c>
      <c r="P998" s="1" t="str">
        <f t="shared" si="51"/>
        <v/>
      </c>
    </row>
    <row r="999" spans="14:16" x14ac:dyDescent="0.3">
      <c r="N999" s="1" t="str">
        <f t="shared" si="49"/>
        <v/>
      </c>
      <c r="O999" s="1" t="str">
        <f t="shared" si="50"/>
        <v/>
      </c>
      <c r="P999" s="1" t="str">
        <f t="shared" si="51"/>
        <v/>
      </c>
    </row>
    <row r="1000" spans="14:16" x14ac:dyDescent="0.3">
      <c r="N1000" s="1" t="str">
        <f t="shared" si="49"/>
        <v/>
      </c>
      <c r="O1000" s="1" t="str">
        <f t="shared" si="50"/>
        <v/>
      </c>
      <c r="P1000" s="1" t="str">
        <f t="shared" si="51"/>
        <v/>
      </c>
    </row>
    <row r="1001" spans="14:16" x14ac:dyDescent="0.3">
      <c r="N1001" s="1" t="str">
        <f t="shared" si="49"/>
        <v/>
      </c>
      <c r="O1001" s="1" t="str">
        <f t="shared" si="50"/>
        <v/>
      </c>
      <c r="P1001" s="1" t="str">
        <f t="shared" si="51"/>
        <v/>
      </c>
    </row>
    <row r="1002" spans="14:16" x14ac:dyDescent="0.3">
      <c r="N1002" s="1" t="str">
        <f t="shared" si="49"/>
        <v/>
      </c>
      <c r="O1002" s="1" t="str">
        <f t="shared" si="50"/>
        <v/>
      </c>
      <c r="P1002" s="1" t="str">
        <f t="shared" si="51"/>
        <v/>
      </c>
    </row>
    <row r="1003" spans="14:16" x14ac:dyDescent="0.3">
      <c r="N1003" s="1" t="str">
        <f t="shared" si="49"/>
        <v/>
      </c>
      <c r="O1003" s="1" t="str">
        <f t="shared" si="50"/>
        <v/>
      </c>
      <c r="P1003" s="1" t="str">
        <f t="shared" si="51"/>
        <v/>
      </c>
    </row>
    <row r="1004" spans="14:16" x14ac:dyDescent="0.3">
      <c r="N1004" s="1" t="str">
        <f t="shared" si="49"/>
        <v/>
      </c>
      <c r="O1004" s="1" t="str">
        <f t="shared" si="50"/>
        <v/>
      </c>
      <c r="P1004" s="1" t="str">
        <f t="shared" si="51"/>
        <v/>
      </c>
    </row>
    <row r="1005" spans="14:16" x14ac:dyDescent="0.3">
      <c r="N1005" s="1" t="str">
        <f t="shared" si="49"/>
        <v/>
      </c>
      <c r="O1005" s="1" t="str">
        <f t="shared" si="50"/>
        <v/>
      </c>
      <c r="P1005" s="1" t="str">
        <f t="shared" si="51"/>
        <v/>
      </c>
    </row>
    <row r="1006" spans="14:16" x14ac:dyDescent="0.3">
      <c r="N1006" s="1" t="str">
        <f t="shared" si="49"/>
        <v/>
      </c>
      <c r="O1006" s="1" t="str">
        <f t="shared" si="50"/>
        <v/>
      </c>
      <c r="P1006" s="1" t="str">
        <f t="shared" si="51"/>
        <v/>
      </c>
    </row>
    <row r="1007" spans="14:16" x14ac:dyDescent="0.3">
      <c r="N1007" s="1" t="str">
        <f t="shared" ref="N1007" si="52">IF(LEN($C1007)&gt;0,H1007-E1007,"")</f>
        <v/>
      </c>
      <c r="O1007" s="1" t="str">
        <f t="shared" ref="O1007" si="53">IF(LEN($C1007)&gt;0,I1007-F1007,"")</f>
        <v/>
      </c>
      <c r="P1007" s="1" t="str">
        <f t="shared" ref="P1007" si="54">IF(LEN($C1007)&gt;0,J1007-G1007,"")</f>
        <v/>
      </c>
    </row>
    <row r="1008" spans="14:16" x14ac:dyDescent="0.3">
      <c r="N1008" s="1" t="str">
        <f t="shared" ref="N1008:N1071" si="55">IF(LEN($C1008)&gt;0,H1008-E1008,"")</f>
        <v/>
      </c>
      <c r="O1008" s="1" t="str">
        <f t="shared" ref="O1008:O1071" si="56">IF(LEN($C1008)&gt;0,I1008-F1008,"")</f>
        <v/>
      </c>
      <c r="P1008" s="1" t="str">
        <f t="shared" ref="P1008:P1071" si="57">IF(LEN($C1008)&gt;0,J1008-G1008,"")</f>
        <v/>
      </c>
    </row>
    <row r="1009" spans="14:16" x14ac:dyDescent="0.3">
      <c r="N1009" s="1" t="str">
        <f t="shared" si="55"/>
        <v/>
      </c>
      <c r="O1009" s="1" t="str">
        <f t="shared" si="56"/>
        <v/>
      </c>
      <c r="P1009" s="1" t="str">
        <f t="shared" si="57"/>
        <v/>
      </c>
    </row>
    <row r="1010" spans="14:16" x14ac:dyDescent="0.3">
      <c r="N1010" s="1" t="str">
        <f t="shared" si="55"/>
        <v/>
      </c>
      <c r="O1010" s="1" t="str">
        <f t="shared" si="56"/>
        <v/>
      </c>
      <c r="P1010" s="1" t="str">
        <f t="shared" si="57"/>
        <v/>
      </c>
    </row>
    <row r="1011" spans="14:16" x14ac:dyDescent="0.3">
      <c r="N1011" s="1" t="str">
        <f t="shared" si="55"/>
        <v/>
      </c>
      <c r="O1011" s="1" t="str">
        <f t="shared" si="56"/>
        <v/>
      </c>
      <c r="P1011" s="1" t="str">
        <f t="shared" si="57"/>
        <v/>
      </c>
    </row>
    <row r="1012" spans="14:16" x14ac:dyDescent="0.3">
      <c r="N1012" s="1" t="str">
        <f t="shared" si="55"/>
        <v/>
      </c>
      <c r="O1012" s="1" t="str">
        <f t="shared" si="56"/>
        <v/>
      </c>
      <c r="P1012" s="1" t="str">
        <f t="shared" si="57"/>
        <v/>
      </c>
    </row>
    <row r="1013" spans="14:16" x14ac:dyDescent="0.3">
      <c r="N1013" s="1" t="str">
        <f t="shared" si="55"/>
        <v/>
      </c>
      <c r="O1013" s="1" t="str">
        <f t="shared" si="56"/>
        <v/>
      </c>
      <c r="P1013" s="1" t="str">
        <f t="shared" si="57"/>
        <v/>
      </c>
    </row>
    <row r="1014" spans="14:16" x14ac:dyDescent="0.3">
      <c r="N1014" s="1" t="str">
        <f t="shared" si="55"/>
        <v/>
      </c>
      <c r="O1014" s="1" t="str">
        <f t="shared" si="56"/>
        <v/>
      </c>
      <c r="P1014" s="1" t="str">
        <f t="shared" si="57"/>
        <v/>
      </c>
    </row>
    <row r="1015" spans="14:16" x14ac:dyDescent="0.3">
      <c r="N1015" s="1" t="str">
        <f t="shared" si="55"/>
        <v/>
      </c>
      <c r="O1015" s="1" t="str">
        <f t="shared" si="56"/>
        <v/>
      </c>
      <c r="P1015" s="1" t="str">
        <f t="shared" si="57"/>
        <v/>
      </c>
    </row>
    <row r="1016" spans="14:16" x14ac:dyDescent="0.3">
      <c r="N1016" s="1" t="str">
        <f t="shared" si="55"/>
        <v/>
      </c>
      <c r="O1016" s="1" t="str">
        <f t="shared" si="56"/>
        <v/>
      </c>
      <c r="P1016" s="1" t="str">
        <f t="shared" si="57"/>
        <v/>
      </c>
    </row>
    <row r="1017" spans="14:16" x14ac:dyDescent="0.3">
      <c r="N1017" s="1" t="str">
        <f t="shared" si="55"/>
        <v/>
      </c>
      <c r="O1017" s="1" t="str">
        <f t="shared" si="56"/>
        <v/>
      </c>
      <c r="P1017" s="1" t="str">
        <f t="shared" si="57"/>
        <v/>
      </c>
    </row>
    <row r="1018" spans="14:16" x14ac:dyDescent="0.3">
      <c r="N1018" s="1" t="str">
        <f t="shared" si="55"/>
        <v/>
      </c>
      <c r="O1018" s="1" t="str">
        <f t="shared" si="56"/>
        <v/>
      </c>
      <c r="P1018" s="1" t="str">
        <f t="shared" si="57"/>
        <v/>
      </c>
    </row>
    <row r="1019" spans="14:16" x14ac:dyDescent="0.3">
      <c r="N1019" s="1" t="str">
        <f t="shared" si="55"/>
        <v/>
      </c>
      <c r="O1019" s="1" t="str">
        <f t="shared" si="56"/>
        <v/>
      </c>
      <c r="P1019" s="1" t="str">
        <f t="shared" si="57"/>
        <v/>
      </c>
    </row>
    <row r="1020" spans="14:16" x14ac:dyDescent="0.3">
      <c r="N1020" s="1" t="str">
        <f t="shared" si="55"/>
        <v/>
      </c>
      <c r="O1020" s="1" t="str">
        <f t="shared" si="56"/>
        <v/>
      </c>
      <c r="P1020" s="1" t="str">
        <f t="shared" si="57"/>
        <v/>
      </c>
    </row>
    <row r="1021" spans="14:16" x14ac:dyDescent="0.3">
      <c r="N1021" s="1" t="str">
        <f t="shared" si="55"/>
        <v/>
      </c>
      <c r="O1021" s="1" t="str">
        <f t="shared" si="56"/>
        <v/>
      </c>
      <c r="P1021" s="1" t="str">
        <f t="shared" si="57"/>
        <v/>
      </c>
    </row>
    <row r="1022" spans="14:16" x14ac:dyDescent="0.3">
      <c r="N1022" s="1" t="str">
        <f t="shared" si="55"/>
        <v/>
      </c>
      <c r="O1022" s="1" t="str">
        <f t="shared" si="56"/>
        <v/>
      </c>
      <c r="P1022" s="1" t="str">
        <f t="shared" si="57"/>
        <v/>
      </c>
    </row>
    <row r="1023" spans="14:16" x14ac:dyDescent="0.3">
      <c r="N1023" s="1" t="str">
        <f t="shared" si="55"/>
        <v/>
      </c>
      <c r="O1023" s="1" t="str">
        <f t="shared" si="56"/>
        <v/>
      </c>
      <c r="P1023" s="1" t="str">
        <f t="shared" si="57"/>
        <v/>
      </c>
    </row>
    <row r="1024" spans="14:16" x14ac:dyDescent="0.3">
      <c r="N1024" s="1" t="str">
        <f t="shared" si="55"/>
        <v/>
      </c>
      <c r="O1024" s="1" t="str">
        <f t="shared" si="56"/>
        <v/>
      </c>
      <c r="P1024" s="1" t="str">
        <f t="shared" si="57"/>
        <v/>
      </c>
    </row>
    <row r="1025" spans="14:16" x14ac:dyDescent="0.3">
      <c r="N1025" s="1" t="str">
        <f t="shared" si="55"/>
        <v/>
      </c>
      <c r="O1025" s="1" t="str">
        <f t="shared" si="56"/>
        <v/>
      </c>
      <c r="P1025" s="1" t="str">
        <f t="shared" si="57"/>
        <v/>
      </c>
    </row>
    <row r="1026" spans="14:16" x14ac:dyDescent="0.3">
      <c r="N1026" s="1" t="str">
        <f t="shared" si="55"/>
        <v/>
      </c>
      <c r="O1026" s="1" t="str">
        <f t="shared" si="56"/>
        <v/>
      </c>
      <c r="P1026" s="1" t="str">
        <f t="shared" si="57"/>
        <v/>
      </c>
    </row>
    <row r="1027" spans="14:16" x14ac:dyDescent="0.3">
      <c r="N1027" s="1" t="str">
        <f t="shared" si="55"/>
        <v/>
      </c>
      <c r="O1027" s="1" t="str">
        <f t="shared" si="56"/>
        <v/>
      </c>
      <c r="P1027" s="1" t="str">
        <f t="shared" si="57"/>
        <v/>
      </c>
    </row>
    <row r="1028" spans="14:16" x14ac:dyDescent="0.3">
      <c r="N1028" s="1" t="str">
        <f t="shared" si="55"/>
        <v/>
      </c>
      <c r="O1028" s="1" t="str">
        <f t="shared" si="56"/>
        <v/>
      </c>
      <c r="P1028" s="1" t="str">
        <f t="shared" si="57"/>
        <v/>
      </c>
    </row>
    <row r="1029" spans="14:16" x14ac:dyDescent="0.3">
      <c r="N1029" s="1" t="str">
        <f t="shared" si="55"/>
        <v/>
      </c>
      <c r="O1029" s="1" t="str">
        <f t="shared" si="56"/>
        <v/>
      </c>
      <c r="P1029" s="1" t="str">
        <f t="shared" si="57"/>
        <v/>
      </c>
    </row>
    <row r="1030" spans="14:16" x14ac:dyDescent="0.3">
      <c r="N1030" s="1" t="str">
        <f t="shared" si="55"/>
        <v/>
      </c>
      <c r="O1030" s="1" t="str">
        <f t="shared" si="56"/>
        <v/>
      </c>
      <c r="P1030" s="1" t="str">
        <f t="shared" si="57"/>
        <v/>
      </c>
    </row>
    <row r="1031" spans="14:16" x14ac:dyDescent="0.3">
      <c r="N1031" s="1" t="str">
        <f t="shared" si="55"/>
        <v/>
      </c>
      <c r="O1031" s="1" t="str">
        <f t="shared" si="56"/>
        <v/>
      </c>
      <c r="P1031" s="1" t="str">
        <f t="shared" si="57"/>
        <v/>
      </c>
    </row>
    <row r="1032" spans="14:16" x14ac:dyDescent="0.3">
      <c r="N1032" s="1" t="str">
        <f t="shared" si="55"/>
        <v/>
      </c>
      <c r="O1032" s="1" t="str">
        <f t="shared" si="56"/>
        <v/>
      </c>
      <c r="P1032" s="1" t="str">
        <f t="shared" si="57"/>
        <v/>
      </c>
    </row>
    <row r="1033" spans="14:16" x14ac:dyDescent="0.3">
      <c r="N1033" s="1" t="str">
        <f t="shared" si="55"/>
        <v/>
      </c>
      <c r="O1033" s="1" t="str">
        <f t="shared" si="56"/>
        <v/>
      </c>
      <c r="P1033" s="1" t="str">
        <f t="shared" si="57"/>
        <v/>
      </c>
    </row>
    <row r="1034" spans="14:16" x14ac:dyDescent="0.3">
      <c r="N1034" s="1" t="str">
        <f t="shared" si="55"/>
        <v/>
      </c>
      <c r="O1034" s="1" t="str">
        <f t="shared" si="56"/>
        <v/>
      </c>
      <c r="P1034" s="1" t="str">
        <f t="shared" si="57"/>
        <v/>
      </c>
    </row>
    <row r="1035" spans="14:16" x14ac:dyDescent="0.3">
      <c r="N1035" s="1" t="str">
        <f t="shared" si="55"/>
        <v/>
      </c>
      <c r="O1035" s="1" t="str">
        <f t="shared" si="56"/>
        <v/>
      </c>
      <c r="P1035" s="1" t="str">
        <f t="shared" si="57"/>
        <v/>
      </c>
    </row>
    <row r="1036" spans="14:16" x14ac:dyDescent="0.3">
      <c r="N1036" s="1" t="str">
        <f t="shared" si="55"/>
        <v/>
      </c>
      <c r="O1036" s="1" t="str">
        <f t="shared" si="56"/>
        <v/>
      </c>
      <c r="P1036" s="1" t="str">
        <f t="shared" si="57"/>
        <v/>
      </c>
    </row>
    <row r="1037" spans="14:16" x14ac:dyDescent="0.3">
      <c r="N1037" s="1" t="str">
        <f t="shared" si="55"/>
        <v/>
      </c>
      <c r="O1037" s="1" t="str">
        <f t="shared" si="56"/>
        <v/>
      </c>
      <c r="P1037" s="1" t="str">
        <f t="shared" si="57"/>
        <v/>
      </c>
    </row>
    <row r="1038" spans="14:16" x14ac:dyDescent="0.3">
      <c r="N1038" s="1" t="str">
        <f t="shared" si="55"/>
        <v/>
      </c>
      <c r="O1038" s="1" t="str">
        <f t="shared" si="56"/>
        <v/>
      </c>
      <c r="P1038" s="1" t="str">
        <f t="shared" si="57"/>
        <v/>
      </c>
    </row>
    <row r="1039" spans="14:16" x14ac:dyDescent="0.3">
      <c r="N1039" s="1" t="str">
        <f t="shared" si="55"/>
        <v/>
      </c>
      <c r="O1039" s="1" t="str">
        <f t="shared" si="56"/>
        <v/>
      </c>
      <c r="P1039" s="1" t="str">
        <f t="shared" si="57"/>
        <v/>
      </c>
    </row>
    <row r="1040" spans="14:16" x14ac:dyDescent="0.3">
      <c r="N1040" s="1" t="str">
        <f t="shared" si="55"/>
        <v/>
      </c>
      <c r="O1040" s="1" t="str">
        <f t="shared" si="56"/>
        <v/>
      </c>
      <c r="P1040" s="1" t="str">
        <f t="shared" si="57"/>
        <v/>
      </c>
    </row>
    <row r="1041" spans="14:16" x14ac:dyDescent="0.3">
      <c r="N1041" s="1" t="str">
        <f t="shared" si="55"/>
        <v/>
      </c>
      <c r="O1041" s="1" t="str">
        <f t="shared" si="56"/>
        <v/>
      </c>
      <c r="P1041" s="1" t="str">
        <f t="shared" si="57"/>
        <v/>
      </c>
    </row>
    <row r="1042" spans="14:16" x14ac:dyDescent="0.3">
      <c r="N1042" s="1" t="str">
        <f t="shared" si="55"/>
        <v/>
      </c>
      <c r="O1042" s="1" t="str">
        <f t="shared" si="56"/>
        <v/>
      </c>
      <c r="P1042" s="1" t="str">
        <f t="shared" si="57"/>
        <v/>
      </c>
    </row>
    <row r="1043" spans="14:16" x14ac:dyDescent="0.3">
      <c r="N1043" s="1" t="str">
        <f t="shared" si="55"/>
        <v/>
      </c>
      <c r="O1043" s="1" t="str">
        <f t="shared" si="56"/>
        <v/>
      </c>
      <c r="P1043" s="1" t="str">
        <f t="shared" si="57"/>
        <v/>
      </c>
    </row>
    <row r="1044" spans="14:16" x14ac:dyDescent="0.3">
      <c r="N1044" s="1" t="str">
        <f t="shared" si="55"/>
        <v/>
      </c>
      <c r="O1044" s="1" t="str">
        <f t="shared" si="56"/>
        <v/>
      </c>
      <c r="P1044" s="1" t="str">
        <f t="shared" si="57"/>
        <v/>
      </c>
    </row>
    <row r="1045" spans="14:16" x14ac:dyDescent="0.3">
      <c r="N1045" s="1" t="str">
        <f t="shared" si="55"/>
        <v/>
      </c>
      <c r="O1045" s="1" t="str">
        <f t="shared" si="56"/>
        <v/>
      </c>
      <c r="P1045" s="1" t="str">
        <f t="shared" si="57"/>
        <v/>
      </c>
    </row>
    <row r="1046" spans="14:16" x14ac:dyDescent="0.3">
      <c r="N1046" s="1" t="str">
        <f t="shared" si="55"/>
        <v/>
      </c>
      <c r="O1046" s="1" t="str">
        <f t="shared" si="56"/>
        <v/>
      </c>
      <c r="P1046" s="1" t="str">
        <f t="shared" si="57"/>
        <v/>
      </c>
    </row>
    <row r="1047" spans="14:16" x14ac:dyDescent="0.3">
      <c r="N1047" s="1" t="str">
        <f t="shared" si="55"/>
        <v/>
      </c>
      <c r="O1047" s="1" t="str">
        <f t="shared" si="56"/>
        <v/>
      </c>
      <c r="P1047" s="1" t="str">
        <f t="shared" si="57"/>
        <v/>
      </c>
    </row>
    <row r="1048" spans="14:16" x14ac:dyDescent="0.3">
      <c r="N1048" s="1" t="str">
        <f t="shared" si="55"/>
        <v/>
      </c>
      <c r="O1048" s="1" t="str">
        <f t="shared" si="56"/>
        <v/>
      </c>
      <c r="P1048" s="1" t="str">
        <f t="shared" si="57"/>
        <v/>
      </c>
    </row>
    <row r="1049" spans="14:16" x14ac:dyDescent="0.3">
      <c r="N1049" s="1" t="str">
        <f t="shared" si="55"/>
        <v/>
      </c>
      <c r="O1049" s="1" t="str">
        <f t="shared" si="56"/>
        <v/>
      </c>
      <c r="P1049" s="1" t="str">
        <f t="shared" si="57"/>
        <v/>
      </c>
    </row>
    <row r="1050" spans="14:16" x14ac:dyDescent="0.3">
      <c r="N1050" s="1" t="str">
        <f t="shared" si="55"/>
        <v/>
      </c>
      <c r="O1050" s="1" t="str">
        <f t="shared" si="56"/>
        <v/>
      </c>
      <c r="P1050" s="1" t="str">
        <f t="shared" si="57"/>
        <v/>
      </c>
    </row>
    <row r="1051" spans="14:16" x14ac:dyDescent="0.3">
      <c r="N1051" s="1" t="str">
        <f t="shared" si="55"/>
        <v/>
      </c>
      <c r="O1051" s="1" t="str">
        <f t="shared" si="56"/>
        <v/>
      </c>
      <c r="P1051" s="1" t="str">
        <f t="shared" si="57"/>
        <v/>
      </c>
    </row>
    <row r="1052" spans="14:16" x14ac:dyDescent="0.3">
      <c r="N1052" s="1" t="str">
        <f t="shared" si="55"/>
        <v/>
      </c>
      <c r="O1052" s="1" t="str">
        <f t="shared" si="56"/>
        <v/>
      </c>
      <c r="P1052" s="1" t="str">
        <f t="shared" si="57"/>
        <v/>
      </c>
    </row>
    <row r="1053" spans="14:16" x14ac:dyDescent="0.3">
      <c r="N1053" s="1" t="str">
        <f t="shared" si="55"/>
        <v/>
      </c>
      <c r="O1053" s="1" t="str">
        <f t="shared" si="56"/>
        <v/>
      </c>
      <c r="P1053" s="1" t="str">
        <f t="shared" si="57"/>
        <v/>
      </c>
    </row>
    <row r="1054" spans="14:16" x14ac:dyDescent="0.3">
      <c r="N1054" s="1" t="str">
        <f t="shared" si="55"/>
        <v/>
      </c>
      <c r="O1054" s="1" t="str">
        <f t="shared" si="56"/>
        <v/>
      </c>
      <c r="P1054" s="1" t="str">
        <f t="shared" si="57"/>
        <v/>
      </c>
    </row>
    <row r="1055" spans="14:16" x14ac:dyDescent="0.3">
      <c r="N1055" s="1" t="str">
        <f t="shared" si="55"/>
        <v/>
      </c>
      <c r="O1055" s="1" t="str">
        <f t="shared" si="56"/>
        <v/>
      </c>
      <c r="P1055" s="1" t="str">
        <f t="shared" si="57"/>
        <v/>
      </c>
    </row>
    <row r="1056" spans="14:16" x14ac:dyDescent="0.3">
      <c r="N1056" s="1" t="str">
        <f t="shared" si="55"/>
        <v/>
      </c>
      <c r="O1056" s="1" t="str">
        <f t="shared" si="56"/>
        <v/>
      </c>
      <c r="P1056" s="1" t="str">
        <f t="shared" si="57"/>
        <v/>
      </c>
    </row>
    <row r="1057" spans="14:16" x14ac:dyDescent="0.3">
      <c r="N1057" s="1" t="str">
        <f t="shared" si="55"/>
        <v/>
      </c>
      <c r="O1057" s="1" t="str">
        <f t="shared" si="56"/>
        <v/>
      </c>
      <c r="P1057" s="1" t="str">
        <f t="shared" si="57"/>
        <v/>
      </c>
    </row>
    <row r="1058" spans="14:16" x14ac:dyDescent="0.3">
      <c r="N1058" s="1" t="str">
        <f t="shared" si="55"/>
        <v/>
      </c>
      <c r="O1058" s="1" t="str">
        <f t="shared" si="56"/>
        <v/>
      </c>
      <c r="P1058" s="1" t="str">
        <f t="shared" si="57"/>
        <v/>
      </c>
    </row>
    <row r="1059" spans="14:16" x14ac:dyDescent="0.3">
      <c r="N1059" s="1" t="str">
        <f t="shared" si="55"/>
        <v/>
      </c>
      <c r="O1059" s="1" t="str">
        <f t="shared" si="56"/>
        <v/>
      </c>
      <c r="P1059" s="1" t="str">
        <f t="shared" si="57"/>
        <v/>
      </c>
    </row>
    <row r="1060" spans="14:16" x14ac:dyDescent="0.3">
      <c r="N1060" s="1" t="str">
        <f t="shared" si="55"/>
        <v/>
      </c>
      <c r="O1060" s="1" t="str">
        <f t="shared" si="56"/>
        <v/>
      </c>
      <c r="P1060" s="1" t="str">
        <f t="shared" si="57"/>
        <v/>
      </c>
    </row>
    <row r="1061" spans="14:16" x14ac:dyDescent="0.3">
      <c r="N1061" s="1" t="str">
        <f t="shared" si="55"/>
        <v/>
      </c>
      <c r="O1061" s="1" t="str">
        <f t="shared" si="56"/>
        <v/>
      </c>
      <c r="P1061" s="1" t="str">
        <f t="shared" si="57"/>
        <v/>
      </c>
    </row>
    <row r="1062" spans="14:16" x14ac:dyDescent="0.3">
      <c r="N1062" s="1" t="str">
        <f t="shared" si="55"/>
        <v/>
      </c>
      <c r="O1062" s="1" t="str">
        <f t="shared" si="56"/>
        <v/>
      </c>
      <c r="P1062" s="1" t="str">
        <f t="shared" si="57"/>
        <v/>
      </c>
    </row>
    <row r="1063" spans="14:16" x14ac:dyDescent="0.3">
      <c r="N1063" s="1" t="str">
        <f t="shared" si="55"/>
        <v/>
      </c>
      <c r="O1063" s="1" t="str">
        <f t="shared" si="56"/>
        <v/>
      </c>
      <c r="P1063" s="1" t="str">
        <f t="shared" si="57"/>
        <v/>
      </c>
    </row>
    <row r="1064" spans="14:16" x14ac:dyDescent="0.3">
      <c r="N1064" s="1" t="str">
        <f t="shared" si="55"/>
        <v/>
      </c>
      <c r="O1064" s="1" t="str">
        <f t="shared" si="56"/>
        <v/>
      </c>
      <c r="P1064" s="1" t="str">
        <f t="shared" si="57"/>
        <v/>
      </c>
    </row>
    <row r="1065" spans="14:16" x14ac:dyDescent="0.3">
      <c r="N1065" s="1" t="str">
        <f t="shared" si="55"/>
        <v/>
      </c>
      <c r="O1065" s="1" t="str">
        <f t="shared" si="56"/>
        <v/>
      </c>
      <c r="P1065" s="1" t="str">
        <f t="shared" si="57"/>
        <v/>
      </c>
    </row>
    <row r="1066" spans="14:16" x14ac:dyDescent="0.3">
      <c r="N1066" s="1" t="str">
        <f t="shared" si="55"/>
        <v/>
      </c>
      <c r="O1066" s="1" t="str">
        <f t="shared" si="56"/>
        <v/>
      </c>
      <c r="P1066" s="1" t="str">
        <f t="shared" si="57"/>
        <v/>
      </c>
    </row>
    <row r="1067" spans="14:16" x14ac:dyDescent="0.3">
      <c r="N1067" s="1" t="str">
        <f t="shared" si="55"/>
        <v/>
      </c>
      <c r="O1067" s="1" t="str">
        <f t="shared" si="56"/>
        <v/>
      </c>
      <c r="P1067" s="1" t="str">
        <f t="shared" si="57"/>
        <v/>
      </c>
    </row>
    <row r="1068" spans="14:16" x14ac:dyDescent="0.3">
      <c r="N1068" s="1" t="str">
        <f t="shared" si="55"/>
        <v/>
      </c>
      <c r="O1068" s="1" t="str">
        <f t="shared" si="56"/>
        <v/>
      </c>
      <c r="P1068" s="1" t="str">
        <f t="shared" si="57"/>
        <v/>
      </c>
    </row>
    <row r="1069" spans="14:16" x14ac:dyDescent="0.3">
      <c r="N1069" s="1" t="str">
        <f t="shared" si="55"/>
        <v/>
      </c>
      <c r="O1069" s="1" t="str">
        <f t="shared" si="56"/>
        <v/>
      </c>
      <c r="P1069" s="1" t="str">
        <f t="shared" si="57"/>
        <v/>
      </c>
    </row>
    <row r="1070" spans="14:16" x14ac:dyDescent="0.3">
      <c r="N1070" s="1" t="str">
        <f t="shared" si="55"/>
        <v/>
      </c>
      <c r="O1070" s="1" t="str">
        <f t="shared" si="56"/>
        <v/>
      </c>
      <c r="P1070" s="1" t="str">
        <f t="shared" si="57"/>
        <v/>
      </c>
    </row>
    <row r="1071" spans="14:16" x14ac:dyDescent="0.3">
      <c r="N1071" s="1" t="str">
        <f t="shared" si="55"/>
        <v/>
      </c>
      <c r="O1071" s="1" t="str">
        <f t="shared" si="56"/>
        <v/>
      </c>
      <c r="P1071" s="1" t="str">
        <f t="shared" si="57"/>
        <v/>
      </c>
    </row>
    <row r="1072" spans="14:16" x14ac:dyDescent="0.3">
      <c r="N1072" s="1" t="str">
        <f t="shared" ref="N1072:N1135" si="58">IF(LEN($C1072)&gt;0,H1072-E1072,"")</f>
        <v/>
      </c>
      <c r="O1072" s="1" t="str">
        <f t="shared" ref="O1072:O1135" si="59">IF(LEN($C1072)&gt;0,I1072-F1072,"")</f>
        <v/>
      </c>
      <c r="P1072" s="1" t="str">
        <f t="shared" ref="P1072:P1135" si="60">IF(LEN($C1072)&gt;0,J1072-G1072,"")</f>
        <v/>
      </c>
    </row>
    <row r="1073" spans="14:16" x14ac:dyDescent="0.3">
      <c r="N1073" s="1" t="str">
        <f t="shared" si="58"/>
        <v/>
      </c>
      <c r="O1073" s="1" t="str">
        <f t="shared" si="59"/>
        <v/>
      </c>
      <c r="P1073" s="1" t="str">
        <f t="shared" si="60"/>
        <v/>
      </c>
    </row>
    <row r="1074" spans="14:16" x14ac:dyDescent="0.3">
      <c r="N1074" s="1" t="str">
        <f t="shared" si="58"/>
        <v/>
      </c>
      <c r="O1074" s="1" t="str">
        <f t="shared" si="59"/>
        <v/>
      </c>
      <c r="P1074" s="1" t="str">
        <f t="shared" si="60"/>
        <v/>
      </c>
    </row>
    <row r="1075" spans="14:16" x14ac:dyDescent="0.3">
      <c r="N1075" s="1" t="str">
        <f t="shared" si="58"/>
        <v/>
      </c>
      <c r="O1075" s="1" t="str">
        <f t="shared" si="59"/>
        <v/>
      </c>
      <c r="P1075" s="1" t="str">
        <f t="shared" si="60"/>
        <v/>
      </c>
    </row>
    <row r="1076" spans="14:16" x14ac:dyDescent="0.3">
      <c r="N1076" s="1" t="str">
        <f t="shared" si="58"/>
        <v/>
      </c>
      <c r="O1076" s="1" t="str">
        <f t="shared" si="59"/>
        <v/>
      </c>
      <c r="P1076" s="1" t="str">
        <f t="shared" si="60"/>
        <v/>
      </c>
    </row>
    <row r="1077" spans="14:16" x14ac:dyDescent="0.3">
      <c r="N1077" s="1" t="str">
        <f t="shared" si="58"/>
        <v/>
      </c>
      <c r="O1077" s="1" t="str">
        <f t="shared" si="59"/>
        <v/>
      </c>
      <c r="P1077" s="1" t="str">
        <f t="shared" si="60"/>
        <v/>
      </c>
    </row>
    <row r="1078" spans="14:16" x14ac:dyDescent="0.3">
      <c r="N1078" s="1" t="str">
        <f t="shared" si="58"/>
        <v/>
      </c>
      <c r="O1078" s="1" t="str">
        <f t="shared" si="59"/>
        <v/>
      </c>
      <c r="P1078" s="1" t="str">
        <f t="shared" si="60"/>
        <v/>
      </c>
    </row>
    <row r="1079" spans="14:16" x14ac:dyDescent="0.3">
      <c r="N1079" s="1" t="str">
        <f t="shared" si="58"/>
        <v/>
      </c>
      <c r="O1079" s="1" t="str">
        <f t="shared" si="59"/>
        <v/>
      </c>
      <c r="P1079" s="1" t="str">
        <f t="shared" si="60"/>
        <v/>
      </c>
    </row>
    <row r="1080" spans="14:16" x14ac:dyDescent="0.3">
      <c r="N1080" s="1" t="str">
        <f t="shared" si="58"/>
        <v/>
      </c>
      <c r="O1080" s="1" t="str">
        <f t="shared" si="59"/>
        <v/>
      </c>
      <c r="P1080" s="1" t="str">
        <f t="shared" si="60"/>
        <v/>
      </c>
    </row>
    <row r="1081" spans="14:16" x14ac:dyDescent="0.3">
      <c r="N1081" s="1" t="str">
        <f t="shared" si="58"/>
        <v/>
      </c>
      <c r="O1081" s="1" t="str">
        <f t="shared" si="59"/>
        <v/>
      </c>
      <c r="P1081" s="1" t="str">
        <f t="shared" si="60"/>
        <v/>
      </c>
    </row>
    <row r="1082" spans="14:16" x14ac:dyDescent="0.3">
      <c r="N1082" s="1" t="str">
        <f t="shared" si="58"/>
        <v/>
      </c>
      <c r="O1082" s="1" t="str">
        <f t="shared" si="59"/>
        <v/>
      </c>
      <c r="P1082" s="1" t="str">
        <f t="shared" si="60"/>
        <v/>
      </c>
    </row>
    <row r="1083" spans="14:16" x14ac:dyDescent="0.3">
      <c r="N1083" s="1" t="str">
        <f t="shared" si="58"/>
        <v/>
      </c>
      <c r="O1083" s="1" t="str">
        <f t="shared" si="59"/>
        <v/>
      </c>
      <c r="P1083" s="1" t="str">
        <f t="shared" si="60"/>
        <v/>
      </c>
    </row>
    <row r="1084" spans="14:16" x14ac:dyDescent="0.3">
      <c r="N1084" s="1" t="str">
        <f t="shared" si="58"/>
        <v/>
      </c>
      <c r="O1084" s="1" t="str">
        <f t="shared" si="59"/>
        <v/>
      </c>
      <c r="P1084" s="1" t="str">
        <f t="shared" si="60"/>
        <v/>
      </c>
    </row>
    <row r="1085" spans="14:16" x14ac:dyDescent="0.3">
      <c r="N1085" s="1" t="str">
        <f t="shared" si="58"/>
        <v/>
      </c>
      <c r="O1085" s="1" t="str">
        <f t="shared" si="59"/>
        <v/>
      </c>
      <c r="P1085" s="1" t="str">
        <f t="shared" si="60"/>
        <v/>
      </c>
    </row>
    <row r="1086" spans="14:16" x14ac:dyDescent="0.3">
      <c r="N1086" s="1" t="str">
        <f t="shared" si="58"/>
        <v/>
      </c>
      <c r="O1086" s="1" t="str">
        <f t="shared" si="59"/>
        <v/>
      </c>
      <c r="P1086" s="1" t="str">
        <f t="shared" si="60"/>
        <v/>
      </c>
    </row>
    <row r="1087" spans="14:16" x14ac:dyDescent="0.3">
      <c r="N1087" s="1" t="str">
        <f t="shared" si="58"/>
        <v/>
      </c>
      <c r="O1087" s="1" t="str">
        <f t="shared" si="59"/>
        <v/>
      </c>
      <c r="P1087" s="1" t="str">
        <f t="shared" si="60"/>
        <v/>
      </c>
    </row>
    <row r="1088" spans="14:16" x14ac:dyDescent="0.3">
      <c r="N1088" s="1" t="str">
        <f t="shared" si="58"/>
        <v/>
      </c>
      <c r="O1088" s="1" t="str">
        <f t="shared" si="59"/>
        <v/>
      </c>
      <c r="P1088" s="1" t="str">
        <f t="shared" si="60"/>
        <v/>
      </c>
    </row>
    <row r="1089" spans="14:16" x14ac:dyDescent="0.3">
      <c r="N1089" s="1" t="str">
        <f t="shared" si="58"/>
        <v/>
      </c>
      <c r="O1089" s="1" t="str">
        <f t="shared" si="59"/>
        <v/>
      </c>
      <c r="P1089" s="1" t="str">
        <f t="shared" si="60"/>
        <v/>
      </c>
    </row>
    <row r="1090" spans="14:16" x14ac:dyDescent="0.3">
      <c r="N1090" s="1" t="str">
        <f t="shared" si="58"/>
        <v/>
      </c>
      <c r="O1090" s="1" t="str">
        <f t="shared" si="59"/>
        <v/>
      </c>
      <c r="P1090" s="1" t="str">
        <f t="shared" si="60"/>
        <v/>
      </c>
    </row>
    <row r="1091" spans="14:16" x14ac:dyDescent="0.3">
      <c r="N1091" s="1" t="str">
        <f t="shared" si="58"/>
        <v/>
      </c>
      <c r="O1091" s="1" t="str">
        <f t="shared" si="59"/>
        <v/>
      </c>
      <c r="P1091" s="1" t="str">
        <f t="shared" si="60"/>
        <v/>
      </c>
    </row>
    <row r="1092" spans="14:16" x14ac:dyDescent="0.3">
      <c r="N1092" s="1" t="str">
        <f t="shared" si="58"/>
        <v/>
      </c>
      <c r="O1092" s="1" t="str">
        <f t="shared" si="59"/>
        <v/>
      </c>
      <c r="P1092" s="1" t="str">
        <f t="shared" si="60"/>
        <v/>
      </c>
    </row>
    <row r="1093" spans="14:16" x14ac:dyDescent="0.3">
      <c r="N1093" s="1" t="str">
        <f t="shared" si="58"/>
        <v/>
      </c>
      <c r="O1093" s="1" t="str">
        <f t="shared" si="59"/>
        <v/>
      </c>
      <c r="P1093" s="1" t="str">
        <f t="shared" si="60"/>
        <v/>
      </c>
    </row>
    <row r="1094" spans="14:16" x14ac:dyDescent="0.3">
      <c r="N1094" s="1" t="str">
        <f t="shared" si="58"/>
        <v/>
      </c>
      <c r="O1094" s="1" t="str">
        <f t="shared" si="59"/>
        <v/>
      </c>
      <c r="P1094" s="1" t="str">
        <f t="shared" si="60"/>
        <v/>
      </c>
    </row>
    <row r="1095" spans="14:16" x14ac:dyDescent="0.3">
      <c r="N1095" s="1" t="str">
        <f t="shared" si="58"/>
        <v/>
      </c>
      <c r="O1095" s="1" t="str">
        <f t="shared" si="59"/>
        <v/>
      </c>
      <c r="P1095" s="1" t="str">
        <f t="shared" si="60"/>
        <v/>
      </c>
    </row>
    <row r="1096" spans="14:16" x14ac:dyDescent="0.3">
      <c r="N1096" s="1" t="str">
        <f t="shared" si="58"/>
        <v/>
      </c>
      <c r="O1096" s="1" t="str">
        <f t="shared" si="59"/>
        <v/>
      </c>
      <c r="P1096" s="1" t="str">
        <f t="shared" si="60"/>
        <v/>
      </c>
    </row>
    <row r="1097" spans="14:16" x14ac:dyDescent="0.3">
      <c r="N1097" s="1" t="str">
        <f t="shared" si="58"/>
        <v/>
      </c>
      <c r="O1097" s="1" t="str">
        <f t="shared" si="59"/>
        <v/>
      </c>
      <c r="P1097" s="1" t="str">
        <f t="shared" si="60"/>
        <v/>
      </c>
    </row>
    <row r="1098" spans="14:16" x14ac:dyDescent="0.3">
      <c r="N1098" s="1" t="str">
        <f t="shared" si="58"/>
        <v/>
      </c>
      <c r="O1098" s="1" t="str">
        <f t="shared" si="59"/>
        <v/>
      </c>
      <c r="P1098" s="1" t="str">
        <f t="shared" si="60"/>
        <v/>
      </c>
    </row>
    <row r="1099" spans="14:16" x14ac:dyDescent="0.3">
      <c r="N1099" s="1" t="str">
        <f t="shared" si="58"/>
        <v/>
      </c>
      <c r="O1099" s="1" t="str">
        <f t="shared" si="59"/>
        <v/>
      </c>
      <c r="P1099" s="1" t="str">
        <f t="shared" si="60"/>
        <v/>
      </c>
    </row>
    <row r="1100" spans="14:16" x14ac:dyDescent="0.3">
      <c r="N1100" s="1" t="str">
        <f t="shared" si="58"/>
        <v/>
      </c>
      <c r="O1100" s="1" t="str">
        <f t="shared" si="59"/>
        <v/>
      </c>
      <c r="P1100" s="1" t="str">
        <f t="shared" si="60"/>
        <v/>
      </c>
    </row>
    <row r="1101" spans="14:16" x14ac:dyDescent="0.3">
      <c r="N1101" s="1" t="str">
        <f t="shared" si="58"/>
        <v/>
      </c>
      <c r="O1101" s="1" t="str">
        <f t="shared" si="59"/>
        <v/>
      </c>
      <c r="P1101" s="1" t="str">
        <f t="shared" si="60"/>
        <v/>
      </c>
    </row>
    <row r="1102" spans="14:16" x14ac:dyDescent="0.3">
      <c r="N1102" s="1" t="str">
        <f t="shared" si="58"/>
        <v/>
      </c>
      <c r="O1102" s="1" t="str">
        <f t="shared" si="59"/>
        <v/>
      </c>
      <c r="P1102" s="1" t="str">
        <f t="shared" si="60"/>
        <v/>
      </c>
    </row>
    <row r="1103" spans="14:16" x14ac:dyDescent="0.3">
      <c r="N1103" s="1" t="str">
        <f t="shared" si="58"/>
        <v/>
      </c>
      <c r="O1103" s="1" t="str">
        <f t="shared" si="59"/>
        <v/>
      </c>
      <c r="P1103" s="1" t="str">
        <f t="shared" si="60"/>
        <v/>
      </c>
    </row>
    <row r="1104" spans="14:16" x14ac:dyDescent="0.3">
      <c r="N1104" s="1" t="str">
        <f t="shared" si="58"/>
        <v/>
      </c>
      <c r="O1104" s="1" t="str">
        <f t="shared" si="59"/>
        <v/>
      </c>
      <c r="P1104" s="1" t="str">
        <f t="shared" si="60"/>
        <v/>
      </c>
    </row>
    <row r="1105" spans="14:16" x14ac:dyDescent="0.3">
      <c r="N1105" s="1" t="str">
        <f t="shared" si="58"/>
        <v/>
      </c>
      <c r="O1105" s="1" t="str">
        <f t="shared" si="59"/>
        <v/>
      </c>
      <c r="P1105" s="1" t="str">
        <f t="shared" si="60"/>
        <v/>
      </c>
    </row>
    <row r="1106" spans="14:16" x14ac:dyDescent="0.3">
      <c r="N1106" s="1" t="str">
        <f t="shared" si="58"/>
        <v/>
      </c>
      <c r="O1106" s="1" t="str">
        <f t="shared" si="59"/>
        <v/>
      </c>
      <c r="P1106" s="1" t="str">
        <f t="shared" si="60"/>
        <v/>
      </c>
    </row>
    <row r="1107" spans="14:16" x14ac:dyDescent="0.3">
      <c r="N1107" s="1" t="str">
        <f t="shared" si="58"/>
        <v/>
      </c>
      <c r="O1107" s="1" t="str">
        <f t="shared" si="59"/>
        <v/>
      </c>
      <c r="P1107" s="1" t="str">
        <f t="shared" si="60"/>
        <v/>
      </c>
    </row>
    <row r="1108" spans="14:16" x14ac:dyDescent="0.3">
      <c r="N1108" s="1" t="str">
        <f t="shared" si="58"/>
        <v/>
      </c>
      <c r="O1108" s="1" t="str">
        <f t="shared" si="59"/>
        <v/>
      </c>
      <c r="P1108" s="1" t="str">
        <f t="shared" si="60"/>
        <v/>
      </c>
    </row>
    <row r="1109" spans="14:16" x14ac:dyDescent="0.3">
      <c r="N1109" s="1" t="str">
        <f t="shared" si="58"/>
        <v/>
      </c>
      <c r="O1109" s="1" t="str">
        <f t="shared" si="59"/>
        <v/>
      </c>
      <c r="P1109" s="1" t="str">
        <f t="shared" si="60"/>
        <v/>
      </c>
    </row>
    <row r="1110" spans="14:16" x14ac:dyDescent="0.3">
      <c r="N1110" s="1" t="str">
        <f t="shared" si="58"/>
        <v/>
      </c>
      <c r="O1110" s="1" t="str">
        <f t="shared" si="59"/>
        <v/>
      </c>
      <c r="P1110" s="1" t="str">
        <f t="shared" si="60"/>
        <v/>
      </c>
    </row>
    <row r="1111" spans="14:16" x14ac:dyDescent="0.3">
      <c r="N1111" s="1" t="str">
        <f t="shared" si="58"/>
        <v/>
      </c>
      <c r="O1111" s="1" t="str">
        <f t="shared" si="59"/>
        <v/>
      </c>
      <c r="P1111" s="1" t="str">
        <f t="shared" si="60"/>
        <v/>
      </c>
    </row>
    <row r="1112" spans="14:16" x14ac:dyDescent="0.3">
      <c r="N1112" s="1" t="str">
        <f t="shared" si="58"/>
        <v/>
      </c>
      <c r="O1112" s="1" t="str">
        <f t="shared" si="59"/>
        <v/>
      </c>
      <c r="P1112" s="1" t="str">
        <f t="shared" si="60"/>
        <v/>
      </c>
    </row>
    <row r="1113" spans="14:16" x14ac:dyDescent="0.3">
      <c r="N1113" s="1" t="str">
        <f t="shared" si="58"/>
        <v/>
      </c>
      <c r="O1113" s="1" t="str">
        <f t="shared" si="59"/>
        <v/>
      </c>
      <c r="P1113" s="1" t="str">
        <f t="shared" si="60"/>
        <v/>
      </c>
    </row>
    <row r="1114" spans="14:16" x14ac:dyDescent="0.3">
      <c r="N1114" s="1" t="str">
        <f t="shared" si="58"/>
        <v/>
      </c>
      <c r="O1114" s="1" t="str">
        <f t="shared" si="59"/>
        <v/>
      </c>
      <c r="P1114" s="1" t="str">
        <f t="shared" si="60"/>
        <v/>
      </c>
    </row>
    <row r="1115" spans="14:16" x14ac:dyDescent="0.3">
      <c r="N1115" s="1" t="str">
        <f t="shared" si="58"/>
        <v/>
      </c>
      <c r="O1115" s="1" t="str">
        <f t="shared" si="59"/>
        <v/>
      </c>
      <c r="P1115" s="1" t="str">
        <f t="shared" si="60"/>
        <v/>
      </c>
    </row>
    <row r="1116" spans="14:16" x14ac:dyDescent="0.3">
      <c r="N1116" s="1" t="str">
        <f t="shared" si="58"/>
        <v/>
      </c>
      <c r="O1116" s="1" t="str">
        <f t="shared" si="59"/>
        <v/>
      </c>
      <c r="P1116" s="1" t="str">
        <f t="shared" si="60"/>
        <v/>
      </c>
    </row>
    <row r="1117" spans="14:16" x14ac:dyDescent="0.3">
      <c r="N1117" s="1" t="str">
        <f t="shared" si="58"/>
        <v/>
      </c>
      <c r="O1117" s="1" t="str">
        <f t="shared" si="59"/>
        <v/>
      </c>
      <c r="P1117" s="1" t="str">
        <f t="shared" si="60"/>
        <v/>
      </c>
    </row>
    <row r="1118" spans="14:16" x14ac:dyDescent="0.3">
      <c r="N1118" s="1" t="str">
        <f t="shared" si="58"/>
        <v/>
      </c>
      <c r="O1118" s="1" t="str">
        <f t="shared" si="59"/>
        <v/>
      </c>
      <c r="P1118" s="1" t="str">
        <f t="shared" si="60"/>
        <v/>
      </c>
    </row>
    <row r="1119" spans="14:16" x14ac:dyDescent="0.3">
      <c r="N1119" s="1" t="str">
        <f t="shared" si="58"/>
        <v/>
      </c>
      <c r="O1119" s="1" t="str">
        <f t="shared" si="59"/>
        <v/>
      </c>
      <c r="P1119" s="1" t="str">
        <f t="shared" si="60"/>
        <v/>
      </c>
    </row>
    <row r="1120" spans="14:16" x14ac:dyDescent="0.3">
      <c r="N1120" s="1" t="str">
        <f t="shared" si="58"/>
        <v/>
      </c>
      <c r="O1120" s="1" t="str">
        <f t="shared" si="59"/>
        <v/>
      </c>
      <c r="P1120" s="1" t="str">
        <f t="shared" si="60"/>
        <v/>
      </c>
    </row>
    <row r="1121" spans="14:16" x14ac:dyDescent="0.3">
      <c r="N1121" s="1" t="str">
        <f t="shared" si="58"/>
        <v/>
      </c>
      <c r="O1121" s="1" t="str">
        <f t="shared" si="59"/>
        <v/>
      </c>
      <c r="P1121" s="1" t="str">
        <f t="shared" si="60"/>
        <v/>
      </c>
    </row>
    <row r="1122" spans="14:16" x14ac:dyDescent="0.3">
      <c r="N1122" s="1" t="str">
        <f t="shared" si="58"/>
        <v/>
      </c>
      <c r="O1122" s="1" t="str">
        <f t="shared" si="59"/>
        <v/>
      </c>
      <c r="P1122" s="1" t="str">
        <f t="shared" si="60"/>
        <v/>
      </c>
    </row>
    <row r="1123" spans="14:16" x14ac:dyDescent="0.3">
      <c r="N1123" s="1" t="str">
        <f t="shared" si="58"/>
        <v/>
      </c>
      <c r="O1123" s="1" t="str">
        <f t="shared" si="59"/>
        <v/>
      </c>
      <c r="P1123" s="1" t="str">
        <f t="shared" si="60"/>
        <v/>
      </c>
    </row>
    <row r="1124" spans="14:16" x14ac:dyDescent="0.3">
      <c r="N1124" s="1" t="str">
        <f t="shared" si="58"/>
        <v/>
      </c>
      <c r="O1124" s="1" t="str">
        <f t="shared" si="59"/>
        <v/>
      </c>
      <c r="P1124" s="1" t="str">
        <f t="shared" si="60"/>
        <v/>
      </c>
    </row>
    <row r="1125" spans="14:16" x14ac:dyDescent="0.3">
      <c r="N1125" s="1" t="str">
        <f t="shared" si="58"/>
        <v/>
      </c>
      <c r="O1125" s="1" t="str">
        <f t="shared" si="59"/>
        <v/>
      </c>
      <c r="P1125" s="1" t="str">
        <f t="shared" si="60"/>
        <v/>
      </c>
    </row>
    <row r="1126" spans="14:16" x14ac:dyDescent="0.3">
      <c r="N1126" s="1" t="str">
        <f t="shared" si="58"/>
        <v/>
      </c>
      <c r="O1126" s="1" t="str">
        <f t="shared" si="59"/>
        <v/>
      </c>
      <c r="P1126" s="1" t="str">
        <f t="shared" si="60"/>
        <v/>
      </c>
    </row>
    <row r="1127" spans="14:16" x14ac:dyDescent="0.3">
      <c r="N1127" s="1" t="str">
        <f t="shared" si="58"/>
        <v/>
      </c>
      <c r="O1127" s="1" t="str">
        <f t="shared" si="59"/>
        <v/>
      </c>
      <c r="P1127" s="1" t="str">
        <f t="shared" si="60"/>
        <v/>
      </c>
    </row>
    <row r="1128" spans="14:16" x14ac:dyDescent="0.3">
      <c r="N1128" s="1" t="str">
        <f t="shared" si="58"/>
        <v/>
      </c>
      <c r="O1128" s="1" t="str">
        <f t="shared" si="59"/>
        <v/>
      </c>
      <c r="P1128" s="1" t="str">
        <f t="shared" si="60"/>
        <v/>
      </c>
    </row>
    <row r="1129" spans="14:16" x14ac:dyDescent="0.3">
      <c r="N1129" s="1" t="str">
        <f t="shared" si="58"/>
        <v/>
      </c>
      <c r="O1129" s="1" t="str">
        <f t="shared" si="59"/>
        <v/>
      </c>
      <c r="P1129" s="1" t="str">
        <f t="shared" si="60"/>
        <v/>
      </c>
    </row>
    <row r="1130" spans="14:16" x14ac:dyDescent="0.3">
      <c r="N1130" s="1" t="str">
        <f t="shared" si="58"/>
        <v/>
      </c>
      <c r="O1130" s="1" t="str">
        <f t="shared" si="59"/>
        <v/>
      </c>
      <c r="P1130" s="1" t="str">
        <f t="shared" si="60"/>
        <v/>
      </c>
    </row>
    <row r="1131" spans="14:16" x14ac:dyDescent="0.3">
      <c r="N1131" s="1" t="str">
        <f t="shared" si="58"/>
        <v/>
      </c>
      <c r="O1131" s="1" t="str">
        <f t="shared" si="59"/>
        <v/>
      </c>
      <c r="P1131" s="1" t="str">
        <f t="shared" si="60"/>
        <v/>
      </c>
    </row>
    <row r="1132" spans="14:16" x14ac:dyDescent="0.3">
      <c r="N1132" s="1" t="str">
        <f t="shared" si="58"/>
        <v/>
      </c>
      <c r="O1132" s="1" t="str">
        <f t="shared" si="59"/>
        <v/>
      </c>
      <c r="P1132" s="1" t="str">
        <f t="shared" si="60"/>
        <v/>
      </c>
    </row>
    <row r="1133" spans="14:16" x14ac:dyDescent="0.3">
      <c r="N1133" s="1" t="str">
        <f t="shared" si="58"/>
        <v/>
      </c>
      <c r="O1133" s="1" t="str">
        <f t="shared" si="59"/>
        <v/>
      </c>
      <c r="P1133" s="1" t="str">
        <f t="shared" si="60"/>
        <v/>
      </c>
    </row>
    <row r="1134" spans="14:16" x14ac:dyDescent="0.3">
      <c r="N1134" s="1" t="str">
        <f t="shared" si="58"/>
        <v/>
      </c>
      <c r="O1134" s="1" t="str">
        <f t="shared" si="59"/>
        <v/>
      </c>
      <c r="P1134" s="1" t="str">
        <f t="shared" si="60"/>
        <v/>
      </c>
    </row>
    <row r="1135" spans="14:16" x14ac:dyDescent="0.3">
      <c r="N1135" s="1" t="str">
        <f t="shared" si="58"/>
        <v/>
      </c>
      <c r="O1135" s="1" t="str">
        <f t="shared" si="59"/>
        <v/>
      </c>
      <c r="P1135" s="1" t="str">
        <f t="shared" si="60"/>
        <v/>
      </c>
    </row>
    <row r="1136" spans="14:16" x14ac:dyDescent="0.3">
      <c r="N1136" s="1" t="str">
        <f t="shared" ref="N1136:N1199" si="61">IF(LEN($C1136)&gt;0,H1136-E1136,"")</f>
        <v/>
      </c>
      <c r="O1136" s="1" t="str">
        <f t="shared" ref="O1136:O1199" si="62">IF(LEN($C1136)&gt;0,I1136-F1136,"")</f>
        <v/>
      </c>
      <c r="P1136" s="1" t="str">
        <f t="shared" ref="P1136:P1199" si="63">IF(LEN($C1136)&gt;0,J1136-G1136,"")</f>
        <v/>
      </c>
    </row>
    <row r="1137" spans="14:16" x14ac:dyDescent="0.3">
      <c r="N1137" s="1" t="str">
        <f t="shared" si="61"/>
        <v/>
      </c>
      <c r="O1137" s="1" t="str">
        <f t="shared" si="62"/>
        <v/>
      </c>
      <c r="P1137" s="1" t="str">
        <f t="shared" si="63"/>
        <v/>
      </c>
    </row>
    <row r="1138" spans="14:16" x14ac:dyDescent="0.3">
      <c r="N1138" s="1" t="str">
        <f t="shared" si="61"/>
        <v/>
      </c>
      <c r="O1138" s="1" t="str">
        <f t="shared" si="62"/>
        <v/>
      </c>
      <c r="P1138" s="1" t="str">
        <f t="shared" si="63"/>
        <v/>
      </c>
    </row>
    <row r="1139" spans="14:16" x14ac:dyDescent="0.3">
      <c r="N1139" s="1" t="str">
        <f t="shared" si="61"/>
        <v/>
      </c>
      <c r="O1139" s="1" t="str">
        <f t="shared" si="62"/>
        <v/>
      </c>
      <c r="P1139" s="1" t="str">
        <f t="shared" si="63"/>
        <v/>
      </c>
    </row>
    <row r="1140" spans="14:16" x14ac:dyDescent="0.3">
      <c r="N1140" s="1" t="str">
        <f t="shared" si="61"/>
        <v/>
      </c>
      <c r="O1140" s="1" t="str">
        <f t="shared" si="62"/>
        <v/>
      </c>
      <c r="P1140" s="1" t="str">
        <f t="shared" si="63"/>
        <v/>
      </c>
    </row>
    <row r="1141" spans="14:16" x14ac:dyDescent="0.3">
      <c r="N1141" s="1" t="str">
        <f t="shared" si="61"/>
        <v/>
      </c>
      <c r="O1141" s="1" t="str">
        <f t="shared" si="62"/>
        <v/>
      </c>
      <c r="P1141" s="1" t="str">
        <f t="shared" si="63"/>
        <v/>
      </c>
    </row>
    <row r="1142" spans="14:16" x14ac:dyDescent="0.3">
      <c r="N1142" s="1" t="str">
        <f t="shared" si="61"/>
        <v/>
      </c>
      <c r="O1142" s="1" t="str">
        <f t="shared" si="62"/>
        <v/>
      </c>
      <c r="P1142" s="1" t="str">
        <f t="shared" si="63"/>
        <v/>
      </c>
    </row>
    <row r="1143" spans="14:16" x14ac:dyDescent="0.3">
      <c r="N1143" s="1" t="str">
        <f t="shared" si="61"/>
        <v/>
      </c>
      <c r="O1143" s="1" t="str">
        <f t="shared" si="62"/>
        <v/>
      </c>
      <c r="P1143" s="1" t="str">
        <f t="shared" si="63"/>
        <v/>
      </c>
    </row>
    <row r="1144" spans="14:16" x14ac:dyDescent="0.3">
      <c r="N1144" s="1" t="str">
        <f t="shared" si="61"/>
        <v/>
      </c>
      <c r="O1144" s="1" t="str">
        <f t="shared" si="62"/>
        <v/>
      </c>
      <c r="P1144" s="1" t="str">
        <f t="shared" si="63"/>
        <v/>
      </c>
    </row>
    <row r="1145" spans="14:16" x14ac:dyDescent="0.3">
      <c r="N1145" s="1" t="str">
        <f t="shared" si="61"/>
        <v/>
      </c>
      <c r="O1145" s="1" t="str">
        <f t="shared" si="62"/>
        <v/>
      </c>
      <c r="P1145" s="1" t="str">
        <f t="shared" si="63"/>
        <v/>
      </c>
    </row>
    <row r="1146" spans="14:16" x14ac:dyDescent="0.3">
      <c r="N1146" s="1" t="str">
        <f t="shared" si="61"/>
        <v/>
      </c>
      <c r="O1146" s="1" t="str">
        <f t="shared" si="62"/>
        <v/>
      </c>
      <c r="P1146" s="1" t="str">
        <f t="shared" si="63"/>
        <v/>
      </c>
    </row>
    <row r="1147" spans="14:16" x14ac:dyDescent="0.3">
      <c r="N1147" s="1" t="str">
        <f t="shared" si="61"/>
        <v/>
      </c>
      <c r="O1147" s="1" t="str">
        <f t="shared" si="62"/>
        <v/>
      </c>
      <c r="P1147" s="1" t="str">
        <f t="shared" si="63"/>
        <v/>
      </c>
    </row>
    <row r="1148" spans="14:16" x14ac:dyDescent="0.3">
      <c r="N1148" s="1" t="str">
        <f t="shared" si="61"/>
        <v/>
      </c>
      <c r="O1148" s="1" t="str">
        <f t="shared" si="62"/>
        <v/>
      </c>
      <c r="P1148" s="1" t="str">
        <f t="shared" si="63"/>
        <v/>
      </c>
    </row>
    <row r="1149" spans="14:16" x14ac:dyDescent="0.3">
      <c r="N1149" s="1" t="str">
        <f t="shared" si="61"/>
        <v/>
      </c>
      <c r="O1149" s="1" t="str">
        <f t="shared" si="62"/>
        <v/>
      </c>
      <c r="P1149" s="1" t="str">
        <f t="shared" si="63"/>
        <v/>
      </c>
    </row>
    <row r="1150" spans="14:16" x14ac:dyDescent="0.3">
      <c r="N1150" s="1" t="str">
        <f t="shared" si="61"/>
        <v/>
      </c>
      <c r="O1150" s="1" t="str">
        <f t="shared" si="62"/>
        <v/>
      </c>
      <c r="P1150" s="1" t="str">
        <f t="shared" si="63"/>
        <v/>
      </c>
    </row>
    <row r="1151" spans="14:16" x14ac:dyDescent="0.3">
      <c r="N1151" s="1" t="str">
        <f t="shared" si="61"/>
        <v/>
      </c>
      <c r="O1151" s="1" t="str">
        <f t="shared" si="62"/>
        <v/>
      </c>
      <c r="P1151" s="1" t="str">
        <f t="shared" si="63"/>
        <v/>
      </c>
    </row>
    <row r="1152" spans="14:16" x14ac:dyDescent="0.3">
      <c r="N1152" s="1" t="str">
        <f t="shared" si="61"/>
        <v/>
      </c>
      <c r="O1152" s="1" t="str">
        <f t="shared" si="62"/>
        <v/>
      </c>
      <c r="P1152" s="1" t="str">
        <f t="shared" si="63"/>
        <v/>
      </c>
    </row>
    <row r="1153" spans="14:16" x14ac:dyDescent="0.3">
      <c r="N1153" s="1" t="str">
        <f t="shared" si="61"/>
        <v/>
      </c>
      <c r="O1153" s="1" t="str">
        <f t="shared" si="62"/>
        <v/>
      </c>
      <c r="P1153" s="1" t="str">
        <f t="shared" si="63"/>
        <v/>
      </c>
    </row>
    <row r="1154" spans="14:16" x14ac:dyDescent="0.3">
      <c r="N1154" s="1" t="str">
        <f t="shared" si="61"/>
        <v/>
      </c>
      <c r="O1154" s="1" t="str">
        <f t="shared" si="62"/>
        <v/>
      </c>
      <c r="P1154" s="1" t="str">
        <f t="shared" si="63"/>
        <v/>
      </c>
    </row>
    <row r="1155" spans="14:16" x14ac:dyDescent="0.3">
      <c r="N1155" s="1" t="str">
        <f t="shared" si="61"/>
        <v/>
      </c>
      <c r="O1155" s="1" t="str">
        <f t="shared" si="62"/>
        <v/>
      </c>
      <c r="P1155" s="1" t="str">
        <f t="shared" si="63"/>
        <v/>
      </c>
    </row>
    <row r="1156" spans="14:16" x14ac:dyDescent="0.3">
      <c r="N1156" s="1" t="str">
        <f t="shared" si="61"/>
        <v/>
      </c>
      <c r="O1156" s="1" t="str">
        <f t="shared" si="62"/>
        <v/>
      </c>
      <c r="P1156" s="1" t="str">
        <f t="shared" si="63"/>
        <v/>
      </c>
    </row>
    <row r="1157" spans="14:16" x14ac:dyDescent="0.3">
      <c r="N1157" s="1" t="str">
        <f t="shared" si="61"/>
        <v/>
      </c>
      <c r="O1157" s="1" t="str">
        <f t="shared" si="62"/>
        <v/>
      </c>
      <c r="P1157" s="1" t="str">
        <f t="shared" si="63"/>
        <v/>
      </c>
    </row>
    <row r="1158" spans="14:16" x14ac:dyDescent="0.3">
      <c r="N1158" s="1" t="str">
        <f t="shared" si="61"/>
        <v/>
      </c>
      <c r="O1158" s="1" t="str">
        <f t="shared" si="62"/>
        <v/>
      </c>
      <c r="P1158" s="1" t="str">
        <f t="shared" si="63"/>
        <v/>
      </c>
    </row>
    <row r="1159" spans="14:16" x14ac:dyDescent="0.3">
      <c r="N1159" s="1" t="str">
        <f t="shared" si="61"/>
        <v/>
      </c>
      <c r="O1159" s="1" t="str">
        <f t="shared" si="62"/>
        <v/>
      </c>
      <c r="P1159" s="1" t="str">
        <f t="shared" si="63"/>
        <v/>
      </c>
    </row>
    <row r="1160" spans="14:16" x14ac:dyDescent="0.3">
      <c r="N1160" s="1" t="str">
        <f t="shared" si="61"/>
        <v/>
      </c>
      <c r="O1160" s="1" t="str">
        <f t="shared" si="62"/>
        <v/>
      </c>
      <c r="P1160" s="1" t="str">
        <f t="shared" si="63"/>
        <v/>
      </c>
    </row>
    <row r="1161" spans="14:16" x14ac:dyDescent="0.3">
      <c r="N1161" s="1" t="str">
        <f t="shared" si="61"/>
        <v/>
      </c>
      <c r="O1161" s="1" t="str">
        <f t="shared" si="62"/>
        <v/>
      </c>
      <c r="P1161" s="1" t="str">
        <f t="shared" si="63"/>
        <v/>
      </c>
    </row>
    <row r="1162" spans="14:16" x14ac:dyDescent="0.3">
      <c r="N1162" s="1" t="str">
        <f t="shared" si="61"/>
        <v/>
      </c>
      <c r="O1162" s="1" t="str">
        <f t="shared" si="62"/>
        <v/>
      </c>
      <c r="P1162" s="1" t="str">
        <f t="shared" si="63"/>
        <v/>
      </c>
    </row>
    <row r="1163" spans="14:16" x14ac:dyDescent="0.3">
      <c r="N1163" s="1" t="str">
        <f t="shared" si="61"/>
        <v/>
      </c>
      <c r="O1163" s="1" t="str">
        <f t="shared" si="62"/>
        <v/>
      </c>
      <c r="P1163" s="1" t="str">
        <f t="shared" si="63"/>
        <v/>
      </c>
    </row>
    <row r="1164" spans="14:16" x14ac:dyDescent="0.3">
      <c r="N1164" s="1" t="str">
        <f t="shared" si="61"/>
        <v/>
      </c>
      <c r="O1164" s="1" t="str">
        <f t="shared" si="62"/>
        <v/>
      </c>
      <c r="P1164" s="1" t="str">
        <f t="shared" si="63"/>
        <v/>
      </c>
    </row>
    <row r="1165" spans="14:16" x14ac:dyDescent="0.3">
      <c r="N1165" s="1" t="str">
        <f t="shared" si="61"/>
        <v/>
      </c>
      <c r="O1165" s="1" t="str">
        <f t="shared" si="62"/>
        <v/>
      </c>
      <c r="P1165" s="1" t="str">
        <f t="shared" si="63"/>
        <v/>
      </c>
    </row>
    <row r="1166" spans="14:16" x14ac:dyDescent="0.3">
      <c r="N1166" s="1" t="str">
        <f t="shared" si="61"/>
        <v/>
      </c>
      <c r="O1166" s="1" t="str">
        <f t="shared" si="62"/>
        <v/>
      </c>
      <c r="P1166" s="1" t="str">
        <f t="shared" si="63"/>
        <v/>
      </c>
    </row>
    <row r="1167" spans="14:16" x14ac:dyDescent="0.3">
      <c r="N1167" s="1" t="str">
        <f t="shared" si="61"/>
        <v/>
      </c>
      <c r="O1167" s="1" t="str">
        <f t="shared" si="62"/>
        <v/>
      </c>
      <c r="P1167" s="1" t="str">
        <f t="shared" si="63"/>
        <v/>
      </c>
    </row>
    <row r="1168" spans="14:16" x14ac:dyDescent="0.3">
      <c r="N1168" s="1" t="str">
        <f t="shared" si="61"/>
        <v/>
      </c>
      <c r="O1168" s="1" t="str">
        <f t="shared" si="62"/>
        <v/>
      </c>
      <c r="P1168" s="1" t="str">
        <f t="shared" si="63"/>
        <v/>
      </c>
    </row>
    <row r="1169" spans="14:16" x14ac:dyDescent="0.3">
      <c r="N1169" s="1" t="str">
        <f t="shared" si="61"/>
        <v/>
      </c>
      <c r="O1169" s="1" t="str">
        <f t="shared" si="62"/>
        <v/>
      </c>
      <c r="P1169" s="1" t="str">
        <f t="shared" si="63"/>
        <v/>
      </c>
    </row>
    <row r="1170" spans="14:16" x14ac:dyDescent="0.3">
      <c r="N1170" s="1" t="str">
        <f t="shared" si="61"/>
        <v/>
      </c>
      <c r="O1170" s="1" t="str">
        <f t="shared" si="62"/>
        <v/>
      </c>
      <c r="P1170" s="1" t="str">
        <f t="shared" si="63"/>
        <v/>
      </c>
    </row>
    <row r="1171" spans="14:16" x14ac:dyDescent="0.3">
      <c r="N1171" s="1" t="str">
        <f t="shared" si="61"/>
        <v/>
      </c>
      <c r="O1171" s="1" t="str">
        <f t="shared" si="62"/>
        <v/>
      </c>
      <c r="P1171" s="1" t="str">
        <f t="shared" si="63"/>
        <v/>
      </c>
    </row>
    <row r="1172" spans="14:16" x14ac:dyDescent="0.3">
      <c r="N1172" s="1" t="str">
        <f t="shared" si="61"/>
        <v/>
      </c>
      <c r="O1172" s="1" t="str">
        <f t="shared" si="62"/>
        <v/>
      </c>
      <c r="P1172" s="1" t="str">
        <f t="shared" si="63"/>
        <v/>
      </c>
    </row>
    <row r="1173" spans="14:16" x14ac:dyDescent="0.3">
      <c r="N1173" s="1" t="str">
        <f t="shared" si="61"/>
        <v/>
      </c>
      <c r="O1173" s="1" t="str">
        <f t="shared" si="62"/>
        <v/>
      </c>
      <c r="P1173" s="1" t="str">
        <f t="shared" si="63"/>
        <v/>
      </c>
    </row>
    <row r="1174" spans="14:16" x14ac:dyDescent="0.3">
      <c r="N1174" s="1" t="str">
        <f t="shared" si="61"/>
        <v/>
      </c>
      <c r="O1174" s="1" t="str">
        <f t="shared" si="62"/>
        <v/>
      </c>
      <c r="P1174" s="1" t="str">
        <f t="shared" si="63"/>
        <v/>
      </c>
    </row>
    <row r="1175" spans="14:16" x14ac:dyDescent="0.3">
      <c r="N1175" s="1" t="str">
        <f t="shared" si="61"/>
        <v/>
      </c>
      <c r="O1175" s="1" t="str">
        <f t="shared" si="62"/>
        <v/>
      </c>
      <c r="P1175" s="1" t="str">
        <f t="shared" si="63"/>
        <v/>
      </c>
    </row>
    <row r="1176" spans="14:16" x14ac:dyDescent="0.3">
      <c r="N1176" s="1" t="str">
        <f t="shared" si="61"/>
        <v/>
      </c>
      <c r="O1176" s="1" t="str">
        <f t="shared" si="62"/>
        <v/>
      </c>
      <c r="P1176" s="1" t="str">
        <f t="shared" si="63"/>
        <v/>
      </c>
    </row>
    <row r="1177" spans="14:16" x14ac:dyDescent="0.3">
      <c r="N1177" s="1" t="str">
        <f t="shared" si="61"/>
        <v/>
      </c>
      <c r="O1177" s="1" t="str">
        <f t="shared" si="62"/>
        <v/>
      </c>
      <c r="P1177" s="1" t="str">
        <f t="shared" si="63"/>
        <v/>
      </c>
    </row>
    <row r="1178" spans="14:16" x14ac:dyDescent="0.3">
      <c r="N1178" s="1" t="str">
        <f t="shared" si="61"/>
        <v/>
      </c>
      <c r="O1178" s="1" t="str">
        <f t="shared" si="62"/>
        <v/>
      </c>
      <c r="P1178" s="1" t="str">
        <f t="shared" si="63"/>
        <v/>
      </c>
    </row>
    <row r="1179" spans="14:16" x14ac:dyDescent="0.3">
      <c r="N1179" s="1" t="str">
        <f t="shared" si="61"/>
        <v/>
      </c>
      <c r="O1179" s="1" t="str">
        <f t="shared" si="62"/>
        <v/>
      </c>
      <c r="P1179" s="1" t="str">
        <f t="shared" si="63"/>
        <v/>
      </c>
    </row>
    <row r="1180" spans="14:16" x14ac:dyDescent="0.3">
      <c r="N1180" s="1" t="str">
        <f t="shared" si="61"/>
        <v/>
      </c>
      <c r="O1180" s="1" t="str">
        <f t="shared" si="62"/>
        <v/>
      </c>
      <c r="P1180" s="1" t="str">
        <f t="shared" si="63"/>
        <v/>
      </c>
    </row>
    <row r="1181" spans="14:16" x14ac:dyDescent="0.3">
      <c r="N1181" s="1" t="str">
        <f t="shared" si="61"/>
        <v/>
      </c>
      <c r="O1181" s="1" t="str">
        <f t="shared" si="62"/>
        <v/>
      </c>
      <c r="P1181" s="1" t="str">
        <f t="shared" si="63"/>
        <v/>
      </c>
    </row>
    <row r="1182" spans="14:16" x14ac:dyDescent="0.3">
      <c r="N1182" s="1" t="str">
        <f t="shared" si="61"/>
        <v/>
      </c>
      <c r="O1182" s="1" t="str">
        <f t="shared" si="62"/>
        <v/>
      </c>
      <c r="P1182" s="1" t="str">
        <f t="shared" si="63"/>
        <v/>
      </c>
    </row>
    <row r="1183" spans="14:16" x14ac:dyDescent="0.3">
      <c r="N1183" s="1" t="str">
        <f t="shared" si="61"/>
        <v/>
      </c>
      <c r="O1183" s="1" t="str">
        <f t="shared" si="62"/>
        <v/>
      </c>
      <c r="P1183" s="1" t="str">
        <f t="shared" si="63"/>
        <v/>
      </c>
    </row>
    <row r="1184" spans="14:16" x14ac:dyDescent="0.3">
      <c r="N1184" s="1" t="str">
        <f t="shared" si="61"/>
        <v/>
      </c>
      <c r="O1184" s="1" t="str">
        <f t="shared" si="62"/>
        <v/>
      </c>
      <c r="P1184" s="1" t="str">
        <f t="shared" si="63"/>
        <v/>
      </c>
    </row>
    <row r="1185" spans="14:16" x14ac:dyDescent="0.3">
      <c r="N1185" s="1" t="str">
        <f t="shared" si="61"/>
        <v/>
      </c>
      <c r="O1185" s="1" t="str">
        <f t="shared" si="62"/>
        <v/>
      </c>
      <c r="P1185" s="1" t="str">
        <f t="shared" si="63"/>
        <v/>
      </c>
    </row>
    <row r="1186" spans="14:16" x14ac:dyDescent="0.3">
      <c r="N1186" s="1" t="str">
        <f t="shared" si="61"/>
        <v/>
      </c>
      <c r="O1186" s="1" t="str">
        <f t="shared" si="62"/>
        <v/>
      </c>
      <c r="P1186" s="1" t="str">
        <f t="shared" si="63"/>
        <v/>
      </c>
    </row>
    <row r="1187" spans="14:16" x14ac:dyDescent="0.3">
      <c r="N1187" s="1" t="str">
        <f t="shared" si="61"/>
        <v/>
      </c>
      <c r="O1187" s="1" t="str">
        <f t="shared" si="62"/>
        <v/>
      </c>
      <c r="P1187" s="1" t="str">
        <f t="shared" si="63"/>
        <v/>
      </c>
    </row>
    <row r="1188" spans="14:16" x14ac:dyDescent="0.3">
      <c r="N1188" s="1" t="str">
        <f t="shared" si="61"/>
        <v/>
      </c>
      <c r="O1188" s="1" t="str">
        <f t="shared" si="62"/>
        <v/>
      </c>
      <c r="P1188" s="1" t="str">
        <f t="shared" si="63"/>
        <v/>
      </c>
    </row>
    <row r="1189" spans="14:16" x14ac:dyDescent="0.3">
      <c r="N1189" s="1" t="str">
        <f t="shared" si="61"/>
        <v/>
      </c>
      <c r="O1189" s="1" t="str">
        <f t="shared" si="62"/>
        <v/>
      </c>
      <c r="P1189" s="1" t="str">
        <f t="shared" si="63"/>
        <v/>
      </c>
    </row>
    <row r="1190" spans="14:16" x14ac:dyDescent="0.3">
      <c r="N1190" s="1" t="str">
        <f t="shared" si="61"/>
        <v/>
      </c>
      <c r="O1190" s="1" t="str">
        <f t="shared" si="62"/>
        <v/>
      </c>
      <c r="P1190" s="1" t="str">
        <f t="shared" si="63"/>
        <v/>
      </c>
    </row>
    <row r="1191" spans="14:16" x14ac:dyDescent="0.3">
      <c r="N1191" s="1" t="str">
        <f t="shared" si="61"/>
        <v/>
      </c>
      <c r="O1191" s="1" t="str">
        <f t="shared" si="62"/>
        <v/>
      </c>
      <c r="P1191" s="1" t="str">
        <f t="shared" si="63"/>
        <v/>
      </c>
    </row>
    <row r="1192" spans="14:16" x14ac:dyDescent="0.3">
      <c r="N1192" s="1" t="str">
        <f t="shared" si="61"/>
        <v/>
      </c>
      <c r="O1192" s="1" t="str">
        <f t="shared" si="62"/>
        <v/>
      </c>
      <c r="P1192" s="1" t="str">
        <f t="shared" si="63"/>
        <v/>
      </c>
    </row>
    <row r="1193" spans="14:16" x14ac:dyDescent="0.3">
      <c r="N1193" s="1" t="str">
        <f t="shared" si="61"/>
        <v/>
      </c>
      <c r="O1193" s="1" t="str">
        <f t="shared" si="62"/>
        <v/>
      </c>
      <c r="P1193" s="1" t="str">
        <f t="shared" si="63"/>
        <v/>
      </c>
    </row>
    <row r="1194" spans="14:16" x14ac:dyDescent="0.3">
      <c r="N1194" s="1" t="str">
        <f t="shared" si="61"/>
        <v/>
      </c>
      <c r="O1194" s="1" t="str">
        <f t="shared" si="62"/>
        <v/>
      </c>
      <c r="P1194" s="1" t="str">
        <f t="shared" si="63"/>
        <v/>
      </c>
    </row>
    <row r="1195" spans="14:16" x14ac:dyDescent="0.3">
      <c r="N1195" s="1" t="str">
        <f t="shared" si="61"/>
        <v/>
      </c>
      <c r="O1195" s="1" t="str">
        <f t="shared" si="62"/>
        <v/>
      </c>
      <c r="P1195" s="1" t="str">
        <f t="shared" si="63"/>
        <v/>
      </c>
    </row>
    <row r="1196" spans="14:16" x14ac:dyDescent="0.3">
      <c r="N1196" s="1" t="str">
        <f t="shared" si="61"/>
        <v/>
      </c>
      <c r="O1196" s="1" t="str">
        <f t="shared" si="62"/>
        <v/>
      </c>
      <c r="P1196" s="1" t="str">
        <f t="shared" si="63"/>
        <v/>
      </c>
    </row>
    <row r="1197" spans="14:16" x14ac:dyDescent="0.3">
      <c r="N1197" s="1" t="str">
        <f t="shared" si="61"/>
        <v/>
      </c>
      <c r="O1197" s="1" t="str">
        <f t="shared" si="62"/>
        <v/>
      </c>
      <c r="P1197" s="1" t="str">
        <f t="shared" si="63"/>
        <v/>
      </c>
    </row>
    <row r="1198" spans="14:16" x14ac:dyDescent="0.3">
      <c r="N1198" s="1" t="str">
        <f t="shared" si="61"/>
        <v/>
      </c>
      <c r="O1198" s="1" t="str">
        <f t="shared" si="62"/>
        <v/>
      </c>
      <c r="P1198" s="1" t="str">
        <f t="shared" si="63"/>
        <v/>
      </c>
    </row>
    <row r="1199" spans="14:16" x14ac:dyDescent="0.3">
      <c r="N1199" s="1" t="str">
        <f t="shared" si="61"/>
        <v/>
      </c>
      <c r="O1199" s="1" t="str">
        <f t="shared" si="62"/>
        <v/>
      </c>
      <c r="P1199" s="1" t="str">
        <f t="shared" si="63"/>
        <v/>
      </c>
    </row>
    <row r="1200" spans="14:16" x14ac:dyDescent="0.3">
      <c r="N1200" s="1" t="str">
        <f t="shared" ref="N1200:N1263" si="64">IF(LEN($C1200)&gt;0,H1200-E1200,"")</f>
        <v/>
      </c>
      <c r="O1200" s="1" t="str">
        <f t="shared" ref="O1200:O1263" si="65">IF(LEN($C1200)&gt;0,I1200-F1200,"")</f>
        <v/>
      </c>
      <c r="P1200" s="1" t="str">
        <f t="shared" ref="P1200:P1263" si="66">IF(LEN($C1200)&gt;0,J1200-G1200,"")</f>
        <v/>
      </c>
    </row>
    <row r="1201" spans="14:16" x14ac:dyDescent="0.3">
      <c r="N1201" s="1" t="str">
        <f t="shared" si="64"/>
        <v/>
      </c>
      <c r="O1201" s="1" t="str">
        <f t="shared" si="65"/>
        <v/>
      </c>
      <c r="P1201" s="1" t="str">
        <f t="shared" si="66"/>
        <v/>
      </c>
    </row>
    <row r="1202" spans="14:16" x14ac:dyDescent="0.3">
      <c r="N1202" s="1" t="str">
        <f t="shared" si="64"/>
        <v/>
      </c>
      <c r="O1202" s="1" t="str">
        <f t="shared" si="65"/>
        <v/>
      </c>
      <c r="P1202" s="1" t="str">
        <f t="shared" si="66"/>
        <v/>
      </c>
    </row>
    <row r="1203" spans="14:16" x14ac:dyDescent="0.3">
      <c r="N1203" s="1" t="str">
        <f t="shared" si="64"/>
        <v/>
      </c>
      <c r="O1203" s="1" t="str">
        <f t="shared" si="65"/>
        <v/>
      </c>
      <c r="P1203" s="1" t="str">
        <f t="shared" si="66"/>
        <v/>
      </c>
    </row>
    <row r="1204" spans="14:16" x14ac:dyDescent="0.3">
      <c r="N1204" s="1" t="str">
        <f t="shared" si="64"/>
        <v/>
      </c>
      <c r="O1204" s="1" t="str">
        <f t="shared" si="65"/>
        <v/>
      </c>
      <c r="P1204" s="1" t="str">
        <f t="shared" si="66"/>
        <v/>
      </c>
    </row>
    <row r="1205" spans="14:16" x14ac:dyDescent="0.3">
      <c r="N1205" s="1" t="str">
        <f t="shared" si="64"/>
        <v/>
      </c>
      <c r="O1205" s="1" t="str">
        <f t="shared" si="65"/>
        <v/>
      </c>
      <c r="P1205" s="1" t="str">
        <f t="shared" si="66"/>
        <v/>
      </c>
    </row>
    <row r="1206" spans="14:16" x14ac:dyDescent="0.3">
      <c r="N1206" s="1" t="str">
        <f t="shared" si="64"/>
        <v/>
      </c>
      <c r="O1206" s="1" t="str">
        <f t="shared" si="65"/>
        <v/>
      </c>
      <c r="P1206" s="1" t="str">
        <f t="shared" si="66"/>
        <v/>
      </c>
    </row>
    <row r="1207" spans="14:16" x14ac:dyDescent="0.3">
      <c r="N1207" s="1" t="str">
        <f t="shared" si="64"/>
        <v/>
      </c>
      <c r="O1207" s="1" t="str">
        <f t="shared" si="65"/>
        <v/>
      </c>
      <c r="P1207" s="1" t="str">
        <f t="shared" si="66"/>
        <v/>
      </c>
    </row>
    <row r="1208" spans="14:16" x14ac:dyDescent="0.3">
      <c r="N1208" s="1" t="str">
        <f t="shared" si="64"/>
        <v/>
      </c>
      <c r="O1208" s="1" t="str">
        <f t="shared" si="65"/>
        <v/>
      </c>
      <c r="P1208" s="1" t="str">
        <f t="shared" si="66"/>
        <v/>
      </c>
    </row>
    <row r="1209" spans="14:16" x14ac:dyDescent="0.3">
      <c r="N1209" s="1" t="str">
        <f t="shared" si="64"/>
        <v/>
      </c>
      <c r="O1209" s="1" t="str">
        <f t="shared" si="65"/>
        <v/>
      </c>
      <c r="P1209" s="1" t="str">
        <f t="shared" si="66"/>
        <v/>
      </c>
    </row>
    <row r="1210" spans="14:16" x14ac:dyDescent="0.3">
      <c r="N1210" s="1" t="str">
        <f t="shared" si="64"/>
        <v/>
      </c>
      <c r="O1210" s="1" t="str">
        <f t="shared" si="65"/>
        <v/>
      </c>
      <c r="P1210" s="1" t="str">
        <f t="shared" si="66"/>
        <v/>
      </c>
    </row>
    <row r="1211" spans="14:16" x14ac:dyDescent="0.3">
      <c r="N1211" s="1" t="str">
        <f t="shared" si="64"/>
        <v/>
      </c>
      <c r="O1211" s="1" t="str">
        <f t="shared" si="65"/>
        <v/>
      </c>
      <c r="P1211" s="1" t="str">
        <f t="shared" si="66"/>
        <v/>
      </c>
    </row>
    <row r="1212" spans="14:16" x14ac:dyDescent="0.3">
      <c r="N1212" s="1" t="str">
        <f t="shared" si="64"/>
        <v/>
      </c>
      <c r="O1212" s="1" t="str">
        <f t="shared" si="65"/>
        <v/>
      </c>
      <c r="P1212" s="1" t="str">
        <f t="shared" si="66"/>
        <v/>
      </c>
    </row>
    <row r="1213" spans="14:16" x14ac:dyDescent="0.3">
      <c r="N1213" s="1" t="str">
        <f t="shared" si="64"/>
        <v/>
      </c>
      <c r="O1213" s="1" t="str">
        <f t="shared" si="65"/>
        <v/>
      </c>
      <c r="P1213" s="1" t="str">
        <f t="shared" si="66"/>
        <v/>
      </c>
    </row>
    <row r="1214" spans="14:16" x14ac:dyDescent="0.3">
      <c r="N1214" s="1" t="str">
        <f t="shared" si="64"/>
        <v/>
      </c>
      <c r="O1214" s="1" t="str">
        <f t="shared" si="65"/>
        <v/>
      </c>
      <c r="P1214" s="1" t="str">
        <f t="shared" si="66"/>
        <v/>
      </c>
    </row>
    <row r="1215" spans="14:16" x14ac:dyDescent="0.3">
      <c r="N1215" s="1" t="str">
        <f t="shared" si="64"/>
        <v/>
      </c>
      <c r="O1215" s="1" t="str">
        <f t="shared" si="65"/>
        <v/>
      </c>
      <c r="P1215" s="1" t="str">
        <f t="shared" si="66"/>
        <v/>
      </c>
    </row>
    <row r="1216" spans="14:16" x14ac:dyDescent="0.3">
      <c r="N1216" s="1" t="str">
        <f t="shared" si="64"/>
        <v/>
      </c>
      <c r="O1216" s="1" t="str">
        <f t="shared" si="65"/>
        <v/>
      </c>
      <c r="P1216" s="1" t="str">
        <f t="shared" si="66"/>
        <v/>
      </c>
    </row>
    <row r="1217" spans="14:16" x14ac:dyDescent="0.3">
      <c r="N1217" s="1" t="str">
        <f t="shared" si="64"/>
        <v/>
      </c>
      <c r="O1217" s="1" t="str">
        <f t="shared" si="65"/>
        <v/>
      </c>
      <c r="P1217" s="1" t="str">
        <f t="shared" si="66"/>
        <v/>
      </c>
    </row>
    <row r="1218" spans="14:16" x14ac:dyDescent="0.3">
      <c r="N1218" s="1" t="str">
        <f t="shared" si="64"/>
        <v/>
      </c>
      <c r="O1218" s="1" t="str">
        <f t="shared" si="65"/>
        <v/>
      </c>
      <c r="P1218" s="1" t="str">
        <f t="shared" si="66"/>
        <v/>
      </c>
    </row>
    <row r="1219" spans="14:16" x14ac:dyDescent="0.3">
      <c r="N1219" s="1" t="str">
        <f t="shared" si="64"/>
        <v/>
      </c>
      <c r="O1219" s="1" t="str">
        <f t="shared" si="65"/>
        <v/>
      </c>
      <c r="P1219" s="1" t="str">
        <f t="shared" si="66"/>
        <v/>
      </c>
    </row>
    <row r="1220" spans="14:16" x14ac:dyDescent="0.3">
      <c r="N1220" s="1" t="str">
        <f t="shared" si="64"/>
        <v/>
      </c>
      <c r="O1220" s="1" t="str">
        <f t="shared" si="65"/>
        <v/>
      </c>
      <c r="P1220" s="1" t="str">
        <f t="shared" si="66"/>
        <v/>
      </c>
    </row>
    <row r="1221" spans="14:16" x14ac:dyDescent="0.3">
      <c r="N1221" s="1" t="str">
        <f t="shared" si="64"/>
        <v/>
      </c>
      <c r="O1221" s="1" t="str">
        <f t="shared" si="65"/>
        <v/>
      </c>
      <c r="P1221" s="1" t="str">
        <f t="shared" si="66"/>
        <v/>
      </c>
    </row>
    <row r="1222" spans="14:16" x14ac:dyDescent="0.3">
      <c r="N1222" s="1" t="str">
        <f t="shared" si="64"/>
        <v/>
      </c>
      <c r="O1222" s="1" t="str">
        <f t="shared" si="65"/>
        <v/>
      </c>
      <c r="P1222" s="1" t="str">
        <f t="shared" si="66"/>
        <v/>
      </c>
    </row>
    <row r="1223" spans="14:16" x14ac:dyDescent="0.3">
      <c r="N1223" s="1" t="str">
        <f t="shared" si="64"/>
        <v/>
      </c>
      <c r="O1223" s="1" t="str">
        <f t="shared" si="65"/>
        <v/>
      </c>
      <c r="P1223" s="1" t="str">
        <f t="shared" si="66"/>
        <v/>
      </c>
    </row>
    <row r="1224" spans="14:16" x14ac:dyDescent="0.3">
      <c r="N1224" s="1" t="str">
        <f t="shared" si="64"/>
        <v/>
      </c>
      <c r="O1224" s="1" t="str">
        <f t="shared" si="65"/>
        <v/>
      </c>
      <c r="P1224" s="1" t="str">
        <f t="shared" si="66"/>
        <v/>
      </c>
    </row>
    <row r="1225" spans="14:16" x14ac:dyDescent="0.3">
      <c r="N1225" s="1" t="str">
        <f t="shared" si="64"/>
        <v/>
      </c>
      <c r="O1225" s="1" t="str">
        <f t="shared" si="65"/>
        <v/>
      </c>
      <c r="P1225" s="1" t="str">
        <f t="shared" si="66"/>
        <v/>
      </c>
    </row>
    <row r="1226" spans="14:16" x14ac:dyDescent="0.3">
      <c r="N1226" s="1" t="str">
        <f t="shared" si="64"/>
        <v/>
      </c>
      <c r="O1226" s="1" t="str">
        <f t="shared" si="65"/>
        <v/>
      </c>
      <c r="P1226" s="1" t="str">
        <f t="shared" si="66"/>
        <v/>
      </c>
    </row>
    <row r="1227" spans="14:16" x14ac:dyDescent="0.3">
      <c r="N1227" s="1" t="str">
        <f t="shared" si="64"/>
        <v/>
      </c>
      <c r="O1227" s="1" t="str">
        <f t="shared" si="65"/>
        <v/>
      </c>
      <c r="P1227" s="1" t="str">
        <f t="shared" si="66"/>
        <v/>
      </c>
    </row>
    <row r="1228" spans="14:16" x14ac:dyDescent="0.3">
      <c r="N1228" s="1" t="str">
        <f t="shared" si="64"/>
        <v/>
      </c>
      <c r="O1228" s="1" t="str">
        <f t="shared" si="65"/>
        <v/>
      </c>
      <c r="P1228" s="1" t="str">
        <f t="shared" si="66"/>
        <v/>
      </c>
    </row>
    <row r="1229" spans="14:16" x14ac:dyDescent="0.3">
      <c r="N1229" s="1" t="str">
        <f t="shared" si="64"/>
        <v/>
      </c>
      <c r="O1229" s="1" t="str">
        <f t="shared" si="65"/>
        <v/>
      </c>
      <c r="P1229" s="1" t="str">
        <f t="shared" si="66"/>
        <v/>
      </c>
    </row>
    <row r="1230" spans="14:16" x14ac:dyDescent="0.3">
      <c r="N1230" s="1" t="str">
        <f t="shared" si="64"/>
        <v/>
      </c>
      <c r="O1230" s="1" t="str">
        <f t="shared" si="65"/>
        <v/>
      </c>
      <c r="P1230" s="1" t="str">
        <f t="shared" si="66"/>
        <v/>
      </c>
    </row>
    <row r="1231" spans="14:16" x14ac:dyDescent="0.3">
      <c r="N1231" s="1" t="str">
        <f t="shared" si="64"/>
        <v/>
      </c>
      <c r="O1231" s="1" t="str">
        <f t="shared" si="65"/>
        <v/>
      </c>
      <c r="P1231" s="1" t="str">
        <f t="shared" si="66"/>
        <v/>
      </c>
    </row>
    <row r="1232" spans="14:16" x14ac:dyDescent="0.3">
      <c r="N1232" s="1" t="str">
        <f t="shared" si="64"/>
        <v/>
      </c>
      <c r="O1232" s="1" t="str">
        <f t="shared" si="65"/>
        <v/>
      </c>
      <c r="P1232" s="1" t="str">
        <f t="shared" si="66"/>
        <v/>
      </c>
    </row>
    <row r="1233" spans="14:16" x14ac:dyDescent="0.3">
      <c r="N1233" s="1" t="str">
        <f t="shared" si="64"/>
        <v/>
      </c>
      <c r="O1233" s="1" t="str">
        <f t="shared" si="65"/>
        <v/>
      </c>
      <c r="P1233" s="1" t="str">
        <f t="shared" si="66"/>
        <v/>
      </c>
    </row>
    <row r="1234" spans="14:16" x14ac:dyDescent="0.3">
      <c r="N1234" s="1" t="str">
        <f t="shared" si="64"/>
        <v/>
      </c>
      <c r="O1234" s="1" t="str">
        <f t="shared" si="65"/>
        <v/>
      </c>
      <c r="P1234" s="1" t="str">
        <f t="shared" si="66"/>
        <v/>
      </c>
    </row>
    <row r="1235" spans="14:16" x14ac:dyDescent="0.3">
      <c r="N1235" s="1" t="str">
        <f t="shared" si="64"/>
        <v/>
      </c>
      <c r="O1235" s="1" t="str">
        <f t="shared" si="65"/>
        <v/>
      </c>
      <c r="P1235" s="1" t="str">
        <f t="shared" si="66"/>
        <v/>
      </c>
    </row>
    <row r="1236" spans="14:16" x14ac:dyDescent="0.3">
      <c r="N1236" s="1" t="str">
        <f t="shared" si="64"/>
        <v/>
      </c>
      <c r="O1236" s="1" t="str">
        <f t="shared" si="65"/>
        <v/>
      </c>
      <c r="P1236" s="1" t="str">
        <f t="shared" si="66"/>
        <v/>
      </c>
    </row>
    <row r="1237" spans="14:16" x14ac:dyDescent="0.3">
      <c r="N1237" s="1" t="str">
        <f t="shared" si="64"/>
        <v/>
      </c>
      <c r="O1237" s="1" t="str">
        <f t="shared" si="65"/>
        <v/>
      </c>
      <c r="P1237" s="1" t="str">
        <f t="shared" si="66"/>
        <v/>
      </c>
    </row>
    <row r="1238" spans="14:16" x14ac:dyDescent="0.3">
      <c r="N1238" s="1" t="str">
        <f t="shared" si="64"/>
        <v/>
      </c>
      <c r="O1238" s="1" t="str">
        <f t="shared" si="65"/>
        <v/>
      </c>
      <c r="P1238" s="1" t="str">
        <f t="shared" si="66"/>
        <v/>
      </c>
    </row>
    <row r="1239" spans="14:16" x14ac:dyDescent="0.3">
      <c r="N1239" s="1" t="str">
        <f t="shared" si="64"/>
        <v/>
      </c>
      <c r="O1239" s="1" t="str">
        <f t="shared" si="65"/>
        <v/>
      </c>
      <c r="P1239" s="1" t="str">
        <f t="shared" si="66"/>
        <v/>
      </c>
    </row>
    <row r="1240" spans="14:16" x14ac:dyDescent="0.3">
      <c r="N1240" s="1" t="str">
        <f t="shared" si="64"/>
        <v/>
      </c>
      <c r="O1240" s="1" t="str">
        <f t="shared" si="65"/>
        <v/>
      </c>
      <c r="P1240" s="1" t="str">
        <f t="shared" si="66"/>
        <v/>
      </c>
    </row>
    <row r="1241" spans="14:16" x14ac:dyDescent="0.3">
      <c r="N1241" s="1" t="str">
        <f t="shared" si="64"/>
        <v/>
      </c>
      <c r="O1241" s="1" t="str">
        <f t="shared" si="65"/>
        <v/>
      </c>
      <c r="P1241" s="1" t="str">
        <f t="shared" si="66"/>
        <v/>
      </c>
    </row>
    <row r="1242" spans="14:16" x14ac:dyDescent="0.3">
      <c r="N1242" s="1" t="str">
        <f t="shared" si="64"/>
        <v/>
      </c>
      <c r="O1242" s="1" t="str">
        <f t="shared" si="65"/>
        <v/>
      </c>
      <c r="P1242" s="1" t="str">
        <f t="shared" si="66"/>
        <v/>
      </c>
    </row>
    <row r="1243" spans="14:16" x14ac:dyDescent="0.3">
      <c r="N1243" s="1" t="str">
        <f t="shared" si="64"/>
        <v/>
      </c>
      <c r="O1243" s="1" t="str">
        <f t="shared" si="65"/>
        <v/>
      </c>
      <c r="P1243" s="1" t="str">
        <f t="shared" si="66"/>
        <v/>
      </c>
    </row>
    <row r="1244" spans="14:16" x14ac:dyDescent="0.3">
      <c r="N1244" s="1" t="str">
        <f t="shared" si="64"/>
        <v/>
      </c>
      <c r="O1244" s="1" t="str">
        <f t="shared" si="65"/>
        <v/>
      </c>
      <c r="P1244" s="1" t="str">
        <f t="shared" si="66"/>
        <v/>
      </c>
    </row>
    <row r="1245" spans="14:16" x14ac:dyDescent="0.3">
      <c r="N1245" s="1" t="str">
        <f t="shared" si="64"/>
        <v/>
      </c>
      <c r="O1245" s="1" t="str">
        <f t="shared" si="65"/>
        <v/>
      </c>
      <c r="P1245" s="1" t="str">
        <f t="shared" si="66"/>
        <v/>
      </c>
    </row>
    <row r="1246" spans="14:16" x14ac:dyDescent="0.3">
      <c r="N1246" s="1" t="str">
        <f t="shared" si="64"/>
        <v/>
      </c>
      <c r="O1246" s="1" t="str">
        <f t="shared" si="65"/>
        <v/>
      </c>
      <c r="P1246" s="1" t="str">
        <f t="shared" si="66"/>
        <v/>
      </c>
    </row>
    <row r="1247" spans="14:16" x14ac:dyDescent="0.3">
      <c r="N1247" s="1" t="str">
        <f t="shared" si="64"/>
        <v/>
      </c>
      <c r="O1247" s="1" t="str">
        <f t="shared" si="65"/>
        <v/>
      </c>
      <c r="P1247" s="1" t="str">
        <f t="shared" si="66"/>
        <v/>
      </c>
    </row>
    <row r="1248" spans="14:16" x14ac:dyDescent="0.3">
      <c r="N1248" s="1" t="str">
        <f t="shared" si="64"/>
        <v/>
      </c>
      <c r="O1248" s="1" t="str">
        <f t="shared" si="65"/>
        <v/>
      </c>
      <c r="P1248" s="1" t="str">
        <f t="shared" si="66"/>
        <v/>
      </c>
    </row>
    <row r="1249" spans="14:16" x14ac:dyDescent="0.3">
      <c r="N1249" s="1" t="str">
        <f t="shared" si="64"/>
        <v/>
      </c>
      <c r="O1249" s="1" t="str">
        <f t="shared" si="65"/>
        <v/>
      </c>
      <c r="P1249" s="1" t="str">
        <f t="shared" si="66"/>
        <v/>
      </c>
    </row>
    <row r="1250" spans="14:16" x14ac:dyDescent="0.3">
      <c r="N1250" s="1" t="str">
        <f t="shared" si="64"/>
        <v/>
      </c>
      <c r="O1250" s="1" t="str">
        <f t="shared" si="65"/>
        <v/>
      </c>
      <c r="P1250" s="1" t="str">
        <f t="shared" si="66"/>
        <v/>
      </c>
    </row>
    <row r="1251" spans="14:16" x14ac:dyDescent="0.3">
      <c r="N1251" s="1" t="str">
        <f t="shared" si="64"/>
        <v/>
      </c>
      <c r="O1251" s="1" t="str">
        <f t="shared" si="65"/>
        <v/>
      </c>
      <c r="P1251" s="1" t="str">
        <f t="shared" si="66"/>
        <v/>
      </c>
    </row>
    <row r="1252" spans="14:16" x14ac:dyDescent="0.3">
      <c r="N1252" s="1" t="str">
        <f t="shared" si="64"/>
        <v/>
      </c>
      <c r="O1252" s="1" t="str">
        <f t="shared" si="65"/>
        <v/>
      </c>
      <c r="P1252" s="1" t="str">
        <f t="shared" si="66"/>
        <v/>
      </c>
    </row>
    <row r="1253" spans="14:16" x14ac:dyDescent="0.3">
      <c r="N1253" s="1" t="str">
        <f t="shared" si="64"/>
        <v/>
      </c>
      <c r="O1253" s="1" t="str">
        <f t="shared" si="65"/>
        <v/>
      </c>
      <c r="P1253" s="1" t="str">
        <f t="shared" si="66"/>
        <v/>
      </c>
    </row>
    <row r="1254" spans="14:16" x14ac:dyDescent="0.3">
      <c r="N1254" s="1" t="str">
        <f t="shared" si="64"/>
        <v/>
      </c>
      <c r="O1254" s="1" t="str">
        <f t="shared" si="65"/>
        <v/>
      </c>
      <c r="P1254" s="1" t="str">
        <f t="shared" si="66"/>
        <v/>
      </c>
    </row>
    <row r="1255" spans="14:16" x14ac:dyDescent="0.3">
      <c r="N1255" s="1" t="str">
        <f t="shared" si="64"/>
        <v/>
      </c>
      <c r="O1255" s="1" t="str">
        <f t="shared" si="65"/>
        <v/>
      </c>
      <c r="P1255" s="1" t="str">
        <f t="shared" si="66"/>
        <v/>
      </c>
    </row>
    <row r="1256" spans="14:16" x14ac:dyDescent="0.3">
      <c r="N1256" s="1" t="str">
        <f t="shared" si="64"/>
        <v/>
      </c>
      <c r="O1256" s="1" t="str">
        <f t="shared" si="65"/>
        <v/>
      </c>
      <c r="P1256" s="1" t="str">
        <f t="shared" si="66"/>
        <v/>
      </c>
    </row>
    <row r="1257" spans="14:16" x14ac:dyDescent="0.3">
      <c r="N1257" s="1" t="str">
        <f t="shared" si="64"/>
        <v/>
      </c>
      <c r="O1257" s="1" t="str">
        <f t="shared" si="65"/>
        <v/>
      </c>
      <c r="P1257" s="1" t="str">
        <f t="shared" si="66"/>
        <v/>
      </c>
    </row>
    <row r="1258" spans="14:16" x14ac:dyDescent="0.3">
      <c r="N1258" s="1" t="str">
        <f t="shared" si="64"/>
        <v/>
      </c>
      <c r="O1258" s="1" t="str">
        <f t="shared" si="65"/>
        <v/>
      </c>
      <c r="P1258" s="1" t="str">
        <f t="shared" si="66"/>
        <v/>
      </c>
    </row>
    <row r="1259" spans="14:16" x14ac:dyDescent="0.3">
      <c r="N1259" s="1" t="str">
        <f t="shared" si="64"/>
        <v/>
      </c>
      <c r="O1259" s="1" t="str">
        <f t="shared" si="65"/>
        <v/>
      </c>
      <c r="P1259" s="1" t="str">
        <f t="shared" si="66"/>
        <v/>
      </c>
    </row>
    <row r="1260" spans="14:16" x14ac:dyDescent="0.3">
      <c r="N1260" s="1" t="str">
        <f t="shared" si="64"/>
        <v/>
      </c>
      <c r="O1260" s="1" t="str">
        <f t="shared" si="65"/>
        <v/>
      </c>
      <c r="P1260" s="1" t="str">
        <f t="shared" si="66"/>
        <v/>
      </c>
    </row>
    <row r="1261" spans="14:16" x14ac:dyDescent="0.3">
      <c r="N1261" s="1" t="str">
        <f t="shared" si="64"/>
        <v/>
      </c>
      <c r="O1261" s="1" t="str">
        <f t="shared" si="65"/>
        <v/>
      </c>
      <c r="P1261" s="1" t="str">
        <f t="shared" si="66"/>
        <v/>
      </c>
    </row>
    <row r="1262" spans="14:16" x14ac:dyDescent="0.3">
      <c r="N1262" s="1" t="str">
        <f t="shared" si="64"/>
        <v/>
      </c>
      <c r="O1262" s="1" t="str">
        <f t="shared" si="65"/>
        <v/>
      </c>
      <c r="P1262" s="1" t="str">
        <f t="shared" si="66"/>
        <v/>
      </c>
    </row>
    <row r="1263" spans="14:16" x14ac:dyDescent="0.3">
      <c r="N1263" s="1" t="str">
        <f t="shared" si="64"/>
        <v/>
      </c>
      <c r="O1263" s="1" t="str">
        <f t="shared" si="65"/>
        <v/>
      </c>
      <c r="P1263" s="1" t="str">
        <f t="shared" si="66"/>
        <v/>
      </c>
    </row>
    <row r="1264" spans="14:16" x14ac:dyDescent="0.3">
      <c r="N1264" s="1" t="str">
        <f t="shared" ref="N1264:N1327" si="67">IF(LEN($C1264)&gt;0,H1264-E1264,"")</f>
        <v/>
      </c>
      <c r="O1264" s="1" t="str">
        <f t="shared" ref="O1264:O1327" si="68">IF(LEN($C1264)&gt;0,I1264-F1264,"")</f>
        <v/>
      </c>
      <c r="P1264" s="1" t="str">
        <f t="shared" ref="P1264:P1327" si="69">IF(LEN($C1264)&gt;0,J1264-G1264,"")</f>
        <v/>
      </c>
    </row>
    <row r="1265" spans="14:16" x14ac:dyDescent="0.3">
      <c r="N1265" s="1" t="str">
        <f t="shared" si="67"/>
        <v/>
      </c>
      <c r="O1265" s="1" t="str">
        <f t="shared" si="68"/>
        <v/>
      </c>
      <c r="P1265" s="1" t="str">
        <f t="shared" si="69"/>
        <v/>
      </c>
    </row>
    <row r="1266" spans="14:16" x14ac:dyDescent="0.3">
      <c r="N1266" s="1" t="str">
        <f t="shared" si="67"/>
        <v/>
      </c>
      <c r="O1266" s="1" t="str">
        <f t="shared" si="68"/>
        <v/>
      </c>
      <c r="P1266" s="1" t="str">
        <f t="shared" si="69"/>
        <v/>
      </c>
    </row>
    <row r="1267" spans="14:16" x14ac:dyDescent="0.3">
      <c r="N1267" s="1" t="str">
        <f t="shared" si="67"/>
        <v/>
      </c>
      <c r="O1267" s="1" t="str">
        <f t="shared" si="68"/>
        <v/>
      </c>
      <c r="P1267" s="1" t="str">
        <f t="shared" si="69"/>
        <v/>
      </c>
    </row>
    <row r="1268" spans="14:16" x14ac:dyDescent="0.3">
      <c r="N1268" s="1" t="str">
        <f t="shared" si="67"/>
        <v/>
      </c>
      <c r="O1268" s="1" t="str">
        <f t="shared" si="68"/>
        <v/>
      </c>
      <c r="P1268" s="1" t="str">
        <f t="shared" si="69"/>
        <v/>
      </c>
    </row>
    <row r="1269" spans="14:16" x14ac:dyDescent="0.3">
      <c r="N1269" s="1" t="str">
        <f t="shared" si="67"/>
        <v/>
      </c>
      <c r="O1269" s="1" t="str">
        <f t="shared" si="68"/>
        <v/>
      </c>
      <c r="P1269" s="1" t="str">
        <f t="shared" si="69"/>
        <v/>
      </c>
    </row>
    <row r="1270" spans="14:16" x14ac:dyDescent="0.3">
      <c r="N1270" s="1" t="str">
        <f t="shared" si="67"/>
        <v/>
      </c>
      <c r="O1270" s="1" t="str">
        <f t="shared" si="68"/>
        <v/>
      </c>
      <c r="P1270" s="1" t="str">
        <f t="shared" si="69"/>
        <v/>
      </c>
    </row>
    <row r="1271" spans="14:16" x14ac:dyDescent="0.3">
      <c r="N1271" s="1" t="str">
        <f t="shared" si="67"/>
        <v/>
      </c>
      <c r="O1271" s="1" t="str">
        <f t="shared" si="68"/>
        <v/>
      </c>
      <c r="P1271" s="1" t="str">
        <f t="shared" si="69"/>
        <v/>
      </c>
    </row>
    <row r="1272" spans="14:16" x14ac:dyDescent="0.3">
      <c r="N1272" s="1" t="str">
        <f t="shared" si="67"/>
        <v/>
      </c>
      <c r="O1272" s="1" t="str">
        <f t="shared" si="68"/>
        <v/>
      </c>
      <c r="P1272" s="1" t="str">
        <f t="shared" si="69"/>
        <v/>
      </c>
    </row>
    <row r="1273" spans="14:16" x14ac:dyDescent="0.3">
      <c r="N1273" s="1" t="str">
        <f t="shared" si="67"/>
        <v/>
      </c>
      <c r="O1273" s="1" t="str">
        <f t="shared" si="68"/>
        <v/>
      </c>
      <c r="P1273" s="1" t="str">
        <f t="shared" si="69"/>
        <v/>
      </c>
    </row>
    <row r="1274" spans="14:16" x14ac:dyDescent="0.3">
      <c r="N1274" s="1" t="str">
        <f t="shared" si="67"/>
        <v/>
      </c>
      <c r="O1274" s="1" t="str">
        <f t="shared" si="68"/>
        <v/>
      </c>
      <c r="P1274" s="1" t="str">
        <f t="shared" si="69"/>
        <v/>
      </c>
    </row>
    <row r="1275" spans="14:16" x14ac:dyDescent="0.3">
      <c r="N1275" s="1" t="str">
        <f t="shared" si="67"/>
        <v/>
      </c>
      <c r="O1275" s="1" t="str">
        <f t="shared" si="68"/>
        <v/>
      </c>
      <c r="P1275" s="1" t="str">
        <f t="shared" si="69"/>
        <v/>
      </c>
    </row>
    <row r="1276" spans="14:16" x14ac:dyDescent="0.3">
      <c r="N1276" s="1" t="str">
        <f t="shared" si="67"/>
        <v/>
      </c>
      <c r="O1276" s="1" t="str">
        <f t="shared" si="68"/>
        <v/>
      </c>
      <c r="P1276" s="1" t="str">
        <f t="shared" si="69"/>
        <v/>
      </c>
    </row>
    <row r="1277" spans="14:16" x14ac:dyDescent="0.3">
      <c r="N1277" s="1" t="str">
        <f t="shared" si="67"/>
        <v/>
      </c>
      <c r="O1277" s="1" t="str">
        <f t="shared" si="68"/>
        <v/>
      </c>
      <c r="P1277" s="1" t="str">
        <f t="shared" si="69"/>
        <v/>
      </c>
    </row>
    <row r="1278" spans="14:16" x14ac:dyDescent="0.3">
      <c r="N1278" s="1" t="str">
        <f t="shared" si="67"/>
        <v/>
      </c>
      <c r="O1278" s="1" t="str">
        <f t="shared" si="68"/>
        <v/>
      </c>
      <c r="P1278" s="1" t="str">
        <f t="shared" si="69"/>
        <v/>
      </c>
    </row>
    <row r="1279" spans="14:16" x14ac:dyDescent="0.3">
      <c r="N1279" s="1" t="str">
        <f t="shared" si="67"/>
        <v/>
      </c>
      <c r="O1279" s="1" t="str">
        <f t="shared" si="68"/>
        <v/>
      </c>
      <c r="P1279" s="1" t="str">
        <f t="shared" si="69"/>
        <v/>
      </c>
    </row>
    <row r="1280" spans="14:16" x14ac:dyDescent="0.3">
      <c r="N1280" s="1" t="str">
        <f t="shared" si="67"/>
        <v/>
      </c>
      <c r="O1280" s="1" t="str">
        <f t="shared" si="68"/>
        <v/>
      </c>
      <c r="P1280" s="1" t="str">
        <f t="shared" si="69"/>
        <v/>
      </c>
    </row>
    <row r="1281" spans="14:16" x14ac:dyDescent="0.3">
      <c r="N1281" s="1" t="str">
        <f t="shared" si="67"/>
        <v/>
      </c>
      <c r="O1281" s="1" t="str">
        <f t="shared" si="68"/>
        <v/>
      </c>
      <c r="P1281" s="1" t="str">
        <f t="shared" si="69"/>
        <v/>
      </c>
    </row>
    <row r="1282" spans="14:16" x14ac:dyDescent="0.3">
      <c r="N1282" s="1" t="str">
        <f t="shared" si="67"/>
        <v/>
      </c>
      <c r="O1282" s="1" t="str">
        <f t="shared" si="68"/>
        <v/>
      </c>
      <c r="P1282" s="1" t="str">
        <f t="shared" si="69"/>
        <v/>
      </c>
    </row>
    <row r="1283" spans="14:16" x14ac:dyDescent="0.3">
      <c r="N1283" s="1" t="str">
        <f t="shared" si="67"/>
        <v/>
      </c>
      <c r="O1283" s="1" t="str">
        <f t="shared" si="68"/>
        <v/>
      </c>
      <c r="P1283" s="1" t="str">
        <f t="shared" si="69"/>
        <v/>
      </c>
    </row>
    <row r="1284" spans="14:16" x14ac:dyDescent="0.3">
      <c r="N1284" s="1" t="str">
        <f t="shared" si="67"/>
        <v/>
      </c>
      <c r="O1284" s="1" t="str">
        <f t="shared" si="68"/>
        <v/>
      </c>
      <c r="P1284" s="1" t="str">
        <f t="shared" si="69"/>
        <v/>
      </c>
    </row>
    <row r="1285" spans="14:16" x14ac:dyDescent="0.3">
      <c r="N1285" s="1" t="str">
        <f t="shared" si="67"/>
        <v/>
      </c>
      <c r="O1285" s="1" t="str">
        <f t="shared" si="68"/>
        <v/>
      </c>
      <c r="P1285" s="1" t="str">
        <f t="shared" si="69"/>
        <v/>
      </c>
    </row>
    <row r="1286" spans="14:16" x14ac:dyDescent="0.3">
      <c r="N1286" s="1" t="str">
        <f t="shared" si="67"/>
        <v/>
      </c>
      <c r="O1286" s="1" t="str">
        <f t="shared" si="68"/>
        <v/>
      </c>
      <c r="P1286" s="1" t="str">
        <f t="shared" si="69"/>
        <v/>
      </c>
    </row>
    <row r="1287" spans="14:16" x14ac:dyDescent="0.3">
      <c r="N1287" s="1" t="str">
        <f t="shared" si="67"/>
        <v/>
      </c>
      <c r="O1287" s="1" t="str">
        <f t="shared" si="68"/>
        <v/>
      </c>
      <c r="P1287" s="1" t="str">
        <f t="shared" si="69"/>
        <v/>
      </c>
    </row>
    <row r="1288" spans="14:16" x14ac:dyDescent="0.3">
      <c r="N1288" s="1" t="str">
        <f t="shared" si="67"/>
        <v/>
      </c>
      <c r="O1288" s="1" t="str">
        <f t="shared" si="68"/>
        <v/>
      </c>
      <c r="P1288" s="1" t="str">
        <f t="shared" si="69"/>
        <v/>
      </c>
    </row>
    <row r="1289" spans="14:16" x14ac:dyDescent="0.3">
      <c r="N1289" s="1" t="str">
        <f t="shared" si="67"/>
        <v/>
      </c>
      <c r="O1289" s="1" t="str">
        <f t="shared" si="68"/>
        <v/>
      </c>
      <c r="P1289" s="1" t="str">
        <f t="shared" si="69"/>
        <v/>
      </c>
    </row>
    <row r="1290" spans="14:16" x14ac:dyDescent="0.3">
      <c r="N1290" s="1" t="str">
        <f t="shared" si="67"/>
        <v/>
      </c>
      <c r="O1290" s="1" t="str">
        <f t="shared" si="68"/>
        <v/>
      </c>
      <c r="P1290" s="1" t="str">
        <f t="shared" si="69"/>
        <v/>
      </c>
    </row>
    <row r="1291" spans="14:16" x14ac:dyDescent="0.3">
      <c r="N1291" s="1" t="str">
        <f t="shared" si="67"/>
        <v/>
      </c>
      <c r="O1291" s="1" t="str">
        <f t="shared" si="68"/>
        <v/>
      </c>
      <c r="P1291" s="1" t="str">
        <f t="shared" si="69"/>
        <v/>
      </c>
    </row>
    <row r="1292" spans="14:16" x14ac:dyDescent="0.3">
      <c r="N1292" s="1" t="str">
        <f t="shared" si="67"/>
        <v/>
      </c>
      <c r="O1292" s="1" t="str">
        <f t="shared" si="68"/>
        <v/>
      </c>
      <c r="P1292" s="1" t="str">
        <f t="shared" si="69"/>
        <v/>
      </c>
    </row>
    <row r="1293" spans="14:16" x14ac:dyDescent="0.3">
      <c r="N1293" s="1" t="str">
        <f t="shared" si="67"/>
        <v/>
      </c>
      <c r="O1293" s="1" t="str">
        <f t="shared" si="68"/>
        <v/>
      </c>
      <c r="P1293" s="1" t="str">
        <f t="shared" si="69"/>
        <v/>
      </c>
    </row>
    <row r="1294" spans="14:16" x14ac:dyDescent="0.3">
      <c r="N1294" s="1" t="str">
        <f t="shared" si="67"/>
        <v/>
      </c>
      <c r="O1294" s="1" t="str">
        <f t="shared" si="68"/>
        <v/>
      </c>
      <c r="P1294" s="1" t="str">
        <f t="shared" si="69"/>
        <v/>
      </c>
    </row>
    <row r="1295" spans="14:16" x14ac:dyDescent="0.3">
      <c r="N1295" s="1" t="str">
        <f t="shared" si="67"/>
        <v/>
      </c>
      <c r="O1295" s="1" t="str">
        <f t="shared" si="68"/>
        <v/>
      </c>
      <c r="P1295" s="1" t="str">
        <f t="shared" si="69"/>
        <v/>
      </c>
    </row>
    <row r="1296" spans="14:16" x14ac:dyDescent="0.3">
      <c r="N1296" s="1" t="str">
        <f t="shared" si="67"/>
        <v/>
      </c>
      <c r="O1296" s="1" t="str">
        <f t="shared" si="68"/>
        <v/>
      </c>
      <c r="P1296" s="1" t="str">
        <f t="shared" si="69"/>
        <v/>
      </c>
    </row>
    <row r="1297" spans="14:16" x14ac:dyDescent="0.3">
      <c r="N1297" s="1" t="str">
        <f t="shared" si="67"/>
        <v/>
      </c>
      <c r="O1297" s="1" t="str">
        <f t="shared" si="68"/>
        <v/>
      </c>
      <c r="P1297" s="1" t="str">
        <f t="shared" si="69"/>
        <v/>
      </c>
    </row>
    <row r="1298" spans="14:16" x14ac:dyDescent="0.3">
      <c r="N1298" s="1" t="str">
        <f t="shared" si="67"/>
        <v/>
      </c>
      <c r="O1298" s="1" t="str">
        <f t="shared" si="68"/>
        <v/>
      </c>
      <c r="P1298" s="1" t="str">
        <f t="shared" si="69"/>
        <v/>
      </c>
    </row>
    <row r="1299" spans="14:16" x14ac:dyDescent="0.3">
      <c r="N1299" s="1" t="str">
        <f t="shared" si="67"/>
        <v/>
      </c>
      <c r="O1299" s="1" t="str">
        <f t="shared" si="68"/>
        <v/>
      </c>
      <c r="P1299" s="1" t="str">
        <f t="shared" si="69"/>
        <v/>
      </c>
    </row>
    <row r="1300" spans="14:16" x14ac:dyDescent="0.3">
      <c r="N1300" s="1" t="str">
        <f t="shared" si="67"/>
        <v/>
      </c>
      <c r="O1300" s="1" t="str">
        <f t="shared" si="68"/>
        <v/>
      </c>
      <c r="P1300" s="1" t="str">
        <f t="shared" si="69"/>
        <v/>
      </c>
    </row>
    <row r="1301" spans="14:16" x14ac:dyDescent="0.3">
      <c r="N1301" s="1" t="str">
        <f t="shared" si="67"/>
        <v/>
      </c>
      <c r="O1301" s="1" t="str">
        <f t="shared" si="68"/>
        <v/>
      </c>
      <c r="P1301" s="1" t="str">
        <f t="shared" si="69"/>
        <v/>
      </c>
    </row>
    <row r="1302" spans="14:16" x14ac:dyDescent="0.3">
      <c r="N1302" s="1" t="str">
        <f t="shared" si="67"/>
        <v/>
      </c>
      <c r="O1302" s="1" t="str">
        <f t="shared" si="68"/>
        <v/>
      </c>
      <c r="P1302" s="1" t="str">
        <f t="shared" si="69"/>
        <v/>
      </c>
    </row>
    <row r="1303" spans="14:16" x14ac:dyDescent="0.3">
      <c r="N1303" s="1" t="str">
        <f t="shared" si="67"/>
        <v/>
      </c>
      <c r="O1303" s="1" t="str">
        <f t="shared" si="68"/>
        <v/>
      </c>
      <c r="P1303" s="1" t="str">
        <f t="shared" si="69"/>
        <v/>
      </c>
    </row>
    <row r="1304" spans="14:16" x14ac:dyDescent="0.3">
      <c r="N1304" s="1" t="str">
        <f t="shared" si="67"/>
        <v/>
      </c>
      <c r="O1304" s="1" t="str">
        <f t="shared" si="68"/>
        <v/>
      </c>
      <c r="P1304" s="1" t="str">
        <f t="shared" si="69"/>
        <v/>
      </c>
    </row>
    <row r="1305" spans="14:16" x14ac:dyDescent="0.3">
      <c r="N1305" s="1" t="str">
        <f t="shared" si="67"/>
        <v/>
      </c>
      <c r="O1305" s="1" t="str">
        <f t="shared" si="68"/>
        <v/>
      </c>
      <c r="P1305" s="1" t="str">
        <f t="shared" si="69"/>
        <v/>
      </c>
    </row>
    <row r="1306" spans="14:16" x14ac:dyDescent="0.3">
      <c r="N1306" s="1" t="str">
        <f t="shared" si="67"/>
        <v/>
      </c>
      <c r="O1306" s="1" t="str">
        <f t="shared" si="68"/>
        <v/>
      </c>
      <c r="P1306" s="1" t="str">
        <f t="shared" si="69"/>
        <v/>
      </c>
    </row>
    <row r="1307" spans="14:16" x14ac:dyDescent="0.3">
      <c r="N1307" s="1" t="str">
        <f t="shared" si="67"/>
        <v/>
      </c>
      <c r="O1307" s="1" t="str">
        <f t="shared" si="68"/>
        <v/>
      </c>
      <c r="P1307" s="1" t="str">
        <f t="shared" si="69"/>
        <v/>
      </c>
    </row>
    <row r="1308" spans="14:16" x14ac:dyDescent="0.3">
      <c r="N1308" s="1" t="str">
        <f t="shared" si="67"/>
        <v/>
      </c>
      <c r="O1308" s="1" t="str">
        <f t="shared" si="68"/>
        <v/>
      </c>
      <c r="P1308" s="1" t="str">
        <f t="shared" si="69"/>
        <v/>
      </c>
    </row>
    <row r="1309" spans="14:16" x14ac:dyDescent="0.3">
      <c r="N1309" s="1" t="str">
        <f t="shared" si="67"/>
        <v/>
      </c>
      <c r="O1309" s="1" t="str">
        <f t="shared" si="68"/>
        <v/>
      </c>
      <c r="P1309" s="1" t="str">
        <f t="shared" si="69"/>
        <v/>
      </c>
    </row>
    <row r="1310" spans="14:16" x14ac:dyDescent="0.3">
      <c r="N1310" s="1" t="str">
        <f t="shared" si="67"/>
        <v/>
      </c>
      <c r="O1310" s="1" t="str">
        <f t="shared" si="68"/>
        <v/>
      </c>
      <c r="P1310" s="1" t="str">
        <f t="shared" si="69"/>
        <v/>
      </c>
    </row>
    <row r="1311" spans="14:16" x14ac:dyDescent="0.3">
      <c r="N1311" s="1" t="str">
        <f t="shared" si="67"/>
        <v/>
      </c>
      <c r="O1311" s="1" t="str">
        <f t="shared" si="68"/>
        <v/>
      </c>
      <c r="P1311" s="1" t="str">
        <f t="shared" si="69"/>
        <v/>
      </c>
    </row>
    <row r="1312" spans="14:16" x14ac:dyDescent="0.3">
      <c r="N1312" s="1" t="str">
        <f t="shared" si="67"/>
        <v/>
      </c>
      <c r="O1312" s="1" t="str">
        <f t="shared" si="68"/>
        <v/>
      </c>
      <c r="P1312" s="1" t="str">
        <f t="shared" si="69"/>
        <v/>
      </c>
    </row>
    <row r="1313" spans="14:16" x14ac:dyDescent="0.3">
      <c r="N1313" s="1" t="str">
        <f t="shared" si="67"/>
        <v/>
      </c>
      <c r="O1313" s="1" t="str">
        <f t="shared" si="68"/>
        <v/>
      </c>
      <c r="P1313" s="1" t="str">
        <f t="shared" si="69"/>
        <v/>
      </c>
    </row>
    <row r="1314" spans="14:16" x14ac:dyDescent="0.3">
      <c r="N1314" s="1" t="str">
        <f t="shared" si="67"/>
        <v/>
      </c>
      <c r="O1314" s="1" t="str">
        <f t="shared" si="68"/>
        <v/>
      </c>
      <c r="P1314" s="1" t="str">
        <f t="shared" si="69"/>
        <v/>
      </c>
    </row>
    <row r="1315" spans="14:16" x14ac:dyDescent="0.3">
      <c r="N1315" s="1" t="str">
        <f t="shared" si="67"/>
        <v/>
      </c>
      <c r="O1315" s="1" t="str">
        <f t="shared" si="68"/>
        <v/>
      </c>
      <c r="P1315" s="1" t="str">
        <f t="shared" si="69"/>
        <v/>
      </c>
    </row>
    <row r="1316" spans="14:16" x14ac:dyDescent="0.3">
      <c r="N1316" s="1" t="str">
        <f t="shared" si="67"/>
        <v/>
      </c>
      <c r="O1316" s="1" t="str">
        <f t="shared" si="68"/>
        <v/>
      </c>
      <c r="P1316" s="1" t="str">
        <f t="shared" si="69"/>
        <v/>
      </c>
    </row>
    <row r="1317" spans="14:16" x14ac:dyDescent="0.3">
      <c r="N1317" s="1" t="str">
        <f t="shared" si="67"/>
        <v/>
      </c>
      <c r="O1317" s="1" t="str">
        <f t="shared" si="68"/>
        <v/>
      </c>
      <c r="P1317" s="1" t="str">
        <f t="shared" si="69"/>
        <v/>
      </c>
    </row>
    <row r="1318" spans="14:16" x14ac:dyDescent="0.3">
      <c r="N1318" s="1" t="str">
        <f t="shared" si="67"/>
        <v/>
      </c>
      <c r="O1318" s="1" t="str">
        <f t="shared" si="68"/>
        <v/>
      </c>
      <c r="P1318" s="1" t="str">
        <f t="shared" si="69"/>
        <v/>
      </c>
    </row>
    <row r="1319" spans="14:16" x14ac:dyDescent="0.3">
      <c r="N1319" s="1" t="str">
        <f t="shared" si="67"/>
        <v/>
      </c>
      <c r="O1319" s="1" t="str">
        <f t="shared" si="68"/>
        <v/>
      </c>
      <c r="P1319" s="1" t="str">
        <f t="shared" si="69"/>
        <v/>
      </c>
    </row>
    <row r="1320" spans="14:16" x14ac:dyDescent="0.3">
      <c r="N1320" s="1" t="str">
        <f t="shared" si="67"/>
        <v/>
      </c>
      <c r="O1320" s="1" t="str">
        <f t="shared" si="68"/>
        <v/>
      </c>
      <c r="P1320" s="1" t="str">
        <f t="shared" si="69"/>
        <v/>
      </c>
    </row>
    <row r="1321" spans="14:16" x14ac:dyDescent="0.3">
      <c r="N1321" s="1" t="str">
        <f t="shared" si="67"/>
        <v/>
      </c>
      <c r="O1321" s="1" t="str">
        <f t="shared" si="68"/>
        <v/>
      </c>
      <c r="P1321" s="1" t="str">
        <f t="shared" si="69"/>
        <v/>
      </c>
    </row>
    <row r="1322" spans="14:16" x14ac:dyDescent="0.3">
      <c r="N1322" s="1" t="str">
        <f t="shared" si="67"/>
        <v/>
      </c>
      <c r="O1322" s="1" t="str">
        <f t="shared" si="68"/>
        <v/>
      </c>
      <c r="P1322" s="1" t="str">
        <f t="shared" si="69"/>
        <v/>
      </c>
    </row>
    <row r="1323" spans="14:16" x14ac:dyDescent="0.3">
      <c r="N1323" s="1" t="str">
        <f t="shared" si="67"/>
        <v/>
      </c>
      <c r="O1323" s="1" t="str">
        <f t="shared" si="68"/>
        <v/>
      </c>
      <c r="P1323" s="1" t="str">
        <f t="shared" si="69"/>
        <v/>
      </c>
    </row>
    <row r="1324" spans="14:16" x14ac:dyDescent="0.3">
      <c r="N1324" s="1" t="str">
        <f t="shared" si="67"/>
        <v/>
      </c>
      <c r="O1324" s="1" t="str">
        <f t="shared" si="68"/>
        <v/>
      </c>
      <c r="P1324" s="1" t="str">
        <f t="shared" si="69"/>
        <v/>
      </c>
    </row>
    <row r="1325" spans="14:16" x14ac:dyDescent="0.3">
      <c r="N1325" s="1" t="str">
        <f t="shared" si="67"/>
        <v/>
      </c>
      <c r="O1325" s="1" t="str">
        <f t="shared" si="68"/>
        <v/>
      </c>
      <c r="P1325" s="1" t="str">
        <f t="shared" si="69"/>
        <v/>
      </c>
    </row>
    <row r="1326" spans="14:16" x14ac:dyDescent="0.3">
      <c r="N1326" s="1" t="str">
        <f t="shared" si="67"/>
        <v/>
      </c>
      <c r="O1326" s="1" t="str">
        <f t="shared" si="68"/>
        <v/>
      </c>
      <c r="P1326" s="1" t="str">
        <f t="shared" si="69"/>
        <v/>
      </c>
    </row>
    <row r="1327" spans="14:16" x14ac:dyDescent="0.3">
      <c r="N1327" s="1" t="str">
        <f t="shared" si="67"/>
        <v/>
      </c>
      <c r="O1327" s="1" t="str">
        <f t="shared" si="68"/>
        <v/>
      </c>
      <c r="P1327" s="1" t="str">
        <f t="shared" si="69"/>
        <v/>
      </c>
    </row>
    <row r="1328" spans="14:16" x14ac:dyDescent="0.3">
      <c r="N1328" s="1" t="str">
        <f t="shared" ref="N1328:N1391" si="70">IF(LEN($C1328)&gt;0,H1328-E1328,"")</f>
        <v/>
      </c>
      <c r="O1328" s="1" t="str">
        <f t="shared" ref="O1328:O1391" si="71">IF(LEN($C1328)&gt;0,I1328-F1328,"")</f>
        <v/>
      </c>
      <c r="P1328" s="1" t="str">
        <f t="shared" ref="P1328:P1391" si="72">IF(LEN($C1328)&gt;0,J1328-G1328,"")</f>
        <v/>
      </c>
    </row>
    <row r="1329" spans="14:16" x14ac:dyDescent="0.3">
      <c r="N1329" s="1" t="str">
        <f t="shared" si="70"/>
        <v/>
      </c>
      <c r="O1329" s="1" t="str">
        <f t="shared" si="71"/>
        <v/>
      </c>
      <c r="P1329" s="1" t="str">
        <f t="shared" si="72"/>
        <v/>
      </c>
    </row>
    <row r="1330" spans="14:16" x14ac:dyDescent="0.3">
      <c r="N1330" s="1" t="str">
        <f t="shared" si="70"/>
        <v/>
      </c>
      <c r="O1330" s="1" t="str">
        <f t="shared" si="71"/>
        <v/>
      </c>
      <c r="P1330" s="1" t="str">
        <f t="shared" si="72"/>
        <v/>
      </c>
    </row>
    <row r="1331" spans="14:16" x14ac:dyDescent="0.3">
      <c r="N1331" s="1" t="str">
        <f t="shared" si="70"/>
        <v/>
      </c>
      <c r="O1331" s="1" t="str">
        <f t="shared" si="71"/>
        <v/>
      </c>
      <c r="P1331" s="1" t="str">
        <f t="shared" si="72"/>
        <v/>
      </c>
    </row>
    <row r="1332" spans="14:16" x14ac:dyDescent="0.3">
      <c r="N1332" s="1" t="str">
        <f t="shared" si="70"/>
        <v/>
      </c>
      <c r="O1332" s="1" t="str">
        <f t="shared" si="71"/>
        <v/>
      </c>
      <c r="P1332" s="1" t="str">
        <f t="shared" si="72"/>
        <v/>
      </c>
    </row>
    <row r="1333" spans="14:16" x14ac:dyDescent="0.3">
      <c r="N1333" s="1" t="str">
        <f t="shared" si="70"/>
        <v/>
      </c>
      <c r="O1333" s="1" t="str">
        <f t="shared" si="71"/>
        <v/>
      </c>
      <c r="P1333" s="1" t="str">
        <f t="shared" si="72"/>
        <v/>
      </c>
    </row>
    <row r="1334" spans="14:16" x14ac:dyDescent="0.3">
      <c r="N1334" s="1" t="str">
        <f t="shared" si="70"/>
        <v/>
      </c>
      <c r="O1334" s="1" t="str">
        <f t="shared" si="71"/>
        <v/>
      </c>
      <c r="P1334" s="1" t="str">
        <f t="shared" si="72"/>
        <v/>
      </c>
    </row>
    <row r="1335" spans="14:16" x14ac:dyDescent="0.3">
      <c r="N1335" s="1" t="str">
        <f t="shared" si="70"/>
        <v/>
      </c>
      <c r="O1335" s="1" t="str">
        <f t="shared" si="71"/>
        <v/>
      </c>
      <c r="P1335" s="1" t="str">
        <f t="shared" si="72"/>
        <v/>
      </c>
    </row>
    <row r="1336" spans="14:16" x14ac:dyDescent="0.3">
      <c r="N1336" s="1" t="str">
        <f t="shared" si="70"/>
        <v/>
      </c>
      <c r="O1336" s="1" t="str">
        <f t="shared" si="71"/>
        <v/>
      </c>
      <c r="P1336" s="1" t="str">
        <f t="shared" si="72"/>
        <v/>
      </c>
    </row>
    <row r="1337" spans="14:16" x14ac:dyDescent="0.3">
      <c r="N1337" s="1" t="str">
        <f t="shared" si="70"/>
        <v/>
      </c>
      <c r="O1337" s="1" t="str">
        <f t="shared" si="71"/>
        <v/>
      </c>
      <c r="P1337" s="1" t="str">
        <f t="shared" si="72"/>
        <v/>
      </c>
    </row>
    <row r="1338" spans="14:16" x14ac:dyDescent="0.3">
      <c r="N1338" s="1" t="str">
        <f t="shared" si="70"/>
        <v/>
      </c>
      <c r="O1338" s="1" t="str">
        <f t="shared" si="71"/>
        <v/>
      </c>
      <c r="P1338" s="1" t="str">
        <f t="shared" si="72"/>
        <v/>
      </c>
    </row>
    <row r="1339" spans="14:16" x14ac:dyDescent="0.3">
      <c r="N1339" s="1" t="str">
        <f t="shared" si="70"/>
        <v/>
      </c>
      <c r="O1339" s="1" t="str">
        <f t="shared" si="71"/>
        <v/>
      </c>
      <c r="P1339" s="1" t="str">
        <f t="shared" si="72"/>
        <v/>
      </c>
    </row>
    <row r="1340" spans="14:16" x14ac:dyDescent="0.3">
      <c r="N1340" s="1" t="str">
        <f t="shared" si="70"/>
        <v/>
      </c>
      <c r="O1340" s="1" t="str">
        <f t="shared" si="71"/>
        <v/>
      </c>
      <c r="P1340" s="1" t="str">
        <f t="shared" si="72"/>
        <v/>
      </c>
    </row>
    <row r="1341" spans="14:16" x14ac:dyDescent="0.3">
      <c r="N1341" s="1" t="str">
        <f t="shared" si="70"/>
        <v/>
      </c>
      <c r="O1341" s="1" t="str">
        <f t="shared" si="71"/>
        <v/>
      </c>
      <c r="P1341" s="1" t="str">
        <f t="shared" si="72"/>
        <v/>
      </c>
    </row>
    <row r="1342" spans="14:16" x14ac:dyDescent="0.3">
      <c r="N1342" s="1" t="str">
        <f t="shared" si="70"/>
        <v/>
      </c>
      <c r="O1342" s="1" t="str">
        <f t="shared" si="71"/>
        <v/>
      </c>
      <c r="P1342" s="1" t="str">
        <f t="shared" si="72"/>
        <v/>
      </c>
    </row>
    <row r="1343" spans="14:16" x14ac:dyDescent="0.3">
      <c r="N1343" s="1" t="str">
        <f t="shared" si="70"/>
        <v/>
      </c>
      <c r="O1343" s="1" t="str">
        <f t="shared" si="71"/>
        <v/>
      </c>
      <c r="P1343" s="1" t="str">
        <f t="shared" si="72"/>
        <v/>
      </c>
    </row>
    <row r="1344" spans="14:16" x14ac:dyDescent="0.3">
      <c r="N1344" s="1" t="str">
        <f t="shared" si="70"/>
        <v/>
      </c>
      <c r="O1344" s="1" t="str">
        <f t="shared" si="71"/>
        <v/>
      </c>
      <c r="P1344" s="1" t="str">
        <f t="shared" si="72"/>
        <v/>
      </c>
    </row>
    <row r="1345" spans="14:16" x14ac:dyDescent="0.3">
      <c r="N1345" s="1" t="str">
        <f t="shared" si="70"/>
        <v/>
      </c>
      <c r="O1345" s="1" t="str">
        <f t="shared" si="71"/>
        <v/>
      </c>
      <c r="P1345" s="1" t="str">
        <f t="shared" si="72"/>
        <v/>
      </c>
    </row>
    <row r="1346" spans="14:16" x14ac:dyDescent="0.3">
      <c r="N1346" s="1" t="str">
        <f t="shared" si="70"/>
        <v/>
      </c>
      <c r="O1346" s="1" t="str">
        <f t="shared" si="71"/>
        <v/>
      </c>
      <c r="P1346" s="1" t="str">
        <f t="shared" si="72"/>
        <v/>
      </c>
    </row>
    <row r="1347" spans="14:16" x14ac:dyDescent="0.3">
      <c r="N1347" s="1" t="str">
        <f t="shared" si="70"/>
        <v/>
      </c>
      <c r="O1347" s="1" t="str">
        <f t="shared" si="71"/>
        <v/>
      </c>
      <c r="P1347" s="1" t="str">
        <f t="shared" si="72"/>
        <v/>
      </c>
    </row>
    <row r="1348" spans="14:16" x14ac:dyDescent="0.3">
      <c r="N1348" s="1" t="str">
        <f t="shared" si="70"/>
        <v/>
      </c>
      <c r="O1348" s="1" t="str">
        <f t="shared" si="71"/>
        <v/>
      </c>
      <c r="P1348" s="1" t="str">
        <f t="shared" si="72"/>
        <v/>
      </c>
    </row>
    <row r="1349" spans="14:16" x14ac:dyDescent="0.3">
      <c r="N1349" s="1" t="str">
        <f t="shared" si="70"/>
        <v/>
      </c>
      <c r="O1349" s="1" t="str">
        <f t="shared" si="71"/>
        <v/>
      </c>
      <c r="P1349" s="1" t="str">
        <f t="shared" si="72"/>
        <v/>
      </c>
    </row>
    <row r="1350" spans="14:16" x14ac:dyDescent="0.3">
      <c r="N1350" s="1" t="str">
        <f t="shared" si="70"/>
        <v/>
      </c>
      <c r="O1350" s="1" t="str">
        <f t="shared" si="71"/>
        <v/>
      </c>
      <c r="P1350" s="1" t="str">
        <f t="shared" si="72"/>
        <v/>
      </c>
    </row>
    <row r="1351" spans="14:16" x14ac:dyDescent="0.3">
      <c r="N1351" s="1" t="str">
        <f t="shared" si="70"/>
        <v/>
      </c>
      <c r="O1351" s="1" t="str">
        <f t="shared" si="71"/>
        <v/>
      </c>
      <c r="P1351" s="1" t="str">
        <f t="shared" si="72"/>
        <v/>
      </c>
    </row>
    <row r="1352" spans="14:16" x14ac:dyDescent="0.3">
      <c r="N1352" s="1" t="str">
        <f t="shared" si="70"/>
        <v/>
      </c>
      <c r="O1352" s="1" t="str">
        <f t="shared" si="71"/>
        <v/>
      </c>
      <c r="P1352" s="1" t="str">
        <f t="shared" si="72"/>
        <v/>
      </c>
    </row>
    <row r="1353" spans="14:16" x14ac:dyDescent="0.3">
      <c r="N1353" s="1" t="str">
        <f t="shared" si="70"/>
        <v/>
      </c>
      <c r="O1353" s="1" t="str">
        <f t="shared" si="71"/>
        <v/>
      </c>
      <c r="P1353" s="1" t="str">
        <f t="shared" si="72"/>
        <v/>
      </c>
    </row>
    <row r="1354" spans="14:16" x14ac:dyDescent="0.3">
      <c r="N1354" s="1" t="str">
        <f t="shared" si="70"/>
        <v/>
      </c>
      <c r="O1354" s="1" t="str">
        <f t="shared" si="71"/>
        <v/>
      </c>
      <c r="P1354" s="1" t="str">
        <f t="shared" si="72"/>
        <v/>
      </c>
    </row>
    <row r="1355" spans="14:16" x14ac:dyDescent="0.3">
      <c r="N1355" s="1" t="str">
        <f t="shared" si="70"/>
        <v/>
      </c>
      <c r="O1355" s="1" t="str">
        <f t="shared" si="71"/>
        <v/>
      </c>
      <c r="P1355" s="1" t="str">
        <f t="shared" si="72"/>
        <v/>
      </c>
    </row>
    <row r="1356" spans="14:16" x14ac:dyDescent="0.3">
      <c r="N1356" s="1" t="str">
        <f t="shared" si="70"/>
        <v/>
      </c>
      <c r="O1356" s="1" t="str">
        <f t="shared" si="71"/>
        <v/>
      </c>
      <c r="P1356" s="1" t="str">
        <f t="shared" si="72"/>
        <v/>
      </c>
    </row>
    <row r="1357" spans="14:16" x14ac:dyDescent="0.3">
      <c r="N1357" s="1" t="str">
        <f t="shared" si="70"/>
        <v/>
      </c>
      <c r="O1357" s="1" t="str">
        <f t="shared" si="71"/>
        <v/>
      </c>
      <c r="P1357" s="1" t="str">
        <f t="shared" si="72"/>
        <v/>
      </c>
    </row>
    <row r="1358" spans="14:16" x14ac:dyDescent="0.3">
      <c r="N1358" s="1" t="str">
        <f t="shared" si="70"/>
        <v/>
      </c>
      <c r="O1358" s="1" t="str">
        <f t="shared" si="71"/>
        <v/>
      </c>
      <c r="P1358" s="1" t="str">
        <f t="shared" si="72"/>
        <v/>
      </c>
    </row>
    <row r="1359" spans="14:16" x14ac:dyDescent="0.3">
      <c r="N1359" s="1" t="str">
        <f t="shared" si="70"/>
        <v/>
      </c>
      <c r="O1359" s="1" t="str">
        <f t="shared" si="71"/>
        <v/>
      </c>
      <c r="P1359" s="1" t="str">
        <f t="shared" si="72"/>
        <v/>
      </c>
    </row>
    <row r="1360" spans="14:16" x14ac:dyDescent="0.3">
      <c r="N1360" s="1" t="str">
        <f t="shared" si="70"/>
        <v/>
      </c>
      <c r="O1360" s="1" t="str">
        <f t="shared" si="71"/>
        <v/>
      </c>
      <c r="P1360" s="1" t="str">
        <f t="shared" si="72"/>
        <v/>
      </c>
    </row>
    <row r="1361" spans="14:16" x14ac:dyDescent="0.3">
      <c r="N1361" s="1" t="str">
        <f t="shared" si="70"/>
        <v/>
      </c>
      <c r="O1361" s="1" t="str">
        <f t="shared" si="71"/>
        <v/>
      </c>
      <c r="P1361" s="1" t="str">
        <f t="shared" si="72"/>
        <v/>
      </c>
    </row>
    <row r="1362" spans="14:16" x14ac:dyDescent="0.3">
      <c r="N1362" s="1" t="str">
        <f t="shared" si="70"/>
        <v/>
      </c>
      <c r="O1362" s="1" t="str">
        <f t="shared" si="71"/>
        <v/>
      </c>
      <c r="P1362" s="1" t="str">
        <f t="shared" si="72"/>
        <v/>
      </c>
    </row>
    <row r="1363" spans="14:16" x14ac:dyDescent="0.3">
      <c r="N1363" s="1" t="str">
        <f t="shared" si="70"/>
        <v/>
      </c>
      <c r="O1363" s="1" t="str">
        <f t="shared" si="71"/>
        <v/>
      </c>
      <c r="P1363" s="1" t="str">
        <f t="shared" si="72"/>
        <v/>
      </c>
    </row>
    <row r="1364" spans="14:16" x14ac:dyDescent="0.3">
      <c r="N1364" s="1" t="str">
        <f t="shared" si="70"/>
        <v/>
      </c>
      <c r="O1364" s="1" t="str">
        <f t="shared" si="71"/>
        <v/>
      </c>
      <c r="P1364" s="1" t="str">
        <f t="shared" si="72"/>
        <v/>
      </c>
    </row>
    <row r="1365" spans="14:16" x14ac:dyDescent="0.3">
      <c r="N1365" s="1" t="str">
        <f t="shared" si="70"/>
        <v/>
      </c>
      <c r="O1365" s="1" t="str">
        <f t="shared" si="71"/>
        <v/>
      </c>
      <c r="P1365" s="1" t="str">
        <f t="shared" si="72"/>
        <v/>
      </c>
    </row>
    <row r="1366" spans="14:16" x14ac:dyDescent="0.3">
      <c r="N1366" s="1" t="str">
        <f t="shared" si="70"/>
        <v/>
      </c>
      <c r="O1366" s="1" t="str">
        <f t="shared" si="71"/>
        <v/>
      </c>
      <c r="P1366" s="1" t="str">
        <f t="shared" si="72"/>
        <v/>
      </c>
    </row>
    <row r="1367" spans="14:16" x14ac:dyDescent="0.3">
      <c r="N1367" s="1" t="str">
        <f t="shared" si="70"/>
        <v/>
      </c>
      <c r="O1367" s="1" t="str">
        <f t="shared" si="71"/>
        <v/>
      </c>
      <c r="P1367" s="1" t="str">
        <f t="shared" si="72"/>
        <v/>
      </c>
    </row>
    <row r="1368" spans="14:16" x14ac:dyDescent="0.3">
      <c r="N1368" s="1" t="str">
        <f t="shared" si="70"/>
        <v/>
      </c>
      <c r="O1368" s="1" t="str">
        <f t="shared" si="71"/>
        <v/>
      </c>
      <c r="P1368" s="1" t="str">
        <f t="shared" si="72"/>
        <v/>
      </c>
    </row>
    <row r="1369" spans="14:16" x14ac:dyDescent="0.3">
      <c r="N1369" s="1" t="str">
        <f t="shared" si="70"/>
        <v/>
      </c>
      <c r="O1369" s="1" t="str">
        <f t="shared" si="71"/>
        <v/>
      </c>
      <c r="P1369" s="1" t="str">
        <f t="shared" si="72"/>
        <v/>
      </c>
    </row>
    <row r="1370" spans="14:16" x14ac:dyDescent="0.3">
      <c r="N1370" s="1" t="str">
        <f t="shared" si="70"/>
        <v/>
      </c>
      <c r="O1370" s="1" t="str">
        <f t="shared" si="71"/>
        <v/>
      </c>
      <c r="P1370" s="1" t="str">
        <f t="shared" si="72"/>
        <v/>
      </c>
    </row>
    <row r="1371" spans="14:16" x14ac:dyDescent="0.3">
      <c r="N1371" s="1" t="str">
        <f t="shared" si="70"/>
        <v/>
      </c>
      <c r="O1371" s="1" t="str">
        <f t="shared" si="71"/>
        <v/>
      </c>
      <c r="P1371" s="1" t="str">
        <f t="shared" si="72"/>
        <v/>
      </c>
    </row>
    <row r="1372" spans="14:16" x14ac:dyDescent="0.3">
      <c r="N1372" s="1" t="str">
        <f t="shared" si="70"/>
        <v/>
      </c>
      <c r="O1372" s="1" t="str">
        <f t="shared" si="71"/>
        <v/>
      </c>
      <c r="P1372" s="1" t="str">
        <f t="shared" si="72"/>
        <v/>
      </c>
    </row>
    <row r="1373" spans="14:16" x14ac:dyDescent="0.3">
      <c r="N1373" s="1" t="str">
        <f t="shared" si="70"/>
        <v/>
      </c>
      <c r="O1373" s="1" t="str">
        <f t="shared" si="71"/>
        <v/>
      </c>
      <c r="P1373" s="1" t="str">
        <f t="shared" si="72"/>
        <v/>
      </c>
    </row>
    <row r="1374" spans="14:16" x14ac:dyDescent="0.3">
      <c r="N1374" s="1" t="str">
        <f t="shared" si="70"/>
        <v/>
      </c>
      <c r="O1374" s="1" t="str">
        <f t="shared" si="71"/>
        <v/>
      </c>
      <c r="P1374" s="1" t="str">
        <f t="shared" si="72"/>
        <v/>
      </c>
    </row>
    <row r="1375" spans="14:16" x14ac:dyDescent="0.3">
      <c r="N1375" s="1" t="str">
        <f t="shared" si="70"/>
        <v/>
      </c>
      <c r="O1375" s="1" t="str">
        <f t="shared" si="71"/>
        <v/>
      </c>
      <c r="P1375" s="1" t="str">
        <f t="shared" si="72"/>
        <v/>
      </c>
    </row>
    <row r="1376" spans="14:16" x14ac:dyDescent="0.3">
      <c r="N1376" s="1" t="str">
        <f t="shared" si="70"/>
        <v/>
      </c>
      <c r="O1376" s="1" t="str">
        <f t="shared" si="71"/>
        <v/>
      </c>
      <c r="P1376" s="1" t="str">
        <f t="shared" si="72"/>
        <v/>
      </c>
    </row>
    <row r="1377" spans="14:16" x14ac:dyDescent="0.3">
      <c r="N1377" s="1" t="str">
        <f t="shared" si="70"/>
        <v/>
      </c>
      <c r="O1377" s="1" t="str">
        <f t="shared" si="71"/>
        <v/>
      </c>
      <c r="P1377" s="1" t="str">
        <f t="shared" si="72"/>
        <v/>
      </c>
    </row>
    <row r="1378" spans="14:16" x14ac:dyDescent="0.3">
      <c r="N1378" s="1" t="str">
        <f t="shared" si="70"/>
        <v/>
      </c>
      <c r="O1378" s="1" t="str">
        <f t="shared" si="71"/>
        <v/>
      </c>
      <c r="P1378" s="1" t="str">
        <f t="shared" si="72"/>
        <v/>
      </c>
    </row>
    <row r="1379" spans="14:16" x14ac:dyDescent="0.3">
      <c r="N1379" s="1" t="str">
        <f t="shared" si="70"/>
        <v/>
      </c>
      <c r="O1379" s="1" t="str">
        <f t="shared" si="71"/>
        <v/>
      </c>
      <c r="P1379" s="1" t="str">
        <f t="shared" si="72"/>
        <v/>
      </c>
    </row>
    <row r="1380" spans="14:16" x14ac:dyDescent="0.3">
      <c r="N1380" s="1" t="str">
        <f t="shared" si="70"/>
        <v/>
      </c>
      <c r="O1380" s="1" t="str">
        <f t="shared" si="71"/>
        <v/>
      </c>
      <c r="P1380" s="1" t="str">
        <f t="shared" si="72"/>
        <v/>
      </c>
    </row>
    <row r="1381" spans="14:16" x14ac:dyDescent="0.3">
      <c r="N1381" s="1" t="str">
        <f t="shared" si="70"/>
        <v/>
      </c>
      <c r="O1381" s="1" t="str">
        <f t="shared" si="71"/>
        <v/>
      </c>
      <c r="P1381" s="1" t="str">
        <f t="shared" si="72"/>
        <v/>
      </c>
    </row>
    <row r="1382" spans="14:16" x14ac:dyDescent="0.3">
      <c r="N1382" s="1" t="str">
        <f t="shared" si="70"/>
        <v/>
      </c>
      <c r="O1382" s="1" t="str">
        <f t="shared" si="71"/>
        <v/>
      </c>
      <c r="P1382" s="1" t="str">
        <f t="shared" si="72"/>
        <v/>
      </c>
    </row>
    <row r="1383" spans="14:16" x14ac:dyDescent="0.3">
      <c r="N1383" s="1" t="str">
        <f t="shared" si="70"/>
        <v/>
      </c>
      <c r="O1383" s="1" t="str">
        <f t="shared" si="71"/>
        <v/>
      </c>
      <c r="P1383" s="1" t="str">
        <f t="shared" si="72"/>
        <v/>
      </c>
    </row>
    <row r="1384" spans="14:16" x14ac:dyDescent="0.3">
      <c r="N1384" s="1" t="str">
        <f t="shared" si="70"/>
        <v/>
      </c>
      <c r="O1384" s="1" t="str">
        <f t="shared" si="71"/>
        <v/>
      </c>
      <c r="P1384" s="1" t="str">
        <f t="shared" si="72"/>
        <v/>
      </c>
    </row>
    <row r="1385" spans="14:16" x14ac:dyDescent="0.3">
      <c r="N1385" s="1" t="str">
        <f t="shared" si="70"/>
        <v/>
      </c>
      <c r="O1385" s="1" t="str">
        <f t="shared" si="71"/>
        <v/>
      </c>
      <c r="P1385" s="1" t="str">
        <f t="shared" si="72"/>
        <v/>
      </c>
    </row>
    <row r="1386" spans="14:16" x14ac:dyDescent="0.3">
      <c r="N1386" s="1" t="str">
        <f t="shared" si="70"/>
        <v/>
      </c>
      <c r="O1386" s="1" t="str">
        <f t="shared" si="71"/>
        <v/>
      </c>
      <c r="P1386" s="1" t="str">
        <f t="shared" si="72"/>
        <v/>
      </c>
    </row>
    <row r="1387" spans="14:16" x14ac:dyDescent="0.3">
      <c r="N1387" s="1" t="str">
        <f t="shared" si="70"/>
        <v/>
      </c>
      <c r="O1387" s="1" t="str">
        <f t="shared" si="71"/>
        <v/>
      </c>
      <c r="P1387" s="1" t="str">
        <f t="shared" si="72"/>
        <v/>
      </c>
    </row>
    <row r="1388" spans="14:16" x14ac:dyDescent="0.3">
      <c r="N1388" s="1" t="str">
        <f t="shared" si="70"/>
        <v/>
      </c>
      <c r="O1388" s="1" t="str">
        <f t="shared" si="71"/>
        <v/>
      </c>
      <c r="P1388" s="1" t="str">
        <f t="shared" si="72"/>
        <v/>
      </c>
    </row>
    <row r="1389" spans="14:16" x14ac:dyDescent="0.3">
      <c r="N1389" s="1" t="str">
        <f t="shared" si="70"/>
        <v/>
      </c>
      <c r="O1389" s="1" t="str">
        <f t="shared" si="71"/>
        <v/>
      </c>
      <c r="P1389" s="1" t="str">
        <f t="shared" si="72"/>
        <v/>
      </c>
    </row>
    <row r="1390" spans="14:16" x14ac:dyDescent="0.3">
      <c r="N1390" s="1" t="str">
        <f t="shared" si="70"/>
        <v/>
      </c>
      <c r="O1390" s="1" t="str">
        <f t="shared" si="71"/>
        <v/>
      </c>
      <c r="P1390" s="1" t="str">
        <f t="shared" si="72"/>
        <v/>
      </c>
    </row>
    <row r="1391" spans="14:16" x14ac:dyDescent="0.3">
      <c r="N1391" s="1" t="str">
        <f t="shared" si="70"/>
        <v/>
      </c>
      <c r="O1391" s="1" t="str">
        <f t="shared" si="71"/>
        <v/>
      </c>
      <c r="P1391" s="1" t="str">
        <f t="shared" si="72"/>
        <v/>
      </c>
    </row>
    <row r="1392" spans="14:16" x14ac:dyDescent="0.3">
      <c r="N1392" s="1" t="str">
        <f t="shared" ref="N1392:N1455" si="73">IF(LEN($C1392)&gt;0,H1392-E1392,"")</f>
        <v/>
      </c>
      <c r="O1392" s="1" t="str">
        <f t="shared" ref="O1392:O1455" si="74">IF(LEN($C1392)&gt;0,I1392-F1392,"")</f>
        <v/>
      </c>
      <c r="P1392" s="1" t="str">
        <f t="shared" ref="P1392:P1455" si="75">IF(LEN($C1392)&gt;0,J1392-G1392,"")</f>
        <v/>
      </c>
    </row>
    <row r="1393" spans="14:16" x14ac:dyDescent="0.3">
      <c r="N1393" s="1" t="str">
        <f t="shared" si="73"/>
        <v/>
      </c>
      <c r="O1393" s="1" t="str">
        <f t="shared" si="74"/>
        <v/>
      </c>
      <c r="P1393" s="1" t="str">
        <f t="shared" si="75"/>
        <v/>
      </c>
    </row>
    <row r="1394" spans="14:16" x14ac:dyDescent="0.3">
      <c r="N1394" s="1" t="str">
        <f t="shared" si="73"/>
        <v/>
      </c>
      <c r="O1394" s="1" t="str">
        <f t="shared" si="74"/>
        <v/>
      </c>
      <c r="P1394" s="1" t="str">
        <f t="shared" si="75"/>
        <v/>
      </c>
    </row>
    <row r="1395" spans="14:16" x14ac:dyDescent="0.3">
      <c r="N1395" s="1" t="str">
        <f t="shared" si="73"/>
        <v/>
      </c>
      <c r="O1395" s="1" t="str">
        <f t="shared" si="74"/>
        <v/>
      </c>
      <c r="P1395" s="1" t="str">
        <f t="shared" si="75"/>
        <v/>
      </c>
    </row>
    <row r="1396" spans="14:16" x14ac:dyDescent="0.3">
      <c r="N1396" s="1" t="str">
        <f t="shared" si="73"/>
        <v/>
      </c>
      <c r="O1396" s="1" t="str">
        <f t="shared" si="74"/>
        <v/>
      </c>
      <c r="P1396" s="1" t="str">
        <f t="shared" si="75"/>
        <v/>
      </c>
    </row>
    <row r="1397" spans="14:16" x14ac:dyDescent="0.3">
      <c r="N1397" s="1" t="str">
        <f t="shared" si="73"/>
        <v/>
      </c>
      <c r="O1397" s="1" t="str">
        <f t="shared" si="74"/>
        <v/>
      </c>
      <c r="P1397" s="1" t="str">
        <f t="shared" si="75"/>
        <v/>
      </c>
    </row>
    <row r="1398" spans="14:16" x14ac:dyDescent="0.3">
      <c r="N1398" s="1" t="str">
        <f t="shared" si="73"/>
        <v/>
      </c>
      <c r="O1398" s="1" t="str">
        <f t="shared" si="74"/>
        <v/>
      </c>
      <c r="P1398" s="1" t="str">
        <f t="shared" si="75"/>
        <v/>
      </c>
    </row>
    <row r="1399" spans="14:16" x14ac:dyDescent="0.3">
      <c r="N1399" s="1" t="str">
        <f t="shared" si="73"/>
        <v/>
      </c>
      <c r="O1399" s="1" t="str">
        <f t="shared" si="74"/>
        <v/>
      </c>
      <c r="P1399" s="1" t="str">
        <f t="shared" si="75"/>
        <v/>
      </c>
    </row>
    <row r="1400" spans="14:16" x14ac:dyDescent="0.3">
      <c r="N1400" s="1" t="str">
        <f t="shared" si="73"/>
        <v/>
      </c>
      <c r="O1400" s="1" t="str">
        <f t="shared" si="74"/>
        <v/>
      </c>
      <c r="P1400" s="1" t="str">
        <f t="shared" si="75"/>
        <v/>
      </c>
    </row>
    <row r="1401" spans="14:16" x14ac:dyDescent="0.3">
      <c r="N1401" s="1" t="str">
        <f t="shared" si="73"/>
        <v/>
      </c>
      <c r="O1401" s="1" t="str">
        <f t="shared" si="74"/>
        <v/>
      </c>
      <c r="P1401" s="1" t="str">
        <f t="shared" si="75"/>
        <v/>
      </c>
    </row>
    <row r="1402" spans="14:16" x14ac:dyDescent="0.3">
      <c r="N1402" s="1" t="str">
        <f t="shared" si="73"/>
        <v/>
      </c>
      <c r="O1402" s="1" t="str">
        <f t="shared" si="74"/>
        <v/>
      </c>
      <c r="P1402" s="1" t="str">
        <f t="shared" si="75"/>
        <v/>
      </c>
    </row>
    <row r="1403" spans="14:16" x14ac:dyDescent="0.3">
      <c r="N1403" s="1" t="str">
        <f t="shared" si="73"/>
        <v/>
      </c>
      <c r="O1403" s="1" t="str">
        <f t="shared" si="74"/>
        <v/>
      </c>
      <c r="P1403" s="1" t="str">
        <f t="shared" si="75"/>
        <v/>
      </c>
    </row>
    <row r="1404" spans="14:16" x14ac:dyDescent="0.3">
      <c r="N1404" s="1" t="str">
        <f t="shared" si="73"/>
        <v/>
      </c>
      <c r="O1404" s="1" t="str">
        <f t="shared" si="74"/>
        <v/>
      </c>
      <c r="P1404" s="1" t="str">
        <f t="shared" si="75"/>
        <v/>
      </c>
    </row>
    <row r="1405" spans="14:16" x14ac:dyDescent="0.3">
      <c r="N1405" s="1" t="str">
        <f t="shared" si="73"/>
        <v/>
      </c>
      <c r="O1405" s="1" t="str">
        <f t="shared" si="74"/>
        <v/>
      </c>
      <c r="P1405" s="1" t="str">
        <f t="shared" si="75"/>
        <v/>
      </c>
    </row>
    <row r="1406" spans="14:16" x14ac:dyDescent="0.3">
      <c r="N1406" s="1" t="str">
        <f t="shared" si="73"/>
        <v/>
      </c>
      <c r="O1406" s="1" t="str">
        <f t="shared" si="74"/>
        <v/>
      </c>
      <c r="P1406" s="1" t="str">
        <f t="shared" si="75"/>
        <v/>
      </c>
    </row>
    <row r="1407" spans="14:16" x14ac:dyDescent="0.3">
      <c r="N1407" s="1" t="str">
        <f t="shared" si="73"/>
        <v/>
      </c>
      <c r="O1407" s="1" t="str">
        <f t="shared" si="74"/>
        <v/>
      </c>
      <c r="P1407" s="1" t="str">
        <f t="shared" si="75"/>
        <v/>
      </c>
    </row>
    <row r="1408" spans="14:16" x14ac:dyDescent="0.3">
      <c r="N1408" s="1" t="str">
        <f t="shared" si="73"/>
        <v/>
      </c>
      <c r="O1408" s="1" t="str">
        <f t="shared" si="74"/>
        <v/>
      </c>
      <c r="P1408" s="1" t="str">
        <f t="shared" si="75"/>
        <v/>
      </c>
    </row>
    <row r="1409" spans="14:16" x14ac:dyDescent="0.3">
      <c r="N1409" s="1" t="str">
        <f t="shared" si="73"/>
        <v/>
      </c>
      <c r="O1409" s="1" t="str">
        <f t="shared" si="74"/>
        <v/>
      </c>
      <c r="P1409" s="1" t="str">
        <f t="shared" si="75"/>
        <v/>
      </c>
    </row>
    <row r="1410" spans="14:16" x14ac:dyDescent="0.3">
      <c r="N1410" s="1" t="str">
        <f t="shared" si="73"/>
        <v/>
      </c>
      <c r="O1410" s="1" t="str">
        <f t="shared" si="74"/>
        <v/>
      </c>
      <c r="P1410" s="1" t="str">
        <f t="shared" si="75"/>
        <v/>
      </c>
    </row>
    <row r="1411" spans="14:16" x14ac:dyDescent="0.3">
      <c r="N1411" s="1" t="str">
        <f t="shared" si="73"/>
        <v/>
      </c>
      <c r="O1411" s="1" t="str">
        <f t="shared" si="74"/>
        <v/>
      </c>
      <c r="P1411" s="1" t="str">
        <f t="shared" si="75"/>
        <v/>
      </c>
    </row>
    <row r="1412" spans="14:16" x14ac:dyDescent="0.3">
      <c r="N1412" s="1" t="str">
        <f t="shared" si="73"/>
        <v/>
      </c>
      <c r="O1412" s="1" t="str">
        <f t="shared" si="74"/>
        <v/>
      </c>
      <c r="P1412" s="1" t="str">
        <f t="shared" si="75"/>
        <v/>
      </c>
    </row>
    <row r="1413" spans="14:16" x14ac:dyDescent="0.3">
      <c r="N1413" s="1" t="str">
        <f t="shared" si="73"/>
        <v/>
      </c>
      <c r="O1413" s="1" t="str">
        <f t="shared" si="74"/>
        <v/>
      </c>
      <c r="P1413" s="1" t="str">
        <f t="shared" si="75"/>
        <v/>
      </c>
    </row>
    <row r="1414" spans="14:16" x14ac:dyDescent="0.3">
      <c r="N1414" s="1" t="str">
        <f t="shared" si="73"/>
        <v/>
      </c>
      <c r="O1414" s="1" t="str">
        <f t="shared" si="74"/>
        <v/>
      </c>
      <c r="P1414" s="1" t="str">
        <f t="shared" si="75"/>
        <v/>
      </c>
    </row>
    <row r="1415" spans="14:16" x14ac:dyDescent="0.3">
      <c r="N1415" s="1" t="str">
        <f t="shared" si="73"/>
        <v/>
      </c>
      <c r="O1415" s="1" t="str">
        <f t="shared" si="74"/>
        <v/>
      </c>
      <c r="P1415" s="1" t="str">
        <f t="shared" si="75"/>
        <v/>
      </c>
    </row>
    <row r="1416" spans="14:16" x14ac:dyDescent="0.3">
      <c r="N1416" s="1" t="str">
        <f t="shared" si="73"/>
        <v/>
      </c>
      <c r="O1416" s="1" t="str">
        <f t="shared" si="74"/>
        <v/>
      </c>
      <c r="P1416" s="1" t="str">
        <f t="shared" si="75"/>
        <v/>
      </c>
    </row>
    <row r="1417" spans="14:16" x14ac:dyDescent="0.3">
      <c r="N1417" s="1" t="str">
        <f t="shared" si="73"/>
        <v/>
      </c>
      <c r="O1417" s="1" t="str">
        <f t="shared" si="74"/>
        <v/>
      </c>
      <c r="P1417" s="1" t="str">
        <f t="shared" si="75"/>
        <v/>
      </c>
    </row>
    <row r="1418" spans="14:16" x14ac:dyDescent="0.3">
      <c r="N1418" s="1" t="str">
        <f t="shared" si="73"/>
        <v/>
      </c>
      <c r="O1418" s="1" t="str">
        <f t="shared" si="74"/>
        <v/>
      </c>
      <c r="P1418" s="1" t="str">
        <f t="shared" si="75"/>
        <v/>
      </c>
    </row>
    <row r="1419" spans="14:16" x14ac:dyDescent="0.3">
      <c r="N1419" s="1" t="str">
        <f t="shared" si="73"/>
        <v/>
      </c>
      <c r="O1419" s="1" t="str">
        <f t="shared" si="74"/>
        <v/>
      </c>
      <c r="P1419" s="1" t="str">
        <f t="shared" si="75"/>
        <v/>
      </c>
    </row>
    <row r="1420" spans="14:16" x14ac:dyDescent="0.3">
      <c r="N1420" s="1" t="str">
        <f t="shared" si="73"/>
        <v/>
      </c>
      <c r="O1420" s="1" t="str">
        <f t="shared" si="74"/>
        <v/>
      </c>
      <c r="P1420" s="1" t="str">
        <f t="shared" si="75"/>
        <v/>
      </c>
    </row>
    <row r="1421" spans="14:16" x14ac:dyDescent="0.3">
      <c r="N1421" s="1" t="str">
        <f t="shared" si="73"/>
        <v/>
      </c>
      <c r="O1421" s="1" t="str">
        <f t="shared" si="74"/>
        <v/>
      </c>
      <c r="P1421" s="1" t="str">
        <f t="shared" si="75"/>
        <v/>
      </c>
    </row>
    <row r="1422" spans="14:16" x14ac:dyDescent="0.3">
      <c r="N1422" s="1" t="str">
        <f t="shared" si="73"/>
        <v/>
      </c>
      <c r="O1422" s="1" t="str">
        <f t="shared" si="74"/>
        <v/>
      </c>
      <c r="P1422" s="1" t="str">
        <f t="shared" si="75"/>
        <v/>
      </c>
    </row>
    <row r="1423" spans="14:16" x14ac:dyDescent="0.3">
      <c r="N1423" s="1" t="str">
        <f t="shared" si="73"/>
        <v/>
      </c>
      <c r="O1423" s="1" t="str">
        <f t="shared" si="74"/>
        <v/>
      </c>
      <c r="P1423" s="1" t="str">
        <f t="shared" si="75"/>
        <v/>
      </c>
    </row>
    <row r="1424" spans="14:16" x14ac:dyDescent="0.3">
      <c r="N1424" s="1" t="str">
        <f t="shared" si="73"/>
        <v/>
      </c>
      <c r="O1424" s="1" t="str">
        <f t="shared" si="74"/>
        <v/>
      </c>
      <c r="P1424" s="1" t="str">
        <f t="shared" si="75"/>
        <v/>
      </c>
    </row>
    <row r="1425" spans="14:16" x14ac:dyDescent="0.3">
      <c r="N1425" s="1" t="str">
        <f t="shared" si="73"/>
        <v/>
      </c>
      <c r="O1425" s="1" t="str">
        <f t="shared" si="74"/>
        <v/>
      </c>
      <c r="P1425" s="1" t="str">
        <f t="shared" si="75"/>
        <v/>
      </c>
    </row>
    <row r="1426" spans="14:16" x14ac:dyDescent="0.3">
      <c r="N1426" s="1" t="str">
        <f t="shared" si="73"/>
        <v/>
      </c>
      <c r="O1426" s="1" t="str">
        <f t="shared" si="74"/>
        <v/>
      </c>
      <c r="P1426" s="1" t="str">
        <f t="shared" si="75"/>
        <v/>
      </c>
    </row>
    <row r="1427" spans="14:16" x14ac:dyDescent="0.3">
      <c r="N1427" s="1" t="str">
        <f t="shared" si="73"/>
        <v/>
      </c>
      <c r="O1427" s="1" t="str">
        <f t="shared" si="74"/>
        <v/>
      </c>
      <c r="P1427" s="1" t="str">
        <f t="shared" si="75"/>
        <v/>
      </c>
    </row>
    <row r="1428" spans="14:16" x14ac:dyDescent="0.3">
      <c r="N1428" s="1" t="str">
        <f t="shared" si="73"/>
        <v/>
      </c>
      <c r="O1428" s="1" t="str">
        <f t="shared" si="74"/>
        <v/>
      </c>
      <c r="P1428" s="1" t="str">
        <f t="shared" si="75"/>
        <v/>
      </c>
    </row>
    <row r="1429" spans="14:16" x14ac:dyDescent="0.3">
      <c r="N1429" s="1" t="str">
        <f t="shared" si="73"/>
        <v/>
      </c>
      <c r="O1429" s="1" t="str">
        <f t="shared" si="74"/>
        <v/>
      </c>
      <c r="P1429" s="1" t="str">
        <f t="shared" si="75"/>
        <v/>
      </c>
    </row>
    <row r="1430" spans="14:16" x14ac:dyDescent="0.3">
      <c r="N1430" s="1" t="str">
        <f t="shared" si="73"/>
        <v/>
      </c>
      <c r="O1430" s="1" t="str">
        <f t="shared" si="74"/>
        <v/>
      </c>
      <c r="P1430" s="1" t="str">
        <f t="shared" si="75"/>
        <v/>
      </c>
    </row>
    <row r="1431" spans="14:16" x14ac:dyDescent="0.3">
      <c r="N1431" s="1" t="str">
        <f t="shared" si="73"/>
        <v/>
      </c>
      <c r="O1431" s="1" t="str">
        <f t="shared" si="74"/>
        <v/>
      </c>
      <c r="P1431" s="1" t="str">
        <f t="shared" si="75"/>
        <v/>
      </c>
    </row>
    <row r="1432" spans="14:16" x14ac:dyDescent="0.3">
      <c r="N1432" s="1" t="str">
        <f t="shared" si="73"/>
        <v/>
      </c>
      <c r="O1432" s="1" t="str">
        <f t="shared" si="74"/>
        <v/>
      </c>
      <c r="P1432" s="1" t="str">
        <f t="shared" si="75"/>
        <v/>
      </c>
    </row>
    <row r="1433" spans="14:16" x14ac:dyDescent="0.3">
      <c r="N1433" s="1" t="str">
        <f t="shared" si="73"/>
        <v/>
      </c>
      <c r="O1433" s="1" t="str">
        <f t="shared" si="74"/>
        <v/>
      </c>
      <c r="P1433" s="1" t="str">
        <f t="shared" si="75"/>
        <v/>
      </c>
    </row>
    <row r="1434" spans="14:16" x14ac:dyDescent="0.3">
      <c r="N1434" s="1" t="str">
        <f t="shared" si="73"/>
        <v/>
      </c>
      <c r="O1434" s="1" t="str">
        <f t="shared" si="74"/>
        <v/>
      </c>
      <c r="P1434" s="1" t="str">
        <f t="shared" si="75"/>
        <v/>
      </c>
    </row>
    <row r="1435" spans="14:16" x14ac:dyDescent="0.3">
      <c r="N1435" s="1" t="str">
        <f t="shared" si="73"/>
        <v/>
      </c>
      <c r="O1435" s="1" t="str">
        <f t="shared" si="74"/>
        <v/>
      </c>
      <c r="P1435" s="1" t="str">
        <f t="shared" si="75"/>
        <v/>
      </c>
    </row>
    <row r="1436" spans="14:16" x14ac:dyDescent="0.3">
      <c r="N1436" s="1" t="str">
        <f t="shared" si="73"/>
        <v/>
      </c>
      <c r="O1436" s="1" t="str">
        <f t="shared" si="74"/>
        <v/>
      </c>
      <c r="P1436" s="1" t="str">
        <f t="shared" si="75"/>
        <v/>
      </c>
    </row>
    <row r="1437" spans="14:16" x14ac:dyDescent="0.3">
      <c r="N1437" s="1" t="str">
        <f t="shared" si="73"/>
        <v/>
      </c>
      <c r="O1437" s="1" t="str">
        <f t="shared" si="74"/>
        <v/>
      </c>
      <c r="P1437" s="1" t="str">
        <f t="shared" si="75"/>
        <v/>
      </c>
    </row>
    <row r="1438" spans="14:16" x14ac:dyDescent="0.3">
      <c r="N1438" s="1" t="str">
        <f t="shared" si="73"/>
        <v/>
      </c>
      <c r="O1438" s="1" t="str">
        <f t="shared" si="74"/>
        <v/>
      </c>
      <c r="P1438" s="1" t="str">
        <f t="shared" si="75"/>
        <v/>
      </c>
    </row>
    <row r="1439" spans="14:16" x14ac:dyDescent="0.3">
      <c r="N1439" s="1" t="str">
        <f t="shared" si="73"/>
        <v/>
      </c>
      <c r="O1439" s="1" t="str">
        <f t="shared" si="74"/>
        <v/>
      </c>
      <c r="P1439" s="1" t="str">
        <f t="shared" si="75"/>
        <v/>
      </c>
    </row>
    <row r="1440" spans="14:16" x14ac:dyDescent="0.3">
      <c r="N1440" s="1" t="str">
        <f t="shared" si="73"/>
        <v/>
      </c>
      <c r="O1440" s="1" t="str">
        <f t="shared" si="74"/>
        <v/>
      </c>
      <c r="P1440" s="1" t="str">
        <f t="shared" si="75"/>
        <v/>
      </c>
    </row>
    <row r="1441" spans="14:16" x14ac:dyDescent="0.3">
      <c r="N1441" s="1" t="str">
        <f t="shared" si="73"/>
        <v/>
      </c>
      <c r="O1441" s="1" t="str">
        <f t="shared" si="74"/>
        <v/>
      </c>
      <c r="P1441" s="1" t="str">
        <f t="shared" si="75"/>
        <v/>
      </c>
    </row>
    <row r="1442" spans="14:16" x14ac:dyDescent="0.3">
      <c r="N1442" s="1" t="str">
        <f t="shared" si="73"/>
        <v/>
      </c>
      <c r="O1442" s="1" t="str">
        <f t="shared" si="74"/>
        <v/>
      </c>
      <c r="P1442" s="1" t="str">
        <f t="shared" si="75"/>
        <v/>
      </c>
    </row>
    <row r="1443" spans="14:16" x14ac:dyDescent="0.3">
      <c r="N1443" s="1" t="str">
        <f t="shared" si="73"/>
        <v/>
      </c>
      <c r="O1443" s="1" t="str">
        <f t="shared" si="74"/>
        <v/>
      </c>
      <c r="P1443" s="1" t="str">
        <f t="shared" si="75"/>
        <v/>
      </c>
    </row>
    <row r="1444" spans="14:16" x14ac:dyDescent="0.3">
      <c r="N1444" s="1" t="str">
        <f t="shared" si="73"/>
        <v/>
      </c>
      <c r="O1444" s="1" t="str">
        <f t="shared" si="74"/>
        <v/>
      </c>
      <c r="P1444" s="1" t="str">
        <f t="shared" si="75"/>
        <v/>
      </c>
    </row>
    <row r="1445" spans="14:16" x14ac:dyDescent="0.3">
      <c r="N1445" s="1" t="str">
        <f t="shared" si="73"/>
        <v/>
      </c>
      <c r="O1445" s="1" t="str">
        <f t="shared" si="74"/>
        <v/>
      </c>
      <c r="P1445" s="1" t="str">
        <f t="shared" si="75"/>
        <v/>
      </c>
    </row>
    <row r="1446" spans="14:16" x14ac:dyDescent="0.3">
      <c r="N1446" s="1" t="str">
        <f t="shared" si="73"/>
        <v/>
      </c>
      <c r="O1446" s="1" t="str">
        <f t="shared" si="74"/>
        <v/>
      </c>
      <c r="P1446" s="1" t="str">
        <f t="shared" si="75"/>
        <v/>
      </c>
    </row>
    <row r="1447" spans="14:16" x14ac:dyDescent="0.3">
      <c r="N1447" s="1" t="str">
        <f t="shared" si="73"/>
        <v/>
      </c>
      <c r="O1447" s="1" t="str">
        <f t="shared" si="74"/>
        <v/>
      </c>
      <c r="P1447" s="1" t="str">
        <f t="shared" si="75"/>
        <v/>
      </c>
    </row>
    <row r="1448" spans="14:16" x14ac:dyDescent="0.3">
      <c r="N1448" s="1" t="str">
        <f t="shared" si="73"/>
        <v/>
      </c>
      <c r="O1448" s="1" t="str">
        <f t="shared" si="74"/>
        <v/>
      </c>
      <c r="P1448" s="1" t="str">
        <f t="shared" si="75"/>
        <v/>
      </c>
    </row>
    <row r="1449" spans="14:16" x14ac:dyDescent="0.3">
      <c r="N1449" s="1" t="str">
        <f t="shared" si="73"/>
        <v/>
      </c>
      <c r="O1449" s="1" t="str">
        <f t="shared" si="74"/>
        <v/>
      </c>
      <c r="P1449" s="1" t="str">
        <f t="shared" si="75"/>
        <v/>
      </c>
    </row>
    <row r="1450" spans="14:16" x14ac:dyDescent="0.3">
      <c r="N1450" s="1" t="str">
        <f t="shared" si="73"/>
        <v/>
      </c>
      <c r="O1450" s="1" t="str">
        <f t="shared" si="74"/>
        <v/>
      </c>
      <c r="P1450" s="1" t="str">
        <f t="shared" si="75"/>
        <v/>
      </c>
    </row>
    <row r="1451" spans="14:16" x14ac:dyDescent="0.3">
      <c r="N1451" s="1" t="str">
        <f t="shared" si="73"/>
        <v/>
      </c>
      <c r="O1451" s="1" t="str">
        <f t="shared" si="74"/>
        <v/>
      </c>
      <c r="P1451" s="1" t="str">
        <f t="shared" si="75"/>
        <v/>
      </c>
    </row>
    <row r="1452" spans="14:16" x14ac:dyDescent="0.3">
      <c r="N1452" s="1" t="str">
        <f t="shared" si="73"/>
        <v/>
      </c>
      <c r="O1452" s="1" t="str">
        <f t="shared" si="74"/>
        <v/>
      </c>
      <c r="P1452" s="1" t="str">
        <f t="shared" si="75"/>
        <v/>
      </c>
    </row>
    <row r="1453" spans="14:16" x14ac:dyDescent="0.3">
      <c r="N1453" s="1" t="str">
        <f t="shared" si="73"/>
        <v/>
      </c>
      <c r="O1453" s="1" t="str">
        <f t="shared" si="74"/>
        <v/>
      </c>
      <c r="P1453" s="1" t="str">
        <f t="shared" si="75"/>
        <v/>
      </c>
    </row>
    <row r="1454" spans="14:16" x14ac:dyDescent="0.3">
      <c r="N1454" s="1" t="str">
        <f t="shared" si="73"/>
        <v/>
      </c>
      <c r="O1454" s="1" t="str">
        <f t="shared" si="74"/>
        <v/>
      </c>
      <c r="P1454" s="1" t="str">
        <f t="shared" si="75"/>
        <v/>
      </c>
    </row>
    <row r="1455" spans="14:16" x14ac:dyDescent="0.3">
      <c r="N1455" s="1" t="str">
        <f t="shared" si="73"/>
        <v/>
      </c>
      <c r="O1455" s="1" t="str">
        <f t="shared" si="74"/>
        <v/>
      </c>
      <c r="P1455" s="1" t="str">
        <f t="shared" si="75"/>
        <v/>
      </c>
    </row>
    <row r="1456" spans="14:16" x14ac:dyDescent="0.3">
      <c r="N1456" s="1" t="str">
        <f t="shared" ref="N1456:N1519" si="76">IF(LEN($C1456)&gt;0,H1456-E1456,"")</f>
        <v/>
      </c>
      <c r="O1456" s="1" t="str">
        <f t="shared" ref="O1456:O1519" si="77">IF(LEN($C1456)&gt;0,I1456-F1456,"")</f>
        <v/>
      </c>
      <c r="P1456" s="1" t="str">
        <f t="shared" ref="P1456:P1519" si="78">IF(LEN($C1456)&gt;0,J1456-G1456,"")</f>
        <v/>
      </c>
    </row>
    <row r="1457" spans="14:16" x14ac:dyDescent="0.3">
      <c r="N1457" s="1" t="str">
        <f t="shared" si="76"/>
        <v/>
      </c>
      <c r="O1457" s="1" t="str">
        <f t="shared" si="77"/>
        <v/>
      </c>
      <c r="P1457" s="1" t="str">
        <f t="shared" si="78"/>
        <v/>
      </c>
    </row>
    <row r="1458" spans="14:16" x14ac:dyDescent="0.3">
      <c r="N1458" s="1" t="str">
        <f t="shared" si="76"/>
        <v/>
      </c>
      <c r="O1458" s="1" t="str">
        <f t="shared" si="77"/>
        <v/>
      </c>
      <c r="P1458" s="1" t="str">
        <f t="shared" si="78"/>
        <v/>
      </c>
    </row>
    <row r="1459" spans="14:16" x14ac:dyDescent="0.3">
      <c r="N1459" s="1" t="str">
        <f t="shared" si="76"/>
        <v/>
      </c>
      <c r="O1459" s="1" t="str">
        <f t="shared" si="77"/>
        <v/>
      </c>
      <c r="P1459" s="1" t="str">
        <f t="shared" si="78"/>
        <v/>
      </c>
    </row>
    <row r="1460" spans="14:16" x14ac:dyDescent="0.3">
      <c r="N1460" s="1" t="str">
        <f t="shared" si="76"/>
        <v/>
      </c>
      <c r="O1460" s="1" t="str">
        <f t="shared" si="77"/>
        <v/>
      </c>
      <c r="P1460" s="1" t="str">
        <f t="shared" si="78"/>
        <v/>
      </c>
    </row>
    <row r="1461" spans="14:16" x14ac:dyDescent="0.3">
      <c r="N1461" s="1" t="str">
        <f t="shared" si="76"/>
        <v/>
      </c>
      <c r="O1461" s="1" t="str">
        <f t="shared" si="77"/>
        <v/>
      </c>
      <c r="P1461" s="1" t="str">
        <f t="shared" si="78"/>
        <v/>
      </c>
    </row>
    <row r="1462" spans="14:16" x14ac:dyDescent="0.3">
      <c r="N1462" s="1" t="str">
        <f t="shared" si="76"/>
        <v/>
      </c>
      <c r="O1462" s="1" t="str">
        <f t="shared" si="77"/>
        <v/>
      </c>
      <c r="P1462" s="1" t="str">
        <f t="shared" si="78"/>
        <v/>
      </c>
    </row>
    <row r="1463" spans="14:16" x14ac:dyDescent="0.3">
      <c r="N1463" s="1" t="str">
        <f t="shared" si="76"/>
        <v/>
      </c>
      <c r="O1463" s="1" t="str">
        <f t="shared" si="77"/>
        <v/>
      </c>
      <c r="P1463" s="1" t="str">
        <f t="shared" si="78"/>
        <v/>
      </c>
    </row>
    <row r="1464" spans="14:16" x14ac:dyDescent="0.3">
      <c r="N1464" s="1" t="str">
        <f t="shared" si="76"/>
        <v/>
      </c>
      <c r="O1464" s="1" t="str">
        <f t="shared" si="77"/>
        <v/>
      </c>
      <c r="P1464" s="1" t="str">
        <f t="shared" si="78"/>
        <v/>
      </c>
    </row>
    <row r="1465" spans="14:16" x14ac:dyDescent="0.3">
      <c r="N1465" s="1" t="str">
        <f t="shared" si="76"/>
        <v/>
      </c>
      <c r="O1465" s="1" t="str">
        <f t="shared" si="77"/>
        <v/>
      </c>
      <c r="P1465" s="1" t="str">
        <f t="shared" si="78"/>
        <v/>
      </c>
    </row>
    <row r="1466" spans="14:16" x14ac:dyDescent="0.3">
      <c r="N1466" s="1" t="str">
        <f t="shared" si="76"/>
        <v/>
      </c>
      <c r="O1466" s="1" t="str">
        <f t="shared" si="77"/>
        <v/>
      </c>
      <c r="P1466" s="1" t="str">
        <f t="shared" si="78"/>
        <v/>
      </c>
    </row>
    <row r="1467" spans="14:16" x14ac:dyDescent="0.3">
      <c r="N1467" s="1" t="str">
        <f t="shared" si="76"/>
        <v/>
      </c>
      <c r="O1467" s="1" t="str">
        <f t="shared" si="77"/>
        <v/>
      </c>
      <c r="P1467" s="1" t="str">
        <f t="shared" si="78"/>
        <v/>
      </c>
    </row>
    <row r="1468" spans="14:16" x14ac:dyDescent="0.3">
      <c r="N1468" s="1" t="str">
        <f t="shared" si="76"/>
        <v/>
      </c>
      <c r="O1468" s="1" t="str">
        <f t="shared" si="77"/>
        <v/>
      </c>
      <c r="P1468" s="1" t="str">
        <f t="shared" si="78"/>
        <v/>
      </c>
    </row>
    <row r="1469" spans="14:16" x14ac:dyDescent="0.3">
      <c r="N1469" s="1" t="str">
        <f t="shared" si="76"/>
        <v/>
      </c>
      <c r="O1469" s="1" t="str">
        <f t="shared" si="77"/>
        <v/>
      </c>
      <c r="P1469" s="1" t="str">
        <f t="shared" si="78"/>
        <v/>
      </c>
    </row>
    <row r="1470" spans="14:16" x14ac:dyDescent="0.3">
      <c r="N1470" s="1" t="str">
        <f t="shared" si="76"/>
        <v/>
      </c>
      <c r="O1470" s="1" t="str">
        <f t="shared" si="77"/>
        <v/>
      </c>
      <c r="P1470" s="1" t="str">
        <f t="shared" si="78"/>
        <v/>
      </c>
    </row>
    <row r="1471" spans="14:16" x14ac:dyDescent="0.3">
      <c r="N1471" s="1" t="str">
        <f t="shared" si="76"/>
        <v/>
      </c>
      <c r="O1471" s="1" t="str">
        <f t="shared" si="77"/>
        <v/>
      </c>
      <c r="P1471" s="1" t="str">
        <f t="shared" si="78"/>
        <v/>
      </c>
    </row>
    <row r="1472" spans="14:16" x14ac:dyDescent="0.3">
      <c r="N1472" s="1" t="str">
        <f t="shared" si="76"/>
        <v/>
      </c>
      <c r="O1472" s="1" t="str">
        <f t="shared" si="77"/>
        <v/>
      </c>
      <c r="P1472" s="1" t="str">
        <f t="shared" si="78"/>
        <v/>
      </c>
    </row>
    <row r="1473" spans="14:16" x14ac:dyDescent="0.3">
      <c r="N1473" s="1" t="str">
        <f t="shared" si="76"/>
        <v/>
      </c>
      <c r="O1473" s="1" t="str">
        <f t="shared" si="77"/>
        <v/>
      </c>
      <c r="P1473" s="1" t="str">
        <f t="shared" si="78"/>
        <v/>
      </c>
    </row>
    <row r="1474" spans="14:16" x14ac:dyDescent="0.3">
      <c r="N1474" s="1" t="str">
        <f t="shared" si="76"/>
        <v/>
      </c>
      <c r="O1474" s="1" t="str">
        <f t="shared" si="77"/>
        <v/>
      </c>
      <c r="P1474" s="1" t="str">
        <f t="shared" si="78"/>
        <v/>
      </c>
    </row>
    <row r="1475" spans="14:16" x14ac:dyDescent="0.3">
      <c r="N1475" s="1" t="str">
        <f t="shared" si="76"/>
        <v/>
      </c>
      <c r="O1475" s="1" t="str">
        <f t="shared" si="77"/>
        <v/>
      </c>
      <c r="P1475" s="1" t="str">
        <f t="shared" si="78"/>
        <v/>
      </c>
    </row>
    <row r="1476" spans="14:16" x14ac:dyDescent="0.3">
      <c r="N1476" s="1" t="str">
        <f t="shared" si="76"/>
        <v/>
      </c>
      <c r="O1476" s="1" t="str">
        <f t="shared" si="77"/>
        <v/>
      </c>
      <c r="P1476" s="1" t="str">
        <f t="shared" si="78"/>
        <v/>
      </c>
    </row>
    <row r="1477" spans="14:16" x14ac:dyDescent="0.3">
      <c r="N1477" s="1" t="str">
        <f t="shared" si="76"/>
        <v/>
      </c>
      <c r="O1477" s="1" t="str">
        <f t="shared" si="77"/>
        <v/>
      </c>
      <c r="P1477" s="1" t="str">
        <f t="shared" si="78"/>
        <v/>
      </c>
    </row>
    <row r="1478" spans="14:16" x14ac:dyDescent="0.3">
      <c r="N1478" s="1" t="str">
        <f t="shared" si="76"/>
        <v/>
      </c>
      <c r="O1478" s="1" t="str">
        <f t="shared" si="77"/>
        <v/>
      </c>
      <c r="P1478" s="1" t="str">
        <f t="shared" si="78"/>
        <v/>
      </c>
    </row>
    <row r="1479" spans="14:16" x14ac:dyDescent="0.3">
      <c r="N1479" s="1" t="str">
        <f t="shared" si="76"/>
        <v/>
      </c>
      <c r="O1479" s="1" t="str">
        <f t="shared" si="77"/>
        <v/>
      </c>
      <c r="P1479" s="1" t="str">
        <f t="shared" si="78"/>
        <v/>
      </c>
    </row>
    <row r="1480" spans="14:16" x14ac:dyDescent="0.3">
      <c r="N1480" s="1" t="str">
        <f t="shared" si="76"/>
        <v/>
      </c>
      <c r="O1480" s="1" t="str">
        <f t="shared" si="77"/>
        <v/>
      </c>
      <c r="P1480" s="1" t="str">
        <f t="shared" si="78"/>
        <v/>
      </c>
    </row>
    <row r="1481" spans="14:16" x14ac:dyDescent="0.3">
      <c r="N1481" s="1" t="str">
        <f t="shared" si="76"/>
        <v/>
      </c>
      <c r="O1481" s="1" t="str">
        <f t="shared" si="77"/>
        <v/>
      </c>
      <c r="P1481" s="1" t="str">
        <f t="shared" si="78"/>
        <v/>
      </c>
    </row>
    <row r="1482" spans="14:16" x14ac:dyDescent="0.3">
      <c r="N1482" s="1" t="str">
        <f t="shared" si="76"/>
        <v/>
      </c>
      <c r="O1482" s="1" t="str">
        <f t="shared" si="77"/>
        <v/>
      </c>
      <c r="P1482" s="1" t="str">
        <f t="shared" si="78"/>
        <v/>
      </c>
    </row>
    <row r="1483" spans="14:16" x14ac:dyDescent="0.3">
      <c r="N1483" s="1" t="str">
        <f t="shared" si="76"/>
        <v/>
      </c>
      <c r="O1483" s="1" t="str">
        <f t="shared" si="77"/>
        <v/>
      </c>
      <c r="P1483" s="1" t="str">
        <f t="shared" si="78"/>
        <v/>
      </c>
    </row>
    <row r="1484" spans="14:16" x14ac:dyDescent="0.3">
      <c r="N1484" s="1" t="str">
        <f t="shared" si="76"/>
        <v/>
      </c>
      <c r="O1484" s="1" t="str">
        <f t="shared" si="77"/>
        <v/>
      </c>
      <c r="P1484" s="1" t="str">
        <f t="shared" si="78"/>
        <v/>
      </c>
    </row>
    <row r="1485" spans="14:16" x14ac:dyDescent="0.3">
      <c r="N1485" s="1" t="str">
        <f t="shared" si="76"/>
        <v/>
      </c>
      <c r="O1485" s="1" t="str">
        <f t="shared" si="77"/>
        <v/>
      </c>
      <c r="P1485" s="1" t="str">
        <f t="shared" si="78"/>
        <v/>
      </c>
    </row>
    <row r="1486" spans="14:16" x14ac:dyDescent="0.3">
      <c r="N1486" s="1" t="str">
        <f t="shared" si="76"/>
        <v/>
      </c>
      <c r="O1486" s="1" t="str">
        <f t="shared" si="77"/>
        <v/>
      </c>
      <c r="P1486" s="1" t="str">
        <f t="shared" si="78"/>
        <v/>
      </c>
    </row>
    <row r="1487" spans="14:16" x14ac:dyDescent="0.3">
      <c r="N1487" s="1" t="str">
        <f t="shared" si="76"/>
        <v/>
      </c>
      <c r="O1487" s="1" t="str">
        <f t="shared" si="77"/>
        <v/>
      </c>
      <c r="P1487" s="1" t="str">
        <f t="shared" si="78"/>
        <v/>
      </c>
    </row>
    <row r="1488" spans="14:16" x14ac:dyDescent="0.3">
      <c r="N1488" s="1" t="str">
        <f t="shared" si="76"/>
        <v/>
      </c>
      <c r="O1488" s="1" t="str">
        <f t="shared" si="77"/>
        <v/>
      </c>
      <c r="P1488" s="1" t="str">
        <f t="shared" si="78"/>
        <v/>
      </c>
    </row>
    <row r="1489" spans="14:16" x14ac:dyDescent="0.3">
      <c r="N1489" s="1" t="str">
        <f t="shared" si="76"/>
        <v/>
      </c>
      <c r="O1489" s="1" t="str">
        <f t="shared" si="77"/>
        <v/>
      </c>
      <c r="P1489" s="1" t="str">
        <f t="shared" si="78"/>
        <v/>
      </c>
    </row>
    <row r="1490" spans="14:16" x14ac:dyDescent="0.3">
      <c r="N1490" s="1" t="str">
        <f t="shared" si="76"/>
        <v/>
      </c>
      <c r="O1490" s="1" t="str">
        <f t="shared" si="77"/>
        <v/>
      </c>
      <c r="P1490" s="1" t="str">
        <f t="shared" si="78"/>
        <v/>
      </c>
    </row>
    <row r="1491" spans="14:16" x14ac:dyDescent="0.3">
      <c r="N1491" s="1" t="str">
        <f t="shared" si="76"/>
        <v/>
      </c>
      <c r="O1491" s="1" t="str">
        <f t="shared" si="77"/>
        <v/>
      </c>
      <c r="P1491" s="1" t="str">
        <f t="shared" si="78"/>
        <v/>
      </c>
    </row>
    <row r="1492" spans="14:16" x14ac:dyDescent="0.3">
      <c r="N1492" s="1" t="str">
        <f t="shared" si="76"/>
        <v/>
      </c>
      <c r="O1492" s="1" t="str">
        <f t="shared" si="77"/>
        <v/>
      </c>
      <c r="P1492" s="1" t="str">
        <f t="shared" si="78"/>
        <v/>
      </c>
    </row>
    <row r="1493" spans="14:16" x14ac:dyDescent="0.3">
      <c r="N1493" s="1" t="str">
        <f t="shared" si="76"/>
        <v/>
      </c>
      <c r="O1493" s="1" t="str">
        <f t="shared" si="77"/>
        <v/>
      </c>
      <c r="P1493" s="1" t="str">
        <f t="shared" si="78"/>
        <v/>
      </c>
    </row>
    <row r="1494" spans="14:16" x14ac:dyDescent="0.3">
      <c r="N1494" s="1" t="str">
        <f t="shared" si="76"/>
        <v/>
      </c>
      <c r="O1494" s="1" t="str">
        <f t="shared" si="77"/>
        <v/>
      </c>
      <c r="P1494" s="1" t="str">
        <f t="shared" si="78"/>
        <v/>
      </c>
    </row>
    <row r="1495" spans="14:16" x14ac:dyDescent="0.3">
      <c r="N1495" s="1" t="str">
        <f t="shared" si="76"/>
        <v/>
      </c>
      <c r="O1495" s="1" t="str">
        <f t="shared" si="77"/>
        <v/>
      </c>
      <c r="P1495" s="1" t="str">
        <f t="shared" si="78"/>
        <v/>
      </c>
    </row>
    <row r="1496" spans="14:16" x14ac:dyDescent="0.3">
      <c r="N1496" s="1" t="str">
        <f t="shared" si="76"/>
        <v/>
      </c>
      <c r="O1496" s="1" t="str">
        <f t="shared" si="77"/>
        <v/>
      </c>
      <c r="P1496" s="1" t="str">
        <f t="shared" si="78"/>
        <v/>
      </c>
    </row>
    <row r="1497" spans="14:16" x14ac:dyDescent="0.3">
      <c r="N1497" s="1" t="str">
        <f t="shared" si="76"/>
        <v/>
      </c>
      <c r="O1497" s="1" t="str">
        <f t="shared" si="77"/>
        <v/>
      </c>
      <c r="P1497" s="1" t="str">
        <f t="shared" si="78"/>
        <v/>
      </c>
    </row>
    <row r="1498" spans="14:16" x14ac:dyDescent="0.3">
      <c r="N1498" s="1" t="str">
        <f t="shared" si="76"/>
        <v/>
      </c>
      <c r="O1498" s="1" t="str">
        <f t="shared" si="77"/>
        <v/>
      </c>
      <c r="P1498" s="1" t="str">
        <f t="shared" si="78"/>
        <v/>
      </c>
    </row>
    <row r="1499" spans="14:16" x14ac:dyDescent="0.3">
      <c r="N1499" s="1" t="str">
        <f t="shared" si="76"/>
        <v/>
      </c>
      <c r="O1499" s="1" t="str">
        <f t="shared" si="77"/>
        <v/>
      </c>
      <c r="P1499" s="1" t="str">
        <f t="shared" si="78"/>
        <v/>
      </c>
    </row>
    <row r="1500" spans="14:16" x14ac:dyDescent="0.3">
      <c r="N1500" s="1" t="str">
        <f t="shared" si="76"/>
        <v/>
      </c>
      <c r="O1500" s="1" t="str">
        <f t="shared" si="77"/>
        <v/>
      </c>
      <c r="P1500" s="1" t="str">
        <f t="shared" si="78"/>
        <v/>
      </c>
    </row>
    <row r="1501" spans="14:16" x14ac:dyDescent="0.3">
      <c r="N1501" s="1" t="str">
        <f t="shared" si="76"/>
        <v/>
      </c>
      <c r="O1501" s="1" t="str">
        <f t="shared" si="77"/>
        <v/>
      </c>
      <c r="P1501" s="1" t="str">
        <f t="shared" si="78"/>
        <v/>
      </c>
    </row>
    <row r="1502" spans="14:16" x14ac:dyDescent="0.3">
      <c r="N1502" s="1" t="str">
        <f t="shared" si="76"/>
        <v/>
      </c>
      <c r="O1502" s="1" t="str">
        <f t="shared" si="77"/>
        <v/>
      </c>
      <c r="P1502" s="1" t="str">
        <f t="shared" si="78"/>
        <v/>
      </c>
    </row>
    <row r="1503" spans="14:16" x14ac:dyDescent="0.3">
      <c r="N1503" s="1" t="str">
        <f t="shared" si="76"/>
        <v/>
      </c>
      <c r="O1503" s="1" t="str">
        <f t="shared" si="77"/>
        <v/>
      </c>
      <c r="P1503" s="1" t="str">
        <f t="shared" si="78"/>
        <v/>
      </c>
    </row>
    <row r="1504" spans="14:16" x14ac:dyDescent="0.3">
      <c r="N1504" s="1" t="str">
        <f t="shared" si="76"/>
        <v/>
      </c>
      <c r="O1504" s="1" t="str">
        <f t="shared" si="77"/>
        <v/>
      </c>
      <c r="P1504" s="1" t="str">
        <f t="shared" si="78"/>
        <v/>
      </c>
    </row>
    <row r="1505" spans="14:16" x14ac:dyDescent="0.3">
      <c r="N1505" s="1" t="str">
        <f t="shared" si="76"/>
        <v/>
      </c>
      <c r="O1505" s="1" t="str">
        <f t="shared" si="77"/>
        <v/>
      </c>
      <c r="P1505" s="1" t="str">
        <f t="shared" si="78"/>
        <v/>
      </c>
    </row>
    <row r="1506" spans="14:16" x14ac:dyDescent="0.3">
      <c r="N1506" s="1" t="str">
        <f t="shared" si="76"/>
        <v/>
      </c>
      <c r="O1506" s="1" t="str">
        <f t="shared" si="77"/>
        <v/>
      </c>
      <c r="P1506" s="1" t="str">
        <f t="shared" si="78"/>
        <v/>
      </c>
    </row>
    <row r="1507" spans="14:16" x14ac:dyDescent="0.3">
      <c r="N1507" s="1" t="str">
        <f t="shared" si="76"/>
        <v/>
      </c>
      <c r="O1507" s="1" t="str">
        <f t="shared" si="77"/>
        <v/>
      </c>
      <c r="P1507" s="1" t="str">
        <f t="shared" si="78"/>
        <v/>
      </c>
    </row>
    <row r="1508" spans="14:16" x14ac:dyDescent="0.3">
      <c r="N1508" s="1" t="str">
        <f t="shared" si="76"/>
        <v/>
      </c>
      <c r="O1508" s="1" t="str">
        <f t="shared" si="77"/>
        <v/>
      </c>
      <c r="P1508" s="1" t="str">
        <f t="shared" si="78"/>
        <v/>
      </c>
    </row>
    <row r="1509" spans="14:16" x14ac:dyDescent="0.3">
      <c r="N1509" s="1" t="str">
        <f t="shared" si="76"/>
        <v/>
      </c>
      <c r="O1509" s="1" t="str">
        <f t="shared" si="77"/>
        <v/>
      </c>
      <c r="P1509" s="1" t="str">
        <f t="shared" si="78"/>
        <v/>
      </c>
    </row>
    <row r="1510" spans="14:16" x14ac:dyDescent="0.3">
      <c r="N1510" s="1" t="str">
        <f t="shared" si="76"/>
        <v/>
      </c>
      <c r="O1510" s="1" t="str">
        <f t="shared" si="77"/>
        <v/>
      </c>
      <c r="P1510" s="1" t="str">
        <f t="shared" si="78"/>
        <v/>
      </c>
    </row>
    <row r="1511" spans="14:16" x14ac:dyDescent="0.3">
      <c r="N1511" s="1" t="str">
        <f t="shared" si="76"/>
        <v/>
      </c>
      <c r="O1511" s="1" t="str">
        <f t="shared" si="77"/>
        <v/>
      </c>
      <c r="P1511" s="1" t="str">
        <f t="shared" si="78"/>
        <v/>
      </c>
    </row>
    <row r="1512" spans="14:16" x14ac:dyDescent="0.3">
      <c r="N1512" s="1" t="str">
        <f t="shared" si="76"/>
        <v/>
      </c>
      <c r="O1512" s="1" t="str">
        <f t="shared" si="77"/>
        <v/>
      </c>
      <c r="P1512" s="1" t="str">
        <f t="shared" si="78"/>
        <v/>
      </c>
    </row>
    <row r="1513" spans="14:16" x14ac:dyDescent="0.3">
      <c r="N1513" s="1" t="str">
        <f t="shared" si="76"/>
        <v/>
      </c>
      <c r="O1513" s="1" t="str">
        <f t="shared" si="77"/>
        <v/>
      </c>
      <c r="P1513" s="1" t="str">
        <f t="shared" si="78"/>
        <v/>
      </c>
    </row>
    <row r="1514" spans="14:16" x14ac:dyDescent="0.3">
      <c r="N1514" s="1" t="str">
        <f t="shared" si="76"/>
        <v/>
      </c>
      <c r="O1514" s="1" t="str">
        <f t="shared" si="77"/>
        <v/>
      </c>
      <c r="P1514" s="1" t="str">
        <f t="shared" si="78"/>
        <v/>
      </c>
    </row>
    <row r="1515" spans="14:16" x14ac:dyDescent="0.3">
      <c r="N1515" s="1" t="str">
        <f t="shared" si="76"/>
        <v/>
      </c>
      <c r="O1515" s="1" t="str">
        <f t="shared" si="77"/>
        <v/>
      </c>
      <c r="P1515" s="1" t="str">
        <f t="shared" si="78"/>
        <v/>
      </c>
    </row>
    <row r="1516" spans="14:16" x14ac:dyDescent="0.3">
      <c r="N1516" s="1" t="str">
        <f t="shared" si="76"/>
        <v/>
      </c>
      <c r="O1516" s="1" t="str">
        <f t="shared" si="77"/>
        <v/>
      </c>
      <c r="P1516" s="1" t="str">
        <f t="shared" si="78"/>
        <v/>
      </c>
    </row>
    <row r="1517" spans="14:16" x14ac:dyDescent="0.3">
      <c r="N1517" s="1" t="str">
        <f t="shared" si="76"/>
        <v/>
      </c>
      <c r="O1517" s="1" t="str">
        <f t="shared" si="77"/>
        <v/>
      </c>
      <c r="P1517" s="1" t="str">
        <f t="shared" si="78"/>
        <v/>
      </c>
    </row>
    <row r="1518" spans="14:16" x14ac:dyDescent="0.3">
      <c r="N1518" s="1" t="str">
        <f t="shared" si="76"/>
        <v/>
      </c>
      <c r="O1518" s="1" t="str">
        <f t="shared" si="77"/>
        <v/>
      </c>
      <c r="P1518" s="1" t="str">
        <f t="shared" si="78"/>
        <v/>
      </c>
    </row>
    <row r="1519" spans="14:16" x14ac:dyDescent="0.3">
      <c r="N1519" s="1" t="str">
        <f t="shared" si="76"/>
        <v/>
      </c>
      <c r="O1519" s="1" t="str">
        <f t="shared" si="77"/>
        <v/>
      </c>
      <c r="P1519" s="1" t="str">
        <f t="shared" si="78"/>
        <v/>
      </c>
    </row>
    <row r="1520" spans="14:16" x14ac:dyDescent="0.3">
      <c r="N1520" s="1" t="str">
        <f t="shared" ref="N1520:N1583" si="79">IF(LEN($C1520)&gt;0,H1520-E1520,"")</f>
        <v/>
      </c>
      <c r="O1520" s="1" t="str">
        <f t="shared" ref="O1520:O1583" si="80">IF(LEN($C1520)&gt;0,I1520-F1520,"")</f>
        <v/>
      </c>
      <c r="P1520" s="1" t="str">
        <f t="shared" ref="P1520:P1583" si="81">IF(LEN($C1520)&gt;0,J1520-G1520,"")</f>
        <v/>
      </c>
    </row>
    <row r="1521" spans="14:16" x14ac:dyDescent="0.3">
      <c r="N1521" s="1" t="str">
        <f t="shared" si="79"/>
        <v/>
      </c>
      <c r="O1521" s="1" t="str">
        <f t="shared" si="80"/>
        <v/>
      </c>
      <c r="P1521" s="1" t="str">
        <f t="shared" si="81"/>
        <v/>
      </c>
    </row>
    <row r="1522" spans="14:16" x14ac:dyDescent="0.3">
      <c r="N1522" s="1" t="str">
        <f t="shared" si="79"/>
        <v/>
      </c>
      <c r="O1522" s="1" t="str">
        <f t="shared" si="80"/>
        <v/>
      </c>
      <c r="P1522" s="1" t="str">
        <f t="shared" si="81"/>
        <v/>
      </c>
    </row>
    <row r="1523" spans="14:16" x14ac:dyDescent="0.3">
      <c r="N1523" s="1" t="str">
        <f t="shared" si="79"/>
        <v/>
      </c>
      <c r="O1523" s="1" t="str">
        <f t="shared" si="80"/>
        <v/>
      </c>
      <c r="P1523" s="1" t="str">
        <f t="shared" si="81"/>
        <v/>
      </c>
    </row>
    <row r="1524" spans="14:16" x14ac:dyDescent="0.3">
      <c r="N1524" s="1" t="str">
        <f t="shared" si="79"/>
        <v/>
      </c>
      <c r="O1524" s="1" t="str">
        <f t="shared" si="80"/>
        <v/>
      </c>
      <c r="P1524" s="1" t="str">
        <f t="shared" si="81"/>
        <v/>
      </c>
    </row>
    <row r="1525" spans="14:16" x14ac:dyDescent="0.3">
      <c r="N1525" s="1" t="str">
        <f t="shared" si="79"/>
        <v/>
      </c>
      <c r="O1525" s="1" t="str">
        <f t="shared" si="80"/>
        <v/>
      </c>
      <c r="P1525" s="1" t="str">
        <f t="shared" si="81"/>
        <v/>
      </c>
    </row>
    <row r="1526" spans="14:16" x14ac:dyDescent="0.3">
      <c r="N1526" s="1" t="str">
        <f t="shared" si="79"/>
        <v/>
      </c>
      <c r="O1526" s="1" t="str">
        <f t="shared" si="80"/>
        <v/>
      </c>
      <c r="P1526" s="1" t="str">
        <f t="shared" si="81"/>
        <v/>
      </c>
    </row>
    <row r="1527" spans="14:16" x14ac:dyDescent="0.3">
      <c r="N1527" s="1" t="str">
        <f t="shared" si="79"/>
        <v/>
      </c>
      <c r="O1527" s="1" t="str">
        <f t="shared" si="80"/>
        <v/>
      </c>
      <c r="P1527" s="1" t="str">
        <f t="shared" si="81"/>
        <v/>
      </c>
    </row>
    <row r="1528" spans="14:16" x14ac:dyDescent="0.3">
      <c r="N1528" s="1" t="str">
        <f t="shared" si="79"/>
        <v/>
      </c>
      <c r="O1528" s="1" t="str">
        <f t="shared" si="80"/>
        <v/>
      </c>
      <c r="P1528" s="1" t="str">
        <f t="shared" si="81"/>
        <v/>
      </c>
    </row>
    <row r="1529" spans="14:16" x14ac:dyDescent="0.3">
      <c r="N1529" s="1" t="str">
        <f t="shared" si="79"/>
        <v/>
      </c>
      <c r="O1529" s="1" t="str">
        <f t="shared" si="80"/>
        <v/>
      </c>
      <c r="P1529" s="1" t="str">
        <f t="shared" si="81"/>
        <v/>
      </c>
    </row>
    <row r="1530" spans="14:16" x14ac:dyDescent="0.3">
      <c r="N1530" s="1" t="str">
        <f t="shared" si="79"/>
        <v/>
      </c>
      <c r="O1530" s="1" t="str">
        <f t="shared" si="80"/>
        <v/>
      </c>
      <c r="P1530" s="1" t="str">
        <f t="shared" si="81"/>
        <v/>
      </c>
    </row>
    <row r="1531" spans="14:16" x14ac:dyDescent="0.3">
      <c r="N1531" s="1" t="str">
        <f t="shared" si="79"/>
        <v/>
      </c>
      <c r="O1531" s="1" t="str">
        <f t="shared" si="80"/>
        <v/>
      </c>
      <c r="P1531" s="1" t="str">
        <f t="shared" si="81"/>
        <v/>
      </c>
    </row>
    <row r="1532" spans="14:16" x14ac:dyDescent="0.3">
      <c r="N1532" s="1" t="str">
        <f t="shared" si="79"/>
        <v/>
      </c>
      <c r="O1532" s="1" t="str">
        <f t="shared" si="80"/>
        <v/>
      </c>
      <c r="P1532" s="1" t="str">
        <f t="shared" si="81"/>
        <v/>
      </c>
    </row>
    <row r="1533" spans="14:16" x14ac:dyDescent="0.3">
      <c r="N1533" s="1" t="str">
        <f t="shared" si="79"/>
        <v/>
      </c>
      <c r="O1533" s="1" t="str">
        <f t="shared" si="80"/>
        <v/>
      </c>
      <c r="P1533" s="1" t="str">
        <f t="shared" si="81"/>
        <v/>
      </c>
    </row>
    <row r="1534" spans="14:16" x14ac:dyDescent="0.3">
      <c r="N1534" s="1" t="str">
        <f t="shared" si="79"/>
        <v/>
      </c>
      <c r="O1534" s="1" t="str">
        <f t="shared" si="80"/>
        <v/>
      </c>
      <c r="P1534" s="1" t="str">
        <f t="shared" si="81"/>
        <v/>
      </c>
    </row>
    <row r="1535" spans="14:16" x14ac:dyDescent="0.3">
      <c r="N1535" s="1" t="str">
        <f t="shared" si="79"/>
        <v/>
      </c>
      <c r="O1535" s="1" t="str">
        <f t="shared" si="80"/>
        <v/>
      </c>
      <c r="P1535" s="1" t="str">
        <f t="shared" si="81"/>
        <v/>
      </c>
    </row>
    <row r="1536" spans="14:16" x14ac:dyDescent="0.3">
      <c r="N1536" s="1" t="str">
        <f t="shared" si="79"/>
        <v/>
      </c>
      <c r="O1536" s="1" t="str">
        <f t="shared" si="80"/>
        <v/>
      </c>
      <c r="P1536" s="1" t="str">
        <f t="shared" si="81"/>
        <v/>
      </c>
    </row>
    <row r="1537" spans="14:16" x14ac:dyDescent="0.3">
      <c r="N1537" s="1" t="str">
        <f t="shared" si="79"/>
        <v/>
      </c>
      <c r="O1537" s="1" t="str">
        <f t="shared" si="80"/>
        <v/>
      </c>
      <c r="P1537" s="1" t="str">
        <f t="shared" si="81"/>
        <v/>
      </c>
    </row>
    <row r="1538" spans="14:16" x14ac:dyDescent="0.3">
      <c r="N1538" s="1" t="str">
        <f t="shared" si="79"/>
        <v/>
      </c>
      <c r="O1538" s="1" t="str">
        <f t="shared" si="80"/>
        <v/>
      </c>
      <c r="P1538" s="1" t="str">
        <f t="shared" si="81"/>
        <v/>
      </c>
    </row>
    <row r="1539" spans="14:16" x14ac:dyDescent="0.3">
      <c r="N1539" s="1" t="str">
        <f t="shared" si="79"/>
        <v/>
      </c>
      <c r="O1539" s="1" t="str">
        <f t="shared" si="80"/>
        <v/>
      </c>
      <c r="P1539" s="1" t="str">
        <f t="shared" si="81"/>
        <v/>
      </c>
    </row>
    <row r="1540" spans="14:16" x14ac:dyDescent="0.3">
      <c r="N1540" s="1" t="str">
        <f t="shared" si="79"/>
        <v/>
      </c>
      <c r="O1540" s="1" t="str">
        <f t="shared" si="80"/>
        <v/>
      </c>
      <c r="P1540" s="1" t="str">
        <f t="shared" si="81"/>
        <v/>
      </c>
    </row>
    <row r="1541" spans="14:16" x14ac:dyDescent="0.3">
      <c r="N1541" s="1" t="str">
        <f t="shared" si="79"/>
        <v/>
      </c>
      <c r="O1541" s="1" t="str">
        <f t="shared" si="80"/>
        <v/>
      </c>
      <c r="P1541" s="1" t="str">
        <f t="shared" si="81"/>
        <v/>
      </c>
    </row>
    <row r="1542" spans="14:16" x14ac:dyDescent="0.3">
      <c r="N1542" s="1" t="str">
        <f t="shared" si="79"/>
        <v/>
      </c>
      <c r="O1542" s="1" t="str">
        <f t="shared" si="80"/>
        <v/>
      </c>
      <c r="P1542" s="1" t="str">
        <f t="shared" si="81"/>
        <v/>
      </c>
    </row>
    <row r="1543" spans="14:16" x14ac:dyDescent="0.3">
      <c r="N1543" s="1" t="str">
        <f t="shared" si="79"/>
        <v/>
      </c>
      <c r="O1543" s="1" t="str">
        <f t="shared" si="80"/>
        <v/>
      </c>
      <c r="P1543" s="1" t="str">
        <f t="shared" si="81"/>
        <v/>
      </c>
    </row>
    <row r="1544" spans="14:16" x14ac:dyDescent="0.3">
      <c r="N1544" s="1" t="str">
        <f t="shared" si="79"/>
        <v/>
      </c>
      <c r="O1544" s="1" t="str">
        <f t="shared" si="80"/>
        <v/>
      </c>
      <c r="P1544" s="1" t="str">
        <f t="shared" si="81"/>
        <v/>
      </c>
    </row>
    <row r="1545" spans="14:16" x14ac:dyDescent="0.3">
      <c r="N1545" s="1" t="str">
        <f t="shared" si="79"/>
        <v/>
      </c>
      <c r="O1545" s="1" t="str">
        <f t="shared" si="80"/>
        <v/>
      </c>
      <c r="P1545" s="1" t="str">
        <f t="shared" si="81"/>
        <v/>
      </c>
    </row>
    <row r="1546" spans="14:16" x14ac:dyDescent="0.3">
      <c r="N1546" s="1" t="str">
        <f t="shared" si="79"/>
        <v/>
      </c>
      <c r="O1546" s="1" t="str">
        <f t="shared" si="80"/>
        <v/>
      </c>
      <c r="P1546" s="1" t="str">
        <f t="shared" si="81"/>
        <v/>
      </c>
    </row>
    <row r="1547" spans="14:16" x14ac:dyDescent="0.3">
      <c r="N1547" s="1" t="str">
        <f t="shared" si="79"/>
        <v/>
      </c>
      <c r="O1547" s="1" t="str">
        <f t="shared" si="80"/>
        <v/>
      </c>
      <c r="P1547" s="1" t="str">
        <f t="shared" si="81"/>
        <v/>
      </c>
    </row>
    <row r="1548" spans="14:16" x14ac:dyDescent="0.3">
      <c r="N1548" s="1" t="str">
        <f t="shared" si="79"/>
        <v/>
      </c>
      <c r="O1548" s="1" t="str">
        <f t="shared" si="80"/>
        <v/>
      </c>
      <c r="P1548" s="1" t="str">
        <f t="shared" si="81"/>
        <v/>
      </c>
    </row>
    <row r="1549" spans="14:16" x14ac:dyDescent="0.3">
      <c r="N1549" s="1" t="str">
        <f t="shared" si="79"/>
        <v/>
      </c>
      <c r="O1549" s="1" t="str">
        <f t="shared" si="80"/>
        <v/>
      </c>
      <c r="P1549" s="1" t="str">
        <f t="shared" si="81"/>
        <v/>
      </c>
    </row>
    <row r="1550" spans="14:16" x14ac:dyDescent="0.3">
      <c r="N1550" s="1" t="str">
        <f t="shared" si="79"/>
        <v/>
      </c>
      <c r="O1550" s="1" t="str">
        <f t="shared" si="80"/>
        <v/>
      </c>
      <c r="P1550" s="1" t="str">
        <f t="shared" si="81"/>
        <v/>
      </c>
    </row>
    <row r="1551" spans="14:16" x14ac:dyDescent="0.3">
      <c r="N1551" s="1" t="str">
        <f t="shared" si="79"/>
        <v/>
      </c>
      <c r="O1551" s="1" t="str">
        <f t="shared" si="80"/>
        <v/>
      </c>
      <c r="P1551" s="1" t="str">
        <f t="shared" si="81"/>
        <v/>
      </c>
    </row>
    <row r="1552" spans="14:16" x14ac:dyDescent="0.3">
      <c r="N1552" s="1" t="str">
        <f t="shared" si="79"/>
        <v/>
      </c>
      <c r="O1552" s="1" t="str">
        <f t="shared" si="80"/>
        <v/>
      </c>
      <c r="P1552" s="1" t="str">
        <f t="shared" si="81"/>
        <v/>
      </c>
    </row>
    <row r="1553" spans="14:16" x14ac:dyDescent="0.3">
      <c r="N1553" s="1" t="str">
        <f t="shared" si="79"/>
        <v/>
      </c>
      <c r="O1553" s="1" t="str">
        <f t="shared" si="80"/>
        <v/>
      </c>
      <c r="P1553" s="1" t="str">
        <f t="shared" si="81"/>
        <v/>
      </c>
    </row>
    <row r="1554" spans="14:16" x14ac:dyDescent="0.3">
      <c r="N1554" s="1" t="str">
        <f t="shared" si="79"/>
        <v/>
      </c>
      <c r="O1554" s="1" t="str">
        <f t="shared" si="80"/>
        <v/>
      </c>
      <c r="P1554" s="1" t="str">
        <f t="shared" si="81"/>
        <v/>
      </c>
    </row>
    <row r="1555" spans="14:16" x14ac:dyDescent="0.3">
      <c r="N1555" s="1" t="str">
        <f t="shared" si="79"/>
        <v/>
      </c>
      <c r="O1555" s="1" t="str">
        <f t="shared" si="80"/>
        <v/>
      </c>
      <c r="P1555" s="1" t="str">
        <f t="shared" si="81"/>
        <v/>
      </c>
    </row>
    <row r="1556" spans="14:16" x14ac:dyDescent="0.3">
      <c r="N1556" s="1" t="str">
        <f t="shared" si="79"/>
        <v/>
      </c>
      <c r="O1556" s="1" t="str">
        <f t="shared" si="80"/>
        <v/>
      </c>
      <c r="P1556" s="1" t="str">
        <f t="shared" si="81"/>
        <v/>
      </c>
    </row>
    <row r="1557" spans="14:16" x14ac:dyDescent="0.3">
      <c r="N1557" s="1" t="str">
        <f t="shared" si="79"/>
        <v/>
      </c>
      <c r="O1557" s="1" t="str">
        <f t="shared" si="80"/>
        <v/>
      </c>
      <c r="P1557" s="1" t="str">
        <f t="shared" si="81"/>
        <v/>
      </c>
    </row>
    <row r="1558" spans="14:16" x14ac:dyDescent="0.3">
      <c r="N1558" s="1" t="str">
        <f t="shared" si="79"/>
        <v/>
      </c>
      <c r="O1558" s="1" t="str">
        <f t="shared" si="80"/>
        <v/>
      </c>
      <c r="P1558" s="1" t="str">
        <f t="shared" si="81"/>
        <v/>
      </c>
    </row>
    <row r="1559" spans="14:16" x14ac:dyDescent="0.3">
      <c r="N1559" s="1" t="str">
        <f t="shared" si="79"/>
        <v/>
      </c>
      <c r="O1559" s="1" t="str">
        <f t="shared" si="80"/>
        <v/>
      </c>
      <c r="P1559" s="1" t="str">
        <f t="shared" si="81"/>
        <v/>
      </c>
    </row>
    <row r="1560" spans="14:16" x14ac:dyDescent="0.3">
      <c r="N1560" s="1" t="str">
        <f t="shared" si="79"/>
        <v/>
      </c>
      <c r="O1560" s="1" t="str">
        <f t="shared" si="80"/>
        <v/>
      </c>
      <c r="P1560" s="1" t="str">
        <f t="shared" si="81"/>
        <v/>
      </c>
    </row>
    <row r="1561" spans="14:16" x14ac:dyDescent="0.3">
      <c r="N1561" s="1" t="str">
        <f t="shared" si="79"/>
        <v/>
      </c>
      <c r="O1561" s="1" t="str">
        <f t="shared" si="80"/>
        <v/>
      </c>
      <c r="P1561" s="1" t="str">
        <f t="shared" si="81"/>
        <v/>
      </c>
    </row>
    <row r="1562" spans="14:16" x14ac:dyDescent="0.3">
      <c r="N1562" s="1" t="str">
        <f t="shared" si="79"/>
        <v/>
      </c>
      <c r="O1562" s="1" t="str">
        <f t="shared" si="80"/>
        <v/>
      </c>
      <c r="P1562" s="1" t="str">
        <f t="shared" si="81"/>
        <v/>
      </c>
    </row>
    <row r="1563" spans="14:16" x14ac:dyDescent="0.3">
      <c r="N1563" s="1" t="str">
        <f t="shared" si="79"/>
        <v/>
      </c>
      <c r="O1563" s="1" t="str">
        <f t="shared" si="80"/>
        <v/>
      </c>
      <c r="P1563" s="1" t="str">
        <f t="shared" si="81"/>
        <v/>
      </c>
    </row>
    <row r="1564" spans="14:16" x14ac:dyDescent="0.3">
      <c r="N1564" s="1" t="str">
        <f t="shared" si="79"/>
        <v/>
      </c>
      <c r="O1564" s="1" t="str">
        <f t="shared" si="80"/>
        <v/>
      </c>
      <c r="P1564" s="1" t="str">
        <f t="shared" si="81"/>
        <v/>
      </c>
    </row>
    <row r="1565" spans="14:16" x14ac:dyDescent="0.3">
      <c r="N1565" s="1" t="str">
        <f t="shared" si="79"/>
        <v/>
      </c>
      <c r="O1565" s="1" t="str">
        <f t="shared" si="80"/>
        <v/>
      </c>
      <c r="P1565" s="1" t="str">
        <f t="shared" si="81"/>
        <v/>
      </c>
    </row>
    <row r="1566" spans="14:16" x14ac:dyDescent="0.3">
      <c r="N1566" s="1" t="str">
        <f t="shared" si="79"/>
        <v/>
      </c>
      <c r="O1566" s="1" t="str">
        <f t="shared" si="80"/>
        <v/>
      </c>
      <c r="P1566" s="1" t="str">
        <f t="shared" si="81"/>
        <v/>
      </c>
    </row>
    <row r="1567" spans="14:16" x14ac:dyDescent="0.3">
      <c r="N1567" s="1" t="str">
        <f t="shared" si="79"/>
        <v/>
      </c>
      <c r="O1567" s="1" t="str">
        <f t="shared" si="80"/>
        <v/>
      </c>
      <c r="P1567" s="1" t="str">
        <f t="shared" si="81"/>
        <v/>
      </c>
    </row>
    <row r="1568" spans="14:16" x14ac:dyDescent="0.3">
      <c r="N1568" s="1" t="str">
        <f t="shared" si="79"/>
        <v/>
      </c>
      <c r="O1568" s="1" t="str">
        <f t="shared" si="80"/>
        <v/>
      </c>
      <c r="P1568" s="1" t="str">
        <f t="shared" si="81"/>
        <v/>
      </c>
    </row>
    <row r="1569" spans="14:16" x14ac:dyDescent="0.3">
      <c r="N1569" s="1" t="str">
        <f t="shared" si="79"/>
        <v/>
      </c>
      <c r="O1569" s="1" t="str">
        <f t="shared" si="80"/>
        <v/>
      </c>
      <c r="P1569" s="1" t="str">
        <f t="shared" si="81"/>
        <v/>
      </c>
    </row>
    <row r="1570" spans="14:16" x14ac:dyDescent="0.3">
      <c r="N1570" s="1" t="str">
        <f t="shared" si="79"/>
        <v/>
      </c>
      <c r="O1570" s="1" t="str">
        <f t="shared" si="80"/>
        <v/>
      </c>
      <c r="P1570" s="1" t="str">
        <f t="shared" si="81"/>
        <v/>
      </c>
    </row>
    <row r="1571" spans="14:16" x14ac:dyDescent="0.3">
      <c r="N1571" s="1" t="str">
        <f t="shared" si="79"/>
        <v/>
      </c>
      <c r="O1571" s="1" t="str">
        <f t="shared" si="80"/>
        <v/>
      </c>
      <c r="P1571" s="1" t="str">
        <f t="shared" si="81"/>
        <v/>
      </c>
    </row>
    <row r="1572" spans="14:16" x14ac:dyDescent="0.3">
      <c r="N1572" s="1" t="str">
        <f t="shared" si="79"/>
        <v/>
      </c>
      <c r="O1572" s="1" t="str">
        <f t="shared" si="80"/>
        <v/>
      </c>
      <c r="P1572" s="1" t="str">
        <f t="shared" si="81"/>
        <v/>
      </c>
    </row>
    <row r="1573" spans="14:16" x14ac:dyDescent="0.3">
      <c r="N1573" s="1" t="str">
        <f t="shared" si="79"/>
        <v/>
      </c>
      <c r="O1573" s="1" t="str">
        <f t="shared" si="80"/>
        <v/>
      </c>
      <c r="P1573" s="1" t="str">
        <f t="shared" si="81"/>
        <v/>
      </c>
    </row>
    <row r="1574" spans="14:16" x14ac:dyDescent="0.3">
      <c r="N1574" s="1" t="str">
        <f t="shared" si="79"/>
        <v/>
      </c>
      <c r="O1574" s="1" t="str">
        <f t="shared" si="80"/>
        <v/>
      </c>
      <c r="P1574" s="1" t="str">
        <f t="shared" si="81"/>
        <v/>
      </c>
    </row>
    <row r="1575" spans="14:16" x14ac:dyDescent="0.3">
      <c r="N1575" s="1" t="str">
        <f t="shared" si="79"/>
        <v/>
      </c>
      <c r="O1575" s="1" t="str">
        <f t="shared" si="80"/>
        <v/>
      </c>
      <c r="P1575" s="1" t="str">
        <f t="shared" si="81"/>
        <v/>
      </c>
    </row>
    <row r="1576" spans="14:16" x14ac:dyDescent="0.3">
      <c r="N1576" s="1" t="str">
        <f t="shared" si="79"/>
        <v/>
      </c>
      <c r="O1576" s="1" t="str">
        <f t="shared" si="80"/>
        <v/>
      </c>
      <c r="P1576" s="1" t="str">
        <f t="shared" si="81"/>
        <v/>
      </c>
    </row>
    <row r="1577" spans="14:16" x14ac:dyDescent="0.3">
      <c r="N1577" s="1" t="str">
        <f t="shared" si="79"/>
        <v/>
      </c>
      <c r="O1577" s="1" t="str">
        <f t="shared" si="80"/>
        <v/>
      </c>
      <c r="P1577" s="1" t="str">
        <f t="shared" si="81"/>
        <v/>
      </c>
    </row>
    <row r="1578" spans="14:16" x14ac:dyDescent="0.3">
      <c r="N1578" s="1" t="str">
        <f t="shared" si="79"/>
        <v/>
      </c>
      <c r="O1578" s="1" t="str">
        <f t="shared" si="80"/>
        <v/>
      </c>
      <c r="P1578" s="1" t="str">
        <f t="shared" si="81"/>
        <v/>
      </c>
    </row>
    <row r="1579" spans="14:16" x14ac:dyDescent="0.3">
      <c r="N1579" s="1" t="str">
        <f t="shared" si="79"/>
        <v/>
      </c>
      <c r="O1579" s="1" t="str">
        <f t="shared" si="80"/>
        <v/>
      </c>
      <c r="P1579" s="1" t="str">
        <f t="shared" si="81"/>
        <v/>
      </c>
    </row>
    <row r="1580" spans="14:16" x14ac:dyDescent="0.3">
      <c r="N1580" s="1" t="str">
        <f t="shared" si="79"/>
        <v/>
      </c>
      <c r="O1580" s="1" t="str">
        <f t="shared" si="80"/>
        <v/>
      </c>
      <c r="P1580" s="1" t="str">
        <f t="shared" si="81"/>
        <v/>
      </c>
    </row>
    <row r="1581" spans="14:16" x14ac:dyDescent="0.3">
      <c r="N1581" s="1" t="str">
        <f t="shared" si="79"/>
        <v/>
      </c>
      <c r="O1581" s="1" t="str">
        <f t="shared" si="80"/>
        <v/>
      </c>
      <c r="P1581" s="1" t="str">
        <f t="shared" si="81"/>
        <v/>
      </c>
    </row>
    <row r="1582" spans="14:16" x14ac:dyDescent="0.3">
      <c r="N1582" s="1" t="str">
        <f t="shared" si="79"/>
        <v/>
      </c>
      <c r="O1582" s="1" t="str">
        <f t="shared" si="80"/>
        <v/>
      </c>
      <c r="P1582" s="1" t="str">
        <f t="shared" si="81"/>
        <v/>
      </c>
    </row>
    <row r="1583" spans="14:16" x14ac:dyDescent="0.3">
      <c r="N1583" s="1" t="str">
        <f t="shared" si="79"/>
        <v/>
      </c>
      <c r="O1583" s="1" t="str">
        <f t="shared" si="80"/>
        <v/>
      </c>
      <c r="P1583" s="1" t="str">
        <f t="shared" si="81"/>
        <v/>
      </c>
    </row>
    <row r="1584" spans="14:16" x14ac:dyDescent="0.3">
      <c r="N1584" s="1" t="str">
        <f t="shared" ref="N1584:N1647" si="82">IF(LEN($C1584)&gt;0,H1584-E1584,"")</f>
        <v/>
      </c>
      <c r="O1584" s="1" t="str">
        <f t="shared" ref="O1584:O1647" si="83">IF(LEN($C1584)&gt;0,I1584-F1584,"")</f>
        <v/>
      </c>
      <c r="P1584" s="1" t="str">
        <f t="shared" ref="P1584:P1647" si="84">IF(LEN($C1584)&gt;0,J1584-G1584,"")</f>
        <v/>
      </c>
    </row>
    <row r="1585" spans="14:16" x14ac:dyDescent="0.3">
      <c r="N1585" s="1" t="str">
        <f t="shared" si="82"/>
        <v/>
      </c>
      <c r="O1585" s="1" t="str">
        <f t="shared" si="83"/>
        <v/>
      </c>
      <c r="P1585" s="1" t="str">
        <f t="shared" si="84"/>
        <v/>
      </c>
    </row>
    <row r="1586" spans="14:16" x14ac:dyDescent="0.3">
      <c r="N1586" s="1" t="str">
        <f t="shared" si="82"/>
        <v/>
      </c>
      <c r="O1586" s="1" t="str">
        <f t="shared" si="83"/>
        <v/>
      </c>
      <c r="P1586" s="1" t="str">
        <f t="shared" si="84"/>
        <v/>
      </c>
    </row>
    <row r="1587" spans="14:16" x14ac:dyDescent="0.3">
      <c r="N1587" s="1" t="str">
        <f t="shared" si="82"/>
        <v/>
      </c>
      <c r="O1587" s="1" t="str">
        <f t="shared" si="83"/>
        <v/>
      </c>
      <c r="P1587" s="1" t="str">
        <f t="shared" si="84"/>
        <v/>
      </c>
    </row>
    <row r="1588" spans="14:16" x14ac:dyDescent="0.3">
      <c r="N1588" s="1" t="str">
        <f t="shared" si="82"/>
        <v/>
      </c>
      <c r="O1588" s="1" t="str">
        <f t="shared" si="83"/>
        <v/>
      </c>
      <c r="P1588" s="1" t="str">
        <f t="shared" si="84"/>
        <v/>
      </c>
    </row>
    <row r="1589" spans="14:16" x14ac:dyDescent="0.3">
      <c r="N1589" s="1" t="str">
        <f t="shared" si="82"/>
        <v/>
      </c>
      <c r="O1589" s="1" t="str">
        <f t="shared" si="83"/>
        <v/>
      </c>
      <c r="P1589" s="1" t="str">
        <f t="shared" si="84"/>
        <v/>
      </c>
    </row>
    <row r="1590" spans="14:16" x14ac:dyDescent="0.3">
      <c r="N1590" s="1" t="str">
        <f t="shared" si="82"/>
        <v/>
      </c>
      <c r="O1590" s="1" t="str">
        <f t="shared" si="83"/>
        <v/>
      </c>
      <c r="P1590" s="1" t="str">
        <f t="shared" si="84"/>
        <v/>
      </c>
    </row>
    <row r="1591" spans="14:16" x14ac:dyDescent="0.3">
      <c r="N1591" s="1" t="str">
        <f t="shared" si="82"/>
        <v/>
      </c>
      <c r="O1591" s="1" t="str">
        <f t="shared" si="83"/>
        <v/>
      </c>
      <c r="P1591" s="1" t="str">
        <f t="shared" si="84"/>
        <v/>
      </c>
    </row>
    <row r="1592" spans="14:16" x14ac:dyDescent="0.3">
      <c r="N1592" s="1" t="str">
        <f t="shared" si="82"/>
        <v/>
      </c>
      <c r="O1592" s="1" t="str">
        <f t="shared" si="83"/>
        <v/>
      </c>
      <c r="P1592" s="1" t="str">
        <f t="shared" si="84"/>
        <v/>
      </c>
    </row>
    <row r="1593" spans="14:16" x14ac:dyDescent="0.3">
      <c r="N1593" s="1" t="str">
        <f t="shared" si="82"/>
        <v/>
      </c>
      <c r="O1593" s="1" t="str">
        <f t="shared" si="83"/>
        <v/>
      </c>
      <c r="P1593" s="1" t="str">
        <f t="shared" si="84"/>
        <v/>
      </c>
    </row>
    <row r="1594" spans="14:16" x14ac:dyDescent="0.3">
      <c r="N1594" s="1" t="str">
        <f t="shared" si="82"/>
        <v/>
      </c>
      <c r="O1594" s="1" t="str">
        <f t="shared" si="83"/>
        <v/>
      </c>
      <c r="P1594" s="1" t="str">
        <f t="shared" si="84"/>
        <v/>
      </c>
    </row>
    <row r="1595" spans="14:16" x14ac:dyDescent="0.3">
      <c r="N1595" s="1" t="str">
        <f t="shared" si="82"/>
        <v/>
      </c>
      <c r="O1595" s="1" t="str">
        <f t="shared" si="83"/>
        <v/>
      </c>
      <c r="P1595" s="1" t="str">
        <f t="shared" si="84"/>
        <v/>
      </c>
    </row>
    <row r="1596" spans="14:16" x14ac:dyDescent="0.3">
      <c r="N1596" s="1" t="str">
        <f t="shared" si="82"/>
        <v/>
      </c>
      <c r="O1596" s="1" t="str">
        <f t="shared" si="83"/>
        <v/>
      </c>
      <c r="P1596" s="1" t="str">
        <f t="shared" si="84"/>
        <v/>
      </c>
    </row>
    <row r="1597" spans="14:16" x14ac:dyDescent="0.3">
      <c r="N1597" s="1" t="str">
        <f t="shared" si="82"/>
        <v/>
      </c>
      <c r="O1597" s="1" t="str">
        <f t="shared" si="83"/>
        <v/>
      </c>
      <c r="P1597" s="1" t="str">
        <f t="shared" si="84"/>
        <v/>
      </c>
    </row>
    <row r="1598" spans="14:16" x14ac:dyDescent="0.3">
      <c r="N1598" s="1" t="str">
        <f t="shared" si="82"/>
        <v/>
      </c>
      <c r="O1598" s="1" t="str">
        <f t="shared" si="83"/>
        <v/>
      </c>
      <c r="P1598" s="1" t="str">
        <f t="shared" si="84"/>
        <v/>
      </c>
    </row>
    <row r="1599" spans="14:16" x14ac:dyDescent="0.3">
      <c r="N1599" s="1" t="str">
        <f t="shared" si="82"/>
        <v/>
      </c>
      <c r="O1599" s="1" t="str">
        <f t="shared" si="83"/>
        <v/>
      </c>
      <c r="P1599" s="1" t="str">
        <f t="shared" si="84"/>
        <v/>
      </c>
    </row>
    <row r="1600" spans="14:16" x14ac:dyDescent="0.3">
      <c r="N1600" s="1" t="str">
        <f t="shared" si="82"/>
        <v/>
      </c>
      <c r="O1600" s="1" t="str">
        <f t="shared" si="83"/>
        <v/>
      </c>
      <c r="P1600" s="1" t="str">
        <f t="shared" si="84"/>
        <v/>
      </c>
    </row>
    <row r="1601" spans="14:16" x14ac:dyDescent="0.3">
      <c r="N1601" s="1" t="str">
        <f t="shared" si="82"/>
        <v/>
      </c>
      <c r="O1601" s="1" t="str">
        <f t="shared" si="83"/>
        <v/>
      </c>
      <c r="P1601" s="1" t="str">
        <f t="shared" si="84"/>
        <v/>
      </c>
    </row>
    <row r="1602" spans="14:16" x14ac:dyDescent="0.3">
      <c r="N1602" s="1" t="str">
        <f t="shared" si="82"/>
        <v/>
      </c>
      <c r="O1602" s="1" t="str">
        <f t="shared" si="83"/>
        <v/>
      </c>
      <c r="P1602" s="1" t="str">
        <f t="shared" si="84"/>
        <v/>
      </c>
    </row>
    <row r="1603" spans="14:16" x14ac:dyDescent="0.3">
      <c r="N1603" s="1" t="str">
        <f t="shared" si="82"/>
        <v/>
      </c>
      <c r="O1603" s="1" t="str">
        <f t="shared" si="83"/>
        <v/>
      </c>
      <c r="P1603" s="1" t="str">
        <f t="shared" si="84"/>
        <v/>
      </c>
    </row>
    <row r="1604" spans="14:16" x14ac:dyDescent="0.3">
      <c r="N1604" s="1" t="str">
        <f t="shared" si="82"/>
        <v/>
      </c>
      <c r="O1604" s="1" t="str">
        <f t="shared" si="83"/>
        <v/>
      </c>
      <c r="P1604" s="1" t="str">
        <f t="shared" si="84"/>
        <v/>
      </c>
    </row>
    <row r="1605" spans="14:16" x14ac:dyDescent="0.3">
      <c r="N1605" s="1" t="str">
        <f t="shared" si="82"/>
        <v/>
      </c>
      <c r="O1605" s="1" t="str">
        <f t="shared" si="83"/>
        <v/>
      </c>
      <c r="P1605" s="1" t="str">
        <f t="shared" si="84"/>
        <v/>
      </c>
    </row>
    <row r="1606" spans="14:16" x14ac:dyDescent="0.3">
      <c r="N1606" s="1" t="str">
        <f t="shared" si="82"/>
        <v/>
      </c>
      <c r="O1606" s="1" t="str">
        <f t="shared" si="83"/>
        <v/>
      </c>
      <c r="P1606" s="1" t="str">
        <f t="shared" si="84"/>
        <v/>
      </c>
    </row>
    <row r="1607" spans="14:16" x14ac:dyDescent="0.3">
      <c r="N1607" s="1" t="str">
        <f t="shared" si="82"/>
        <v/>
      </c>
      <c r="O1607" s="1" t="str">
        <f t="shared" si="83"/>
        <v/>
      </c>
      <c r="P1607" s="1" t="str">
        <f t="shared" si="84"/>
        <v/>
      </c>
    </row>
    <row r="1608" spans="14:16" x14ac:dyDescent="0.3">
      <c r="N1608" s="1" t="str">
        <f t="shared" si="82"/>
        <v/>
      </c>
      <c r="O1608" s="1" t="str">
        <f t="shared" si="83"/>
        <v/>
      </c>
      <c r="P1608" s="1" t="str">
        <f t="shared" si="84"/>
        <v/>
      </c>
    </row>
    <row r="1609" spans="14:16" x14ac:dyDescent="0.3">
      <c r="N1609" s="1" t="str">
        <f t="shared" si="82"/>
        <v/>
      </c>
      <c r="O1609" s="1" t="str">
        <f t="shared" si="83"/>
        <v/>
      </c>
      <c r="P1609" s="1" t="str">
        <f t="shared" si="84"/>
        <v/>
      </c>
    </row>
    <row r="1610" spans="14:16" x14ac:dyDescent="0.3">
      <c r="N1610" s="1" t="str">
        <f t="shared" si="82"/>
        <v/>
      </c>
      <c r="O1610" s="1" t="str">
        <f t="shared" si="83"/>
        <v/>
      </c>
      <c r="P1610" s="1" t="str">
        <f t="shared" si="84"/>
        <v/>
      </c>
    </row>
    <row r="1611" spans="14:16" x14ac:dyDescent="0.3">
      <c r="N1611" s="1" t="str">
        <f t="shared" si="82"/>
        <v/>
      </c>
      <c r="O1611" s="1" t="str">
        <f t="shared" si="83"/>
        <v/>
      </c>
      <c r="P1611" s="1" t="str">
        <f t="shared" si="84"/>
        <v/>
      </c>
    </row>
    <row r="1612" spans="14:16" x14ac:dyDescent="0.3">
      <c r="N1612" s="1" t="str">
        <f t="shared" si="82"/>
        <v/>
      </c>
      <c r="O1612" s="1" t="str">
        <f t="shared" si="83"/>
        <v/>
      </c>
      <c r="P1612" s="1" t="str">
        <f t="shared" si="84"/>
        <v/>
      </c>
    </row>
    <row r="1613" spans="14:16" x14ac:dyDescent="0.3">
      <c r="N1613" s="1" t="str">
        <f t="shared" si="82"/>
        <v/>
      </c>
      <c r="O1613" s="1" t="str">
        <f t="shared" si="83"/>
        <v/>
      </c>
      <c r="P1613" s="1" t="str">
        <f t="shared" si="84"/>
        <v/>
      </c>
    </row>
    <row r="1614" spans="14:16" x14ac:dyDescent="0.3">
      <c r="N1614" s="1" t="str">
        <f t="shared" si="82"/>
        <v/>
      </c>
      <c r="O1614" s="1" t="str">
        <f t="shared" si="83"/>
        <v/>
      </c>
      <c r="P1614" s="1" t="str">
        <f t="shared" si="84"/>
        <v/>
      </c>
    </row>
    <row r="1615" spans="14:16" x14ac:dyDescent="0.3">
      <c r="N1615" s="1" t="str">
        <f t="shared" si="82"/>
        <v/>
      </c>
      <c r="O1615" s="1" t="str">
        <f t="shared" si="83"/>
        <v/>
      </c>
      <c r="P1615" s="1" t="str">
        <f t="shared" si="84"/>
        <v/>
      </c>
    </row>
    <row r="1616" spans="14:16" x14ac:dyDescent="0.3">
      <c r="N1616" s="1" t="str">
        <f t="shared" si="82"/>
        <v/>
      </c>
      <c r="O1616" s="1" t="str">
        <f t="shared" si="83"/>
        <v/>
      </c>
      <c r="P1616" s="1" t="str">
        <f t="shared" si="84"/>
        <v/>
      </c>
    </row>
    <row r="1617" spans="14:16" x14ac:dyDescent="0.3">
      <c r="N1617" s="1" t="str">
        <f t="shared" si="82"/>
        <v/>
      </c>
      <c r="O1617" s="1" t="str">
        <f t="shared" si="83"/>
        <v/>
      </c>
      <c r="P1617" s="1" t="str">
        <f t="shared" si="84"/>
        <v/>
      </c>
    </row>
    <row r="1618" spans="14:16" x14ac:dyDescent="0.3">
      <c r="N1618" s="1" t="str">
        <f t="shared" si="82"/>
        <v/>
      </c>
      <c r="O1618" s="1" t="str">
        <f t="shared" si="83"/>
        <v/>
      </c>
      <c r="P1618" s="1" t="str">
        <f t="shared" si="84"/>
        <v/>
      </c>
    </row>
    <row r="1619" spans="14:16" x14ac:dyDescent="0.3">
      <c r="N1619" s="1" t="str">
        <f t="shared" si="82"/>
        <v/>
      </c>
      <c r="O1619" s="1" t="str">
        <f t="shared" si="83"/>
        <v/>
      </c>
      <c r="P1619" s="1" t="str">
        <f t="shared" si="84"/>
        <v/>
      </c>
    </row>
    <row r="1620" spans="14:16" x14ac:dyDescent="0.3">
      <c r="N1620" s="1" t="str">
        <f t="shared" si="82"/>
        <v/>
      </c>
      <c r="O1620" s="1" t="str">
        <f t="shared" si="83"/>
        <v/>
      </c>
      <c r="P1620" s="1" t="str">
        <f t="shared" si="84"/>
        <v/>
      </c>
    </row>
    <row r="1621" spans="14:16" x14ac:dyDescent="0.3">
      <c r="N1621" s="1" t="str">
        <f t="shared" si="82"/>
        <v/>
      </c>
      <c r="O1621" s="1" t="str">
        <f t="shared" si="83"/>
        <v/>
      </c>
      <c r="P1621" s="1" t="str">
        <f t="shared" si="84"/>
        <v/>
      </c>
    </row>
    <row r="1622" spans="14:16" x14ac:dyDescent="0.3">
      <c r="N1622" s="1" t="str">
        <f t="shared" si="82"/>
        <v/>
      </c>
      <c r="O1622" s="1" t="str">
        <f t="shared" si="83"/>
        <v/>
      </c>
      <c r="P1622" s="1" t="str">
        <f t="shared" si="84"/>
        <v/>
      </c>
    </row>
    <row r="1623" spans="14:16" x14ac:dyDescent="0.3">
      <c r="N1623" s="1" t="str">
        <f t="shared" si="82"/>
        <v/>
      </c>
      <c r="O1623" s="1" t="str">
        <f t="shared" si="83"/>
        <v/>
      </c>
      <c r="P1623" s="1" t="str">
        <f t="shared" si="84"/>
        <v/>
      </c>
    </row>
    <row r="1624" spans="14:16" x14ac:dyDescent="0.3">
      <c r="N1624" s="1" t="str">
        <f t="shared" si="82"/>
        <v/>
      </c>
      <c r="O1624" s="1" t="str">
        <f t="shared" si="83"/>
        <v/>
      </c>
      <c r="P1624" s="1" t="str">
        <f t="shared" si="84"/>
        <v/>
      </c>
    </row>
    <row r="1625" spans="14:16" x14ac:dyDescent="0.3">
      <c r="N1625" s="1" t="str">
        <f t="shared" si="82"/>
        <v/>
      </c>
      <c r="O1625" s="1" t="str">
        <f t="shared" si="83"/>
        <v/>
      </c>
      <c r="P1625" s="1" t="str">
        <f t="shared" si="84"/>
        <v/>
      </c>
    </row>
    <row r="1626" spans="14:16" x14ac:dyDescent="0.3">
      <c r="N1626" s="1" t="str">
        <f t="shared" si="82"/>
        <v/>
      </c>
      <c r="O1626" s="1" t="str">
        <f t="shared" si="83"/>
        <v/>
      </c>
      <c r="P1626" s="1" t="str">
        <f t="shared" si="84"/>
        <v/>
      </c>
    </row>
    <row r="1627" spans="14:16" x14ac:dyDescent="0.3">
      <c r="N1627" s="1" t="str">
        <f t="shared" si="82"/>
        <v/>
      </c>
      <c r="O1627" s="1" t="str">
        <f t="shared" si="83"/>
        <v/>
      </c>
      <c r="P1627" s="1" t="str">
        <f t="shared" si="84"/>
        <v/>
      </c>
    </row>
    <row r="1628" spans="14:16" x14ac:dyDescent="0.3">
      <c r="N1628" s="1" t="str">
        <f t="shared" si="82"/>
        <v/>
      </c>
      <c r="O1628" s="1" t="str">
        <f t="shared" si="83"/>
        <v/>
      </c>
      <c r="P1628" s="1" t="str">
        <f t="shared" si="84"/>
        <v/>
      </c>
    </row>
    <row r="1629" spans="14:16" x14ac:dyDescent="0.3">
      <c r="N1629" s="1" t="str">
        <f t="shared" si="82"/>
        <v/>
      </c>
      <c r="O1629" s="1" t="str">
        <f t="shared" si="83"/>
        <v/>
      </c>
      <c r="P1629" s="1" t="str">
        <f t="shared" si="84"/>
        <v/>
      </c>
    </row>
    <row r="1630" spans="14:16" x14ac:dyDescent="0.3">
      <c r="N1630" s="1" t="str">
        <f t="shared" si="82"/>
        <v/>
      </c>
      <c r="O1630" s="1" t="str">
        <f t="shared" si="83"/>
        <v/>
      </c>
      <c r="P1630" s="1" t="str">
        <f t="shared" si="84"/>
        <v/>
      </c>
    </row>
    <row r="1631" spans="14:16" x14ac:dyDescent="0.3">
      <c r="N1631" s="1" t="str">
        <f t="shared" si="82"/>
        <v/>
      </c>
      <c r="O1631" s="1" t="str">
        <f t="shared" si="83"/>
        <v/>
      </c>
      <c r="P1631" s="1" t="str">
        <f t="shared" si="84"/>
        <v/>
      </c>
    </row>
    <row r="1632" spans="14:16" x14ac:dyDescent="0.3">
      <c r="N1632" s="1" t="str">
        <f t="shared" si="82"/>
        <v/>
      </c>
      <c r="O1632" s="1" t="str">
        <f t="shared" si="83"/>
        <v/>
      </c>
      <c r="P1632" s="1" t="str">
        <f t="shared" si="84"/>
        <v/>
      </c>
    </row>
    <row r="1633" spans="14:16" x14ac:dyDescent="0.3">
      <c r="N1633" s="1" t="str">
        <f t="shared" si="82"/>
        <v/>
      </c>
      <c r="O1633" s="1" t="str">
        <f t="shared" si="83"/>
        <v/>
      </c>
      <c r="P1633" s="1" t="str">
        <f t="shared" si="84"/>
        <v/>
      </c>
    </row>
    <row r="1634" spans="14:16" x14ac:dyDescent="0.3">
      <c r="N1634" s="1" t="str">
        <f t="shared" si="82"/>
        <v/>
      </c>
      <c r="O1634" s="1" t="str">
        <f t="shared" si="83"/>
        <v/>
      </c>
      <c r="P1634" s="1" t="str">
        <f t="shared" si="84"/>
        <v/>
      </c>
    </row>
    <row r="1635" spans="14:16" x14ac:dyDescent="0.3">
      <c r="N1635" s="1" t="str">
        <f t="shared" si="82"/>
        <v/>
      </c>
      <c r="O1635" s="1" t="str">
        <f t="shared" si="83"/>
        <v/>
      </c>
      <c r="P1635" s="1" t="str">
        <f t="shared" si="84"/>
        <v/>
      </c>
    </row>
    <row r="1636" spans="14:16" x14ac:dyDescent="0.3">
      <c r="N1636" s="1" t="str">
        <f t="shared" si="82"/>
        <v/>
      </c>
      <c r="O1636" s="1" t="str">
        <f t="shared" si="83"/>
        <v/>
      </c>
      <c r="P1636" s="1" t="str">
        <f t="shared" si="84"/>
        <v/>
      </c>
    </row>
    <row r="1637" spans="14:16" x14ac:dyDescent="0.3">
      <c r="N1637" s="1" t="str">
        <f t="shared" si="82"/>
        <v/>
      </c>
      <c r="O1637" s="1" t="str">
        <f t="shared" si="83"/>
        <v/>
      </c>
      <c r="P1637" s="1" t="str">
        <f t="shared" si="84"/>
        <v/>
      </c>
    </row>
    <row r="1638" spans="14:16" x14ac:dyDescent="0.3">
      <c r="N1638" s="1" t="str">
        <f t="shared" si="82"/>
        <v/>
      </c>
      <c r="O1638" s="1" t="str">
        <f t="shared" si="83"/>
        <v/>
      </c>
      <c r="P1638" s="1" t="str">
        <f t="shared" si="84"/>
        <v/>
      </c>
    </row>
    <row r="1639" spans="14:16" x14ac:dyDescent="0.3">
      <c r="N1639" s="1" t="str">
        <f t="shared" si="82"/>
        <v/>
      </c>
      <c r="O1639" s="1" t="str">
        <f t="shared" si="83"/>
        <v/>
      </c>
      <c r="P1639" s="1" t="str">
        <f t="shared" si="84"/>
        <v/>
      </c>
    </row>
    <row r="1640" spans="14:16" x14ac:dyDescent="0.3">
      <c r="N1640" s="1" t="str">
        <f t="shared" si="82"/>
        <v/>
      </c>
      <c r="O1640" s="1" t="str">
        <f t="shared" si="83"/>
        <v/>
      </c>
      <c r="P1640" s="1" t="str">
        <f t="shared" si="84"/>
        <v/>
      </c>
    </row>
    <row r="1641" spans="14:16" x14ac:dyDescent="0.3">
      <c r="N1641" s="1" t="str">
        <f t="shared" si="82"/>
        <v/>
      </c>
      <c r="O1641" s="1" t="str">
        <f t="shared" si="83"/>
        <v/>
      </c>
      <c r="P1641" s="1" t="str">
        <f t="shared" si="84"/>
        <v/>
      </c>
    </row>
    <row r="1642" spans="14:16" x14ac:dyDescent="0.3">
      <c r="N1642" s="1" t="str">
        <f t="shared" si="82"/>
        <v/>
      </c>
      <c r="O1642" s="1" t="str">
        <f t="shared" si="83"/>
        <v/>
      </c>
      <c r="P1642" s="1" t="str">
        <f t="shared" si="84"/>
        <v/>
      </c>
    </row>
    <row r="1643" spans="14:16" x14ac:dyDescent="0.3">
      <c r="N1643" s="1" t="str">
        <f t="shared" si="82"/>
        <v/>
      </c>
      <c r="O1643" s="1" t="str">
        <f t="shared" si="83"/>
        <v/>
      </c>
      <c r="P1643" s="1" t="str">
        <f t="shared" si="84"/>
        <v/>
      </c>
    </row>
    <row r="1644" spans="14:16" x14ac:dyDescent="0.3">
      <c r="N1644" s="1" t="str">
        <f t="shared" si="82"/>
        <v/>
      </c>
      <c r="O1644" s="1" t="str">
        <f t="shared" si="83"/>
        <v/>
      </c>
      <c r="P1644" s="1" t="str">
        <f t="shared" si="84"/>
        <v/>
      </c>
    </row>
    <row r="1645" spans="14:16" x14ac:dyDescent="0.3">
      <c r="N1645" s="1" t="str">
        <f t="shared" si="82"/>
        <v/>
      </c>
      <c r="O1645" s="1" t="str">
        <f t="shared" si="83"/>
        <v/>
      </c>
      <c r="P1645" s="1" t="str">
        <f t="shared" si="84"/>
        <v/>
      </c>
    </row>
    <row r="1646" spans="14:16" x14ac:dyDescent="0.3">
      <c r="N1646" s="1" t="str">
        <f t="shared" si="82"/>
        <v/>
      </c>
      <c r="O1646" s="1" t="str">
        <f t="shared" si="83"/>
        <v/>
      </c>
      <c r="P1646" s="1" t="str">
        <f t="shared" si="84"/>
        <v/>
      </c>
    </row>
    <row r="1647" spans="14:16" x14ac:dyDescent="0.3">
      <c r="N1647" s="1" t="str">
        <f t="shared" si="82"/>
        <v/>
      </c>
      <c r="O1647" s="1" t="str">
        <f t="shared" si="83"/>
        <v/>
      </c>
      <c r="P1647" s="1" t="str">
        <f t="shared" si="84"/>
        <v/>
      </c>
    </row>
    <row r="1648" spans="14:16" x14ac:dyDescent="0.3">
      <c r="N1648" s="1" t="str">
        <f t="shared" ref="N1648:N1711" si="85">IF(LEN($C1648)&gt;0,H1648-E1648,"")</f>
        <v/>
      </c>
      <c r="O1648" s="1" t="str">
        <f t="shared" ref="O1648:O1711" si="86">IF(LEN($C1648)&gt;0,I1648-F1648,"")</f>
        <v/>
      </c>
      <c r="P1648" s="1" t="str">
        <f t="shared" ref="P1648:P1711" si="87">IF(LEN($C1648)&gt;0,J1648-G1648,"")</f>
        <v/>
      </c>
    </row>
    <row r="1649" spans="14:16" x14ac:dyDescent="0.3">
      <c r="N1649" s="1" t="str">
        <f t="shared" si="85"/>
        <v/>
      </c>
      <c r="O1649" s="1" t="str">
        <f t="shared" si="86"/>
        <v/>
      </c>
      <c r="P1649" s="1" t="str">
        <f t="shared" si="87"/>
        <v/>
      </c>
    </row>
    <row r="1650" spans="14:16" x14ac:dyDescent="0.3">
      <c r="N1650" s="1" t="str">
        <f t="shared" si="85"/>
        <v/>
      </c>
      <c r="O1650" s="1" t="str">
        <f t="shared" si="86"/>
        <v/>
      </c>
      <c r="P1650" s="1" t="str">
        <f t="shared" si="87"/>
        <v/>
      </c>
    </row>
    <row r="1651" spans="14:16" x14ac:dyDescent="0.3">
      <c r="N1651" s="1" t="str">
        <f t="shared" si="85"/>
        <v/>
      </c>
      <c r="O1651" s="1" t="str">
        <f t="shared" si="86"/>
        <v/>
      </c>
      <c r="P1651" s="1" t="str">
        <f t="shared" si="87"/>
        <v/>
      </c>
    </row>
    <row r="1652" spans="14:16" x14ac:dyDescent="0.3">
      <c r="N1652" s="1" t="str">
        <f t="shared" si="85"/>
        <v/>
      </c>
      <c r="O1652" s="1" t="str">
        <f t="shared" si="86"/>
        <v/>
      </c>
      <c r="P1652" s="1" t="str">
        <f t="shared" si="87"/>
        <v/>
      </c>
    </row>
    <row r="1653" spans="14:16" x14ac:dyDescent="0.3">
      <c r="N1653" s="1" t="str">
        <f t="shared" si="85"/>
        <v/>
      </c>
      <c r="O1653" s="1" t="str">
        <f t="shared" si="86"/>
        <v/>
      </c>
      <c r="P1653" s="1" t="str">
        <f t="shared" si="87"/>
        <v/>
      </c>
    </row>
    <row r="1654" spans="14:16" x14ac:dyDescent="0.3">
      <c r="N1654" s="1" t="str">
        <f t="shared" si="85"/>
        <v/>
      </c>
      <c r="O1654" s="1" t="str">
        <f t="shared" si="86"/>
        <v/>
      </c>
      <c r="P1654" s="1" t="str">
        <f t="shared" si="87"/>
        <v/>
      </c>
    </row>
    <row r="1655" spans="14:16" x14ac:dyDescent="0.3">
      <c r="N1655" s="1" t="str">
        <f t="shared" si="85"/>
        <v/>
      </c>
      <c r="O1655" s="1" t="str">
        <f t="shared" si="86"/>
        <v/>
      </c>
      <c r="P1655" s="1" t="str">
        <f t="shared" si="87"/>
        <v/>
      </c>
    </row>
    <row r="1656" spans="14:16" x14ac:dyDescent="0.3">
      <c r="N1656" s="1" t="str">
        <f t="shared" si="85"/>
        <v/>
      </c>
      <c r="O1656" s="1" t="str">
        <f t="shared" si="86"/>
        <v/>
      </c>
      <c r="P1656" s="1" t="str">
        <f t="shared" si="87"/>
        <v/>
      </c>
    </row>
    <row r="1657" spans="14:16" x14ac:dyDescent="0.3">
      <c r="N1657" s="1" t="str">
        <f t="shared" si="85"/>
        <v/>
      </c>
      <c r="O1657" s="1" t="str">
        <f t="shared" si="86"/>
        <v/>
      </c>
      <c r="P1657" s="1" t="str">
        <f t="shared" si="87"/>
        <v/>
      </c>
    </row>
    <row r="1658" spans="14:16" x14ac:dyDescent="0.3">
      <c r="N1658" s="1" t="str">
        <f t="shared" si="85"/>
        <v/>
      </c>
      <c r="O1658" s="1" t="str">
        <f t="shared" si="86"/>
        <v/>
      </c>
      <c r="P1658" s="1" t="str">
        <f t="shared" si="87"/>
        <v/>
      </c>
    </row>
    <row r="1659" spans="14:16" x14ac:dyDescent="0.3">
      <c r="N1659" s="1" t="str">
        <f t="shared" si="85"/>
        <v/>
      </c>
      <c r="O1659" s="1" t="str">
        <f t="shared" si="86"/>
        <v/>
      </c>
      <c r="P1659" s="1" t="str">
        <f t="shared" si="87"/>
        <v/>
      </c>
    </row>
    <row r="1660" spans="14:16" x14ac:dyDescent="0.3">
      <c r="N1660" s="1" t="str">
        <f t="shared" si="85"/>
        <v/>
      </c>
      <c r="O1660" s="1" t="str">
        <f t="shared" si="86"/>
        <v/>
      </c>
      <c r="P1660" s="1" t="str">
        <f t="shared" si="87"/>
        <v/>
      </c>
    </row>
    <row r="1661" spans="14:16" x14ac:dyDescent="0.3">
      <c r="N1661" s="1" t="str">
        <f t="shared" si="85"/>
        <v/>
      </c>
      <c r="O1661" s="1" t="str">
        <f t="shared" si="86"/>
        <v/>
      </c>
      <c r="P1661" s="1" t="str">
        <f t="shared" si="87"/>
        <v/>
      </c>
    </row>
    <row r="1662" spans="14:16" x14ac:dyDescent="0.3">
      <c r="N1662" s="1" t="str">
        <f t="shared" si="85"/>
        <v/>
      </c>
      <c r="O1662" s="1" t="str">
        <f t="shared" si="86"/>
        <v/>
      </c>
      <c r="P1662" s="1" t="str">
        <f t="shared" si="87"/>
        <v/>
      </c>
    </row>
    <row r="1663" spans="14:16" x14ac:dyDescent="0.3">
      <c r="N1663" s="1" t="str">
        <f t="shared" si="85"/>
        <v/>
      </c>
      <c r="O1663" s="1" t="str">
        <f t="shared" si="86"/>
        <v/>
      </c>
      <c r="P1663" s="1" t="str">
        <f t="shared" si="87"/>
        <v/>
      </c>
    </row>
    <row r="1664" spans="14:16" x14ac:dyDescent="0.3">
      <c r="N1664" s="1" t="str">
        <f t="shared" si="85"/>
        <v/>
      </c>
      <c r="O1664" s="1" t="str">
        <f t="shared" si="86"/>
        <v/>
      </c>
      <c r="P1664" s="1" t="str">
        <f t="shared" si="87"/>
        <v/>
      </c>
    </row>
    <row r="1665" spans="14:16" x14ac:dyDescent="0.3">
      <c r="N1665" s="1" t="str">
        <f t="shared" si="85"/>
        <v/>
      </c>
      <c r="O1665" s="1" t="str">
        <f t="shared" si="86"/>
        <v/>
      </c>
      <c r="P1665" s="1" t="str">
        <f t="shared" si="87"/>
        <v/>
      </c>
    </row>
    <row r="1666" spans="14:16" x14ac:dyDescent="0.3">
      <c r="N1666" s="1" t="str">
        <f t="shared" si="85"/>
        <v/>
      </c>
      <c r="O1666" s="1" t="str">
        <f t="shared" si="86"/>
        <v/>
      </c>
      <c r="P1666" s="1" t="str">
        <f t="shared" si="87"/>
        <v/>
      </c>
    </row>
    <row r="1667" spans="14:16" x14ac:dyDescent="0.3">
      <c r="N1667" s="1" t="str">
        <f t="shared" si="85"/>
        <v/>
      </c>
      <c r="O1667" s="1" t="str">
        <f t="shared" si="86"/>
        <v/>
      </c>
      <c r="P1667" s="1" t="str">
        <f t="shared" si="87"/>
        <v/>
      </c>
    </row>
    <row r="1668" spans="14:16" x14ac:dyDescent="0.3">
      <c r="N1668" s="1" t="str">
        <f t="shared" si="85"/>
        <v/>
      </c>
      <c r="O1668" s="1" t="str">
        <f t="shared" si="86"/>
        <v/>
      </c>
      <c r="P1668" s="1" t="str">
        <f t="shared" si="87"/>
        <v/>
      </c>
    </row>
    <row r="1669" spans="14:16" x14ac:dyDescent="0.3">
      <c r="N1669" s="1" t="str">
        <f t="shared" si="85"/>
        <v/>
      </c>
      <c r="O1669" s="1" t="str">
        <f t="shared" si="86"/>
        <v/>
      </c>
      <c r="P1669" s="1" t="str">
        <f t="shared" si="87"/>
        <v/>
      </c>
    </row>
    <row r="1670" spans="14:16" x14ac:dyDescent="0.3">
      <c r="N1670" s="1" t="str">
        <f t="shared" si="85"/>
        <v/>
      </c>
      <c r="O1670" s="1" t="str">
        <f t="shared" si="86"/>
        <v/>
      </c>
      <c r="P1670" s="1" t="str">
        <f t="shared" si="87"/>
        <v/>
      </c>
    </row>
    <row r="1671" spans="14:16" x14ac:dyDescent="0.3">
      <c r="N1671" s="1" t="str">
        <f t="shared" si="85"/>
        <v/>
      </c>
      <c r="O1671" s="1" t="str">
        <f t="shared" si="86"/>
        <v/>
      </c>
      <c r="P1671" s="1" t="str">
        <f t="shared" si="87"/>
        <v/>
      </c>
    </row>
    <row r="1672" spans="14:16" x14ac:dyDescent="0.3">
      <c r="N1672" s="1" t="str">
        <f t="shared" si="85"/>
        <v/>
      </c>
      <c r="O1672" s="1" t="str">
        <f t="shared" si="86"/>
        <v/>
      </c>
      <c r="P1672" s="1" t="str">
        <f t="shared" si="87"/>
        <v/>
      </c>
    </row>
    <row r="1673" spans="14:16" x14ac:dyDescent="0.3">
      <c r="N1673" s="1" t="str">
        <f t="shared" si="85"/>
        <v/>
      </c>
      <c r="O1673" s="1" t="str">
        <f t="shared" si="86"/>
        <v/>
      </c>
      <c r="P1673" s="1" t="str">
        <f t="shared" si="87"/>
        <v/>
      </c>
    </row>
    <row r="1674" spans="14:16" x14ac:dyDescent="0.3">
      <c r="N1674" s="1" t="str">
        <f t="shared" si="85"/>
        <v/>
      </c>
      <c r="O1674" s="1" t="str">
        <f t="shared" si="86"/>
        <v/>
      </c>
      <c r="P1674" s="1" t="str">
        <f t="shared" si="87"/>
        <v/>
      </c>
    </row>
    <row r="1675" spans="14:16" x14ac:dyDescent="0.3">
      <c r="N1675" s="1" t="str">
        <f t="shared" si="85"/>
        <v/>
      </c>
      <c r="O1675" s="1" t="str">
        <f t="shared" si="86"/>
        <v/>
      </c>
      <c r="P1675" s="1" t="str">
        <f t="shared" si="87"/>
        <v/>
      </c>
    </row>
    <row r="1676" spans="14:16" x14ac:dyDescent="0.3">
      <c r="N1676" s="1" t="str">
        <f t="shared" si="85"/>
        <v/>
      </c>
      <c r="O1676" s="1" t="str">
        <f t="shared" si="86"/>
        <v/>
      </c>
      <c r="P1676" s="1" t="str">
        <f t="shared" si="87"/>
        <v/>
      </c>
    </row>
    <row r="1677" spans="14:16" x14ac:dyDescent="0.3">
      <c r="N1677" s="1" t="str">
        <f t="shared" si="85"/>
        <v/>
      </c>
      <c r="O1677" s="1" t="str">
        <f t="shared" si="86"/>
        <v/>
      </c>
      <c r="P1677" s="1" t="str">
        <f t="shared" si="87"/>
        <v/>
      </c>
    </row>
    <row r="1678" spans="14:16" x14ac:dyDescent="0.3">
      <c r="N1678" s="1" t="str">
        <f t="shared" si="85"/>
        <v/>
      </c>
      <c r="O1678" s="1" t="str">
        <f t="shared" si="86"/>
        <v/>
      </c>
      <c r="P1678" s="1" t="str">
        <f t="shared" si="87"/>
        <v/>
      </c>
    </row>
    <row r="1679" spans="14:16" x14ac:dyDescent="0.3">
      <c r="N1679" s="1" t="str">
        <f t="shared" si="85"/>
        <v/>
      </c>
      <c r="O1679" s="1" t="str">
        <f t="shared" si="86"/>
        <v/>
      </c>
      <c r="P1679" s="1" t="str">
        <f t="shared" si="87"/>
        <v/>
      </c>
    </row>
    <row r="1680" spans="14:16" x14ac:dyDescent="0.3">
      <c r="N1680" s="1" t="str">
        <f t="shared" si="85"/>
        <v/>
      </c>
      <c r="O1680" s="1" t="str">
        <f t="shared" si="86"/>
        <v/>
      </c>
      <c r="P1680" s="1" t="str">
        <f t="shared" si="87"/>
        <v/>
      </c>
    </row>
    <row r="1681" spans="14:16" x14ac:dyDescent="0.3">
      <c r="N1681" s="1" t="str">
        <f t="shared" si="85"/>
        <v/>
      </c>
      <c r="O1681" s="1" t="str">
        <f t="shared" si="86"/>
        <v/>
      </c>
      <c r="P1681" s="1" t="str">
        <f t="shared" si="87"/>
        <v/>
      </c>
    </row>
    <row r="1682" spans="14:16" x14ac:dyDescent="0.3">
      <c r="N1682" s="1" t="str">
        <f t="shared" si="85"/>
        <v/>
      </c>
      <c r="O1682" s="1" t="str">
        <f t="shared" si="86"/>
        <v/>
      </c>
      <c r="P1682" s="1" t="str">
        <f t="shared" si="87"/>
        <v/>
      </c>
    </row>
    <row r="1683" spans="14:16" x14ac:dyDescent="0.3">
      <c r="N1683" s="1" t="str">
        <f t="shared" si="85"/>
        <v/>
      </c>
      <c r="O1683" s="1" t="str">
        <f t="shared" si="86"/>
        <v/>
      </c>
      <c r="P1683" s="1" t="str">
        <f t="shared" si="87"/>
        <v/>
      </c>
    </row>
    <row r="1684" spans="14:16" x14ac:dyDescent="0.3">
      <c r="N1684" s="1" t="str">
        <f t="shared" si="85"/>
        <v/>
      </c>
      <c r="O1684" s="1" t="str">
        <f t="shared" si="86"/>
        <v/>
      </c>
      <c r="P1684" s="1" t="str">
        <f t="shared" si="87"/>
        <v/>
      </c>
    </row>
    <row r="1685" spans="14:16" x14ac:dyDescent="0.3">
      <c r="N1685" s="1" t="str">
        <f t="shared" si="85"/>
        <v/>
      </c>
      <c r="O1685" s="1" t="str">
        <f t="shared" si="86"/>
        <v/>
      </c>
      <c r="P1685" s="1" t="str">
        <f t="shared" si="87"/>
        <v/>
      </c>
    </row>
    <row r="1686" spans="14:16" x14ac:dyDescent="0.3">
      <c r="N1686" s="1" t="str">
        <f t="shared" si="85"/>
        <v/>
      </c>
      <c r="O1686" s="1" t="str">
        <f t="shared" si="86"/>
        <v/>
      </c>
      <c r="P1686" s="1" t="str">
        <f t="shared" si="87"/>
        <v/>
      </c>
    </row>
    <row r="1687" spans="14:16" x14ac:dyDescent="0.3">
      <c r="N1687" s="1" t="str">
        <f t="shared" si="85"/>
        <v/>
      </c>
      <c r="O1687" s="1" t="str">
        <f t="shared" si="86"/>
        <v/>
      </c>
      <c r="P1687" s="1" t="str">
        <f t="shared" si="87"/>
        <v/>
      </c>
    </row>
    <row r="1688" spans="14:16" x14ac:dyDescent="0.3">
      <c r="N1688" s="1" t="str">
        <f t="shared" si="85"/>
        <v/>
      </c>
      <c r="O1688" s="1" t="str">
        <f t="shared" si="86"/>
        <v/>
      </c>
      <c r="P1688" s="1" t="str">
        <f t="shared" si="87"/>
        <v/>
      </c>
    </row>
    <row r="1689" spans="14:16" x14ac:dyDescent="0.3">
      <c r="N1689" s="1" t="str">
        <f t="shared" si="85"/>
        <v/>
      </c>
      <c r="O1689" s="1" t="str">
        <f t="shared" si="86"/>
        <v/>
      </c>
      <c r="P1689" s="1" t="str">
        <f t="shared" si="87"/>
        <v/>
      </c>
    </row>
    <row r="1690" spans="14:16" x14ac:dyDescent="0.3">
      <c r="N1690" s="1" t="str">
        <f t="shared" si="85"/>
        <v/>
      </c>
      <c r="O1690" s="1" t="str">
        <f t="shared" si="86"/>
        <v/>
      </c>
      <c r="P1690" s="1" t="str">
        <f t="shared" si="87"/>
        <v/>
      </c>
    </row>
    <row r="1691" spans="14:16" x14ac:dyDescent="0.3">
      <c r="N1691" s="1" t="str">
        <f t="shared" si="85"/>
        <v/>
      </c>
      <c r="O1691" s="1" t="str">
        <f t="shared" si="86"/>
        <v/>
      </c>
      <c r="P1691" s="1" t="str">
        <f t="shared" si="87"/>
        <v/>
      </c>
    </row>
    <row r="1692" spans="14:16" x14ac:dyDescent="0.3">
      <c r="N1692" s="1" t="str">
        <f t="shared" si="85"/>
        <v/>
      </c>
      <c r="O1692" s="1" t="str">
        <f t="shared" si="86"/>
        <v/>
      </c>
      <c r="P1692" s="1" t="str">
        <f t="shared" si="87"/>
        <v/>
      </c>
    </row>
    <row r="1693" spans="14:16" x14ac:dyDescent="0.3">
      <c r="N1693" s="1" t="str">
        <f t="shared" si="85"/>
        <v/>
      </c>
      <c r="O1693" s="1" t="str">
        <f t="shared" si="86"/>
        <v/>
      </c>
      <c r="P1693" s="1" t="str">
        <f t="shared" si="87"/>
        <v/>
      </c>
    </row>
    <row r="1694" spans="14:16" x14ac:dyDescent="0.3">
      <c r="N1694" s="1" t="str">
        <f t="shared" si="85"/>
        <v/>
      </c>
      <c r="O1694" s="1" t="str">
        <f t="shared" si="86"/>
        <v/>
      </c>
      <c r="P1694" s="1" t="str">
        <f t="shared" si="87"/>
        <v/>
      </c>
    </row>
    <row r="1695" spans="14:16" x14ac:dyDescent="0.3">
      <c r="N1695" s="1" t="str">
        <f t="shared" si="85"/>
        <v/>
      </c>
      <c r="O1695" s="1" t="str">
        <f t="shared" si="86"/>
        <v/>
      </c>
      <c r="P1695" s="1" t="str">
        <f t="shared" si="87"/>
        <v/>
      </c>
    </row>
    <row r="1696" spans="14:16" x14ac:dyDescent="0.3">
      <c r="N1696" s="1" t="str">
        <f t="shared" si="85"/>
        <v/>
      </c>
      <c r="O1696" s="1" t="str">
        <f t="shared" si="86"/>
        <v/>
      </c>
      <c r="P1696" s="1" t="str">
        <f t="shared" si="87"/>
        <v/>
      </c>
    </row>
    <row r="1697" spans="14:16" x14ac:dyDescent="0.3">
      <c r="N1697" s="1" t="str">
        <f t="shared" si="85"/>
        <v/>
      </c>
      <c r="O1697" s="1" t="str">
        <f t="shared" si="86"/>
        <v/>
      </c>
      <c r="P1697" s="1" t="str">
        <f t="shared" si="87"/>
        <v/>
      </c>
    </row>
    <row r="1698" spans="14:16" x14ac:dyDescent="0.3">
      <c r="N1698" s="1" t="str">
        <f t="shared" si="85"/>
        <v/>
      </c>
      <c r="O1698" s="1" t="str">
        <f t="shared" si="86"/>
        <v/>
      </c>
      <c r="P1698" s="1" t="str">
        <f t="shared" si="87"/>
        <v/>
      </c>
    </row>
    <row r="1699" spans="14:16" x14ac:dyDescent="0.3">
      <c r="N1699" s="1" t="str">
        <f t="shared" si="85"/>
        <v/>
      </c>
      <c r="O1699" s="1" t="str">
        <f t="shared" si="86"/>
        <v/>
      </c>
      <c r="P1699" s="1" t="str">
        <f t="shared" si="87"/>
        <v/>
      </c>
    </row>
    <row r="1700" spans="14:16" x14ac:dyDescent="0.3">
      <c r="N1700" s="1" t="str">
        <f t="shared" si="85"/>
        <v/>
      </c>
      <c r="O1700" s="1" t="str">
        <f t="shared" si="86"/>
        <v/>
      </c>
      <c r="P1700" s="1" t="str">
        <f t="shared" si="87"/>
        <v/>
      </c>
    </row>
    <row r="1701" spans="14:16" x14ac:dyDescent="0.3">
      <c r="N1701" s="1" t="str">
        <f t="shared" si="85"/>
        <v/>
      </c>
      <c r="O1701" s="1" t="str">
        <f t="shared" si="86"/>
        <v/>
      </c>
      <c r="P1701" s="1" t="str">
        <f t="shared" si="87"/>
        <v/>
      </c>
    </row>
    <row r="1702" spans="14:16" x14ac:dyDescent="0.3">
      <c r="N1702" s="1" t="str">
        <f t="shared" si="85"/>
        <v/>
      </c>
      <c r="O1702" s="1" t="str">
        <f t="shared" si="86"/>
        <v/>
      </c>
      <c r="P1702" s="1" t="str">
        <f t="shared" si="87"/>
        <v/>
      </c>
    </row>
    <row r="1703" spans="14:16" x14ac:dyDescent="0.3">
      <c r="N1703" s="1" t="str">
        <f t="shared" si="85"/>
        <v/>
      </c>
      <c r="O1703" s="1" t="str">
        <f t="shared" si="86"/>
        <v/>
      </c>
      <c r="P1703" s="1" t="str">
        <f t="shared" si="87"/>
        <v/>
      </c>
    </row>
    <row r="1704" spans="14:16" x14ac:dyDescent="0.3">
      <c r="N1704" s="1" t="str">
        <f t="shared" si="85"/>
        <v/>
      </c>
      <c r="O1704" s="1" t="str">
        <f t="shared" si="86"/>
        <v/>
      </c>
      <c r="P1704" s="1" t="str">
        <f t="shared" si="87"/>
        <v/>
      </c>
    </row>
    <row r="1705" spans="14:16" x14ac:dyDescent="0.3">
      <c r="N1705" s="1" t="str">
        <f t="shared" si="85"/>
        <v/>
      </c>
      <c r="O1705" s="1" t="str">
        <f t="shared" si="86"/>
        <v/>
      </c>
      <c r="P1705" s="1" t="str">
        <f t="shared" si="87"/>
        <v/>
      </c>
    </row>
    <row r="1706" spans="14:16" x14ac:dyDescent="0.3">
      <c r="N1706" s="1" t="str">
        <f t="shared" si="85"/>
        <v/>
      </c>
      <c r="O1706" s="1" t="str">
        <f t="shared" si="86"/>
        <v/>
      </c>
      <c r="P1706" s="1" t="str">
        <f t="shared" si="87"/>
        <v/>
      </c>
    </row>
    <row r="1707" spans="14:16" x14ac:dyDescent="0.3">
      <c r="N1707" s="1" t="str">
        <f t="shared" si="85"/>
        <v/>
      </c>
      <c r="O1707" s="1" t="str">
        <f t="shared" si="86"/>
        <v/>
      </c>
      <c r="P1707" s="1" t="str">
        <f t="shared" si="87"/>
        <v/>
      </c>
    </row>
    <row r="1708" spans="14:16" x14ac:dyDescent="0.3">
      <c r="N1708" s="1" t="str">
        <f t="shared" si="85"/>
        <v/>
      </c>
      <c r="O1708" s="1" t="str">
        <f t="shared" si="86"/>
        <v/>
      </c>
      <c r="P1708" s="1" t="str">
        <f t="shared" si="87"/>
        <v/>
      </c>
    </row>
    <row r="1709" spans="14:16" x14ac:dyDescent="0.3">
      <c r="N1709" s="1" t="str">
        <f t="shared" si="85"/>
        <v/>
      </c>
      <c r="O1709" s="1" t="str">
        <f t="shared" si="86"/>
        <v/>
      </c>
      <c r="P1709" s="1" t="str">
        <f t="shared" si="87"/>
        <v/>
      </c>
    </row>
    <row r="1710" spans="14:16" x14ac:dyDescent="0.3">
      <c r="N1710" s="1" t="str">
        <f t="shared" si="85"/>
        <v/>
      </c>
      <c r="O1710" s="1" t="str">
        <f t="shared" si="86"/>
        <v/>
      </c>
      <c r="P1710" s="1" t="str">
        <f t="shared" si="87"/>
        <v/>
      </c>
    </row>
    <row r="1711" spans="14:16" x14ac:dyDescent="0.3">
      <c r="N1711" s="1" t="str">
        <f t="shared" si="85"/>
        <v/>
      </c>
      <c r="O1711" s="1" t="str">
        <f t="shared" si="86"/>
        <v/>
      </c>
      <c r="P1711" s="1" t="str">
        <f t="shared" si="87"/>
        <v/>
      </c>
    </row>
    <row r="1712" spans="14:16" x14ac:dyDescent="0.3">
      <c r="N1712" s="1" t="str">
        <f t="shared" ref="N1712:N1775" si="88">IF(LEN($C1712)&gt;0,H1712-E1712,"")</f>
        <v/>
      </c>
      <c r="O1712" s="1" t="str">
        <f t="shared" ref="O1712:O1775" si="89">IF(LEN($C1712)&gt;0,I1712-F1712,"")</f>
        <v/>
      </c>
      <c r="P1712" s="1" t="str">
        <f t="shared" ref="P1712:P1775" si="90">IF(LEN($C1712)&gt;0,J1712-G1712,"")</f>
        <v/>
      </c>
    </row>
    <row r="1713" spans="14:16" x14ac:dyDescent="0.3">
      <c r="N1713" s="1" t="str">
        <f t="shared" si="88"/>
        <v/>
      </c>
      <c r="O1713" s="1" t="str">
        <f t="shared" si="89"/>
        <v/>
      </c>
      <c r="P1713" s="1" t="str">
        <f t="shared" si="90"/>
        <v/>
      </c>
    </row>
    <row r="1714" spans="14:16" x14ac:dyDescent="0.3">
      <c r="N1714" s="1" t="str">
        <f t="shared" si="88"/>
        <v/>
      </c>
      <c r="O1714" s="1" t="str">
        <f t="shared" si="89"/>
        <v/>
      </c>
      <c r="P1714" s="1" t="str">
        <f t="shared" si="90"/>
        <v/>
      </c>
    </row>
    <row r="1715" spans="14:16" x14ac:dyDescent="0.3">
      <c r="N1715" s="1" t="str">
        <f t="shared" si="88"/>
        <v/>
      </c>
      <c r="O1715" s="1" t="str">
        <f t="shared" si="89"/>
        <v/>
      </c>
      <c r="P1715" s="1" t="str">
        <f t="shared" si="90"/>
        <v/>
      </c>
    </row>
    <row r="1716" spans="14:16" x14ac:dyDescent="0.3">
      <c r="N1716" s="1" t="str">
        <f t="shared" si="88"/>
        <v/>
      </c>
      <c r="O1716" s="1" t="str">
        <f t="shared" si="89"/>
        <v/>
      </c>
      <c r="P1716" s="1" t="str">
        <f t="shared" si="90"/>
        <v/>
      </c>
    </row>
    <row r="1717" spans="14:16" x14ac:dyDescent="0.3">
      <c r="N1717" s="1" t="str">
        <f t="shared" si="88"/>
        <v/>
      </c>
      <c r="O1717" s="1" t="str">
        <f t="shared" si="89"/>
        <v/>
      </c>
      <c r="P1717" s="1" t="str">
        <f t="shared" si="90"/>
        <v/>
      </c>
    </row>
    <row r="1718" spans="14:16" x14ac:dyDescent="0.3">
      <c r="N1718" s="1" t="str">
        <f t="shared" si="88"/>
        <v/>
      </c>
      <c r="O1718" s="1" t="str">
        <f t="shared" si="89"/>
        <v/>
      </c>
      <c r="P1718" s="1" t="str">
        <f t="shared" si="90"/>
        <v/>
      </c>
    </row>
    <row r="1719" spans="14:16" x14ac:dyDescent="0.3">
      <c r="N1719" s="1" t="str">
        <f t="shared" si="88"/>
        <v/>
      </c>
      <c r="O1719" s="1" t="str">
        <f t="shared" si="89"/>
        <v/>
      </c>
      <c r="P1719" s="1" t="str">
        <f t="shared" si="90"/>
        <v/>
      </c>
    </row>
    <row r="1720" spans="14:16" x14ac:dyDescent="0.3">
      <c r="N1720" s="1" t="str">
        <f t="shared" si="88"/>
        <v/>
      </c>
      <c r="O1720" s="1" t="str">
        <f t="shared" si="89"/>
        <v/>
      </c>
      <c r="P1720" s="1" t="str">
        <f t="shared" si="90"/>
        <v/>
      </c>
    </row>
    <row r="1721" spans="14:16" x14ac:dyDescent="0.3">
      <c r="N1721" s="1" t="str">
        <f t="shared" si="88"/>
        <v/>
      </c>
      <c r="O1721" s="1" t="str">
        <f t="shared" si="89"/>
        <v/>
      </c>
      <c r="P1721" s="1" t="str">
        <f t="shared" si="90"/>
        <v/>
      </c>
    </row>
    <row r="1722" spans="14:16" x14ac:dyDescent="0.3">
      <c r="N1722" s="1" t="str">
        <f t="shared" si="88"/>
        <v/>
      </c>
      <c r="O1722" s="1" t="str">
        <f t="shared" si="89"/>
        <v/>
      </c>
      <c r="P1722" s="1" t="str">
        <f t="shared" si="90"/>
        <v/>
      </c>
    </row>
    <row r="1723" spans="14:16" x14ac:dyDescent="0.3">
      <c r="N1723" s="1" t="str">
        <f t="shared" si="88"/>
        <v/>
      </c>
      <c r="O1723" s="1" t="str">
        <f t="shared" si="89"/>
        <v/>
      </c>
      <c r="P1723" s="1" t="str">
        <f t="shared" si="90"/>
        <v/>
      </c>
    </row>
    <row r="1724" spans="14:16" x14ac:dyDescent="0.3">
      <c r="N1724" s="1" t="str">
        <f t="shared" si="88"/>
        <v/>
      </c>
      <c r="O1724" s="1" t="str">
        <f t="shared" si="89"/>
        <v/>
      </c>
      <c r="P1724" s="1" t="str">
        <f t="shared" si="90"/>
        <v/>
      </c>
    </row>
    <row r="1725" spans="14:16" x14ac:dyDescent="0.3">
      <c r="N1725" s="1" t="str">
        <f t="shared" si="88"/>
        <v/>
      </c>
      <c r="O1725" s="1" t="str">
        <f t="shared" si="89"/>
        <v/>
      </c>
      <c r="P1725" s="1" t="str">
        <f t="shared" si="90"/>
        <v/>
      </c>
    </row>
    <row r="1726" spans="14:16" x14ac:dyDescent="0.3">
      <c r="N1726" s="1" t="str">
        <f t="shared" si="88"/>
        <v/>
      </c>
      <c r="O1726" s="1" t="str">
        <f t="shared" si="89"/>
        <v/>
      </c>
      <c r="P1726" s="1" t="str">
        <f t="shared" si="90"/>
        <v/>
      </c>
    </row>
    <row r="1727" spans="14:16" x14ac:dyDescent="0.3">
      <c r="N1727" s="1" t="str">
        <f t="shared" si="88"/>
        <v/>
      </c>
      <c r="O1727" s="1" t="str">
        <f t="shared" si="89"/>
        <v/>
      </c>
      <c r="P1727" s="1" t="str">
        <f t="shared" si="90"/>
        <v/>
      </c>
    </row>
    <row r="1728" spans="14:16" x14ac:dyDescent="0.3">
      <c r="N1728" s="1" t="str">
        <f t="shared" si="88"/>
        <v/>
      </c>
      <c r="O1728" s="1" t="str">
        <f t="shared" si="89"/>
        <v/>
      </c>
      <c r="P1728" s="1" t="str">
        <f t="shared" si="90"/>
        <v/>
      </c>
    </row>
    <row r="1729" spans="14:16" x14ac:dyDescent="0.3">
      <c r="N1729" s="1" t="str">
        <f t="shared" si="88"/>
        <v/>
      </c>
      <c r="O1729" s="1" t="str">
        <f t="shared" si="89"/>
        <v/>
      </c>
      <c r="P1729" s="1" t="str">
        <f t="shared" si="90"/>
        <v/>
      </c>
    </row>
    <row r="1730" spans="14:16" x14ac:dyDescent="0.3">
      <c r="N1730" s="1" t="str">
        <f t="shared" si="88"/>
        <v/>
      </c>
      <c r="O1730" s="1" t="str">
        <f t="shared" si="89"/>
        <v/>
      </c>
      <c r="P1730" s="1" t="str">
        <f t="shared" si="90"/>
        <v/>
      </c>
    </row>
    <row r="1731" spans="14:16" x14ac:dyDescent="0.3">
      <c r="N1731" s="1" t="str">
        <f t="shared" si="88"/>
        <v/>
      </c>
      <c r="O1731" s="1" t="str">
        <f t="shared" si="89"/>
        <v/>
      </c>
      <c r="P1731" s="1" t="str">
        <f t="shared" si="90"/>
        <v/>
      </c>
    </row>
    <row r="1732" spans="14:16" x14ac:dyDescent="0.3">
      <c r="N1732" s="1" t="str">
        <f t="shared" si="88"/>
        <v/>
      </c>
      <c r="O1732" s="1" t="str">
        <f t="shared" si="89"/>
        <v/>
      </c>
      <c r="P1732" s="1" t="str">
        <f t="shared" si="90"/>
        <v/>
      </c>
    </row>
    <row r="1733" spans="14:16" x14ac:dyDescent="0.3">
      <c r="N1733" s="1" t="str">
        <f t="shared" si="88"/>
        <v/>
      </c>
      <c r="O1733" s="1" t="str">
        <f t="shared" si="89"/>
        <v/>
      </c>
      <c r="P1733" s="1" t="str">
        <f t="shared" si="90"/>
        <v/>
      </c>
    </row>
    <row r="1734" spans="14:16" x14ac:dyDescent="0.3">
      <c r="N1734" s="1" t="str">
        <f t="shared" si="88"/>
        <v/>
      </c>
      <c r="O1734" s="1" t="str">
        <f t="shared" si="89"/>
        <v/>
      </c>
      <c r="P1734" s="1" t="str">
        <f t="shared" si="90"/>
        <v/>
      </c>
    </row>
    <row r="1735" spans="14:16" x14ac:dyDescent="0.3">
      <c r="N1735" s="1" t="str">
        <f t="shared" si="88"/>
        <v/>
      </c>
      <c r="O1735" s="1" t="str">
        <f t="shared" si="89"/>
        <v/>
      </c>
      <c r="P1735" s="1" t="str">
        <f t="shared" si="90"/>
        <v/>
      </c>
    </row>
    <row r="1736" spans="14:16" x14ac:dyDescent="0.3">
      <c r="N1736" s="1" t="str">
        <f t="shared" si="88"/>
        <v/>
      </c>
      <c r="O1736" s="1" t="str">
        <f t="shared" si="89"/>
        <v/>
      </c>
      <c r="P1736" s="1" t="str">
        <f t="shared" si="90"/>
        <v/>
      </c>
    </row>
    <row r="1737" spans="14:16" x14ac:dyDescent="0.3">
      <c r="N1737" s="1" t="str">
        <f t="shared" si="88"/>
        <v/>
      </c>
      <c r="O1737" s="1" t="str">
        <f t="shared" si="89"/>
        <v/>
      </c>
      <c r="P1737" s="1" t="str">
        <f t="shared" si="90"/>
        <v/>
      </c>
    </row>
    <row r="1738" spans="14:16" x14ac:dyDescent="0.3">
      <c r="N1738" s="1" t="str">
        <f t="shared" si="88"/>
        <v/>
      </c>
      <c r="O1738" s="1" t="str">
        <f t="shared" si="89"/>
        <v/>
      </c>
      <c r="P1738" s="1" t="str">
        <f t="shared" si="90"/>
        <v/>
      </c>
    </row>
    <row r="1739" spans="14:16" x14ac:dyDescent="0.3">
      <c r="N1739" s="1" t="str">
        <f t="shared" si="88"/>
        <v/>
      </c>
      <c r="O1739" s="1" t="str">
        <f t="shared" si="89"/>
        <v/>
      </c>
      <c r="P1739" s="1" t="str">
        <f t="shared" si="90"/>
        <v/>
      </c>
    </row>
    <row r="1740" spans="14:16" x14ac:dyDescent="0.3">
      <c r="N1740" s="1" t="str">
        <f t="shared" si="88"/>
        <v/>
      </c>
      <c r="O1740" s="1" t="str">
        <f t="shared" si="89"/>
        <v/>
      </c>
      <c r="P1740" s="1" t="str">
        <f t="shared" si="90"/>
        <v/>
      </c>
    </row>
    <row r="1741" spans="14:16" x14ac:dyDescent="0.3">
      <c r="N1741" s="1" t="str">
        <f t="shared" si="88"/>
        <v/>
      </c>
      <c r="O1741" s="1" t="str">
        <f t="shared" si="89"/>
        <v/>
      </c>
      <c r="P1741" s="1" t="str">
        <f t="shared" si="90"/>
        <v/>
      </c>
    </row>
    <row r="1742" spans="14:16" x14ac:dyDescent="0.3">
      <c r="N1742" s="1" t="str">
        <f t="shared" si="88"/>
        <v/>
      </c>
      <c r="O1742" s="1" t="str">
        <f t="shared" si="89"/>
        <v/>
      </c>
      <c r="P1742" s="1" t="str">
        <f t="shared" si="90"/>
        <v/>
      </c>
    </row>
    <row r="1743" spans="14:16" x14ac:dyDescent="0.3">
      <c r="N1743" s="1" t="str">
        <f t="shared" si="88"/>
        <v/>
      </c>
      <c r="O1743" s="1" t="str">
        <f t="shared" si="89"/>
        <v/>
      </c>
      <c r="P1743" s="1" t="str">
        <f t="shared" si="90"/>
        <v/>
      </c>
    </row>
    <row r="1744" spans="14:16" x14ac:dyDescent="0.3">
      <c r="N1744" s="1" t="str">
        <f t="shared" si="88"/>
        <v/>
      </c>
      <c r="O1744" s="1" t="str">
        <f t="shared" si="89"/>
        <v/>
      </c>
      <c r="P1744" s="1" t="str">
        <f t="shared" si="90"/>
        <v/>
      </c>
    </row>
    <row r="1745" spans="14:16" x14ac:dyDescent="0.3">
      <c r="N1745" s="1" t="str">
        <f t="shared" si="88"/>
        <v/>
      </c>
      <c r="O1745" s="1" t="str">
        <f t="shared" si="89"/>
        <v/>
      </c>
      <c r="P1745" s="1" t="str">
        <f t="shared" si="90"/>
        <v/>
      </c>
    </row>
    <row r="1746" spans="14:16" x14ac:dyDescent="0.3">
      <c r="N1746" s="1" t="str">
        <f t="shared" si="88"/>
        <v/>
      </c>
      <c r="O1746" s="1" t="str">
        <f t="shared" si="89"/>
        <v/>
      </c>
      <c r="P1746" s="1" t="str">
        <f t="shared" si="90"/>
        <v/>
      </c>
    </row>
    <row r="1747" spans="14:16" x14ac:dyDescent="0.3">
      <c r="N1747" s="1" t="str">
        <f t="shared" si="88"/>
        <v/>
      </c>
      <c r="O1747" s="1" t="str">
        <f t="shared" si="89"/>
        <v/>
      </c>
      <c r="P1747" s="1" t="str">
        <f t="shared" si="90"/>
        <v/>
      </c>
    </row>
    <row r="1748" spans="14:16" x14ac:dyDescent="0.3">
      <c r="N1748" s="1" t="str">
        <f t="shared" si="88"/>
        <v/>
      </c>
      <c r="O1748" s="1" t="str">
        <f t="shared" si="89"/>
        <v/>
      </c>
      <c r="P1748" s="1" t="str">
        <f t="shared" si="90"/>
        <v/>
      </c>
    </row>
    <row r="1749" spans="14:16" x14ac:dyDescent="0.3">
      <c r="N1749" s="1" t="str">
        <f t="shared" si="88"/>
        <v/>
      </c>
      <c r="O1749" s="1" t="str">
        <f t="shared" si="89"/>
        <v/>
      </c>
      <c r="P1749" s="1" t="str">
        <f t="shared" si="90"/>
        <v/>
      </c>
    </row>
    <row r="1750" spans="14:16" x14ac:dyDescent="0.3">
      <c r="N1750" s="1" t="str">
        <f t="shared" si="88"/>
        <v/>
      </c>
      <c r="O1750" s="1" t="str">
        <f t="shared" si="89"/>
        <v/>
      </c>
      <c r="P1750" s="1" t="str">
        <f t="shared" si="90"/>
        <v/>
      </c>
    </row>
    <row r="1751" spans="14:16" x14ac:dyDescent="0.3">
      <c r="N1751" s="1" t="str">
        <f t="shared" si="88"/>
        <v/>
      </c>
      <c r="O1751" s="1" t="str">
        <f t="shared" si="89"/>
        <v/>
      </c>
      <c r="P1751" s="1" t="str">
        <f t="shared" si="90"/>
        <v/>
      </c>
    </row>
    <row r="1752" spans="14:16" x14ac:dyDescent="0.3">
      <c r="N1752" s="1" t="str">
        <f t="shared" si="88"/>
        <v/>
      </c>
      <c r="O1752" s="1" t="str">
        <f t="shared" si="89"/>
        <v/>
      </c>
      <c r="P1752" s="1" t="str">
        <f t="shared" si="90"/>
        <v/>
      </c>
    </row>
    <row r="1753" spans="14:16" x14ac:dyDescent="0.3">
      <c r="N1753" s="1" t="str">
        <f t="shared" si="88"/>
        <v/>
      </c>
      <c r="O1753" s="1" t="str">
        <f t="shared" si="89"/>
        <v/>
      </c>
      <c r="P1753" s="1" t="str">
        <f t="shared" si="90"/>
        <v/>
      </c>
    </row>
    <row r="1754" spans="14:16" x14ac:dyDescent="0.3">
      <c r="N1754" s="1" t="str">
        <f t="shared" si="88"/>
        <v/>
      </c>
      <c r="O1754" s="1" t="str">
        <f t="shared" si="89"/>
        <v/>
      </c>
      <c r="P1754" s="1" t="str">
        <f t="shared" si="90"/>
        <v/>
      </c>
    </row>
    <row r="1755" spans="14:16" x14ac:dyDescent="0.3">
      <c r="N1755" s="1" t="str">
        <f t="shared" si="88"/>
        <v/>
      </c>
      <c r="O1755" s="1" t="str">
        <f t="shared" si="89"/>
        <v/>
      </c>
      <c r="P1755" s="1" t="str">
        <f t="shared" si="90"/>
        <v/>
      </c>
    </row>
    <row r="1756" spans="14:16" x14ac:dyDescent="0.3">
      <c r="N1756" s="1" t="str">
        <f t="shared" si="88"/>
        <v/>
      </c>
      <c r="O1756" s="1" t="str">
        <f t="shared" si="89"/>
        <v/>
      </c>
      <c r="P1756" s="1" t="str">
        <f t="shared" si="90"/>
        <v/>
      </c>
    </row>
    <row r="1757" spans="14:16" x14ac:dyDescent="0.3">
      <c r="N1757" s="1" t="str">
        <f t="shared" si="88"/>
        <v/>
      </c>
      <c r="O1757" s="1" t="str">
        <f t="shared" si="89"/>
        <v/>
      </c>
      <c r="P1757" s="1" t="str">
        <f t="shared" si="90"/>
        <v/>
      </c>
    </row>
    <row r="1758" spans="14:16" x14ac:dyDescent="0.3">
      <c r="N1758" s="1" t="str">
        <f t="shared" si="88"/>
        <v/>
      </c>
      <c r="O1758" s="1" t="str">
        <f t="shared" si="89"/>
        <v/>
      </c>
      <c r="P1758" s="1" t="str">
        <f t="shared" si="90"/>
        <v/>
      </c>
    </row>
    <row r="1759" spans="14:16" x14ac:dyDescent="0.3">
      <c r="N1759" s="1" t="str">
        <f t="shared" si="88"/>
        <v/>
      </c>
      <c r="O1759" s="1" t="str">
        <f t="shared" si="89"/>
        <v/>
      </c>
      <c r="P1759" s="1" t="str">
        <f t="shared" si="90"/>
        <v/>
      </c>
    </row>
    <row r="1760" spans="14:16" x14ac:dyDescent="0.3">
      <c r="N1760" s="1" t="str">
        <f t="shared" si="88"/>
        <v/>
      </c>
      <c r="O1760" s="1" t="str">
        <f t="shared" si="89"/>
        <v/>
      </c>
      <c r="P1760" s="1" t="str">
        <f t="shared" si="90"/>
        <v/>
      </c>
    </row>
    <row r="1761" spans="14:16" x14ac:dyDescent="0.3">
      <c r="N1761" s="1" t="str">
        <f t="shared" si="88"/>
        <v/>
      </c>
      <c r="O1761" s="1" t="str">
        <f t="shared" si="89"/>
        <v/>
      </c>
      <c r="P1761" s="1" t="str">
        <f t="shared" si="90"/>
        <v/>
      </c>
    </row>
    <row r="1762" spans="14:16" x14ac:dyDescent="0.3">
      <c r="N1762" s="1" t="str">
        <f t="shared" si="88"/>
        <v/>
      </c>
      <c r="O1762" s="1" t="str">
        <f t="shared" si="89"/>
        <v/>
      </c>
      <c r="P1762" s="1" t="str">
        <f t="shared" si="90"/>
        <v/>
      </c>
    </row>
    <row r="1763" spans="14:16" x14ac:dyDescent="0.3">
      <c r="N1763" s="1" t="str">
        <f t="shared" si="88"/>
        <v/>
      </c>
      <c r="O1763" s="1" t="str">
        <f t="shared" si="89"/>
        <v/>
      </c>
      <c r="P1763" s="1" t="str">
        <f t="shared" si="90"/>
        <v/>
      </c>
    </row>
    <row r="1764" spans="14:16" x14ac:dyDescent="0.3">
      <c r="N1764" s="1" t="str">
        <f t="shared" si="88"/>
        <v/>
      </c>
      <c r="O1764" s="1" t="str">
        <f t="shared" si="89"/>
        <v/>
      </c>
      <c r="P1764" s="1" t="str">
        <f t="shared" si="90"/>
        <v/>
      </c>
    </row>
    <row r="1765" spans="14:16" x14ac:dyDescent="0.3">
      <c r="N1765" s="1" t="str">
        <f t="shared" si="88"/>
        <v/>
      </c>
      <c r="O1765" s="1" t="str">
        <f t="shared" si="89"/>
        <v/>
      </c>
      <c r="P1765" s="1" t="str">
        <f t="shared" si="90"/>
        <v/>
      </c>
    </row>
    <row r="1766" spans="14:16" x14ac:dyDescent="0.3">
      <c r="N1766" s="1" t="str">
        <f t="shared" si="88"/>
        <v/>
      </c>
      <c r="O1766" s="1" t="str">
        <f t="shared" si="89"/>
        <v/>
      </c>
      <c r="P1766" s="1" t="str">
        <f t="shared" si="90"/>
        <v/>
      </c>
    </row>
    <row r="1767" spans="14:16" x14ac:dyDescent="0.3">
      <c r="N1767" s="1" t="str">
        <f t="shared" si="88"/>
        <v/>
      </c>
      <c r="O1767" s="1" t="str">
        <f t="shared" si="89"/>
        <v/>
      </c>
      <c r="P1767" s="1" t="str">
        <f t="shared" si="90"/>
        <v/>
      </c>
    </row>
    <row r="1768" spans="14:16" x14ac:dyDescent="0.3">
      <c r="N1768" s="1" t="str">
        <f t="shared" si="88"/>
        <v/>
      </c>
      <c r="O1768" s="1" t="str">
        <f t="shared" si="89"/>
        <v/>
      </c>
      <c r="P1768" s="1" t="str">
        <f t="shared" si="90"/>
        <v/>
      </c>
    </row>
    <row r="1769" spans="14:16" x14ac:dyDescent="0.3">
      <c r="N1769" s="1" t="str">
        <f t="shared" si="88"/>
        <v/>
      </c>
      <c r="O1769" s="1" t="str">
        <f t="shared" si="89"/>
        <v/>
      </c>
      <c r="P1769" s="1" t="str">
        <f t="shared" si="90"/>
        <v/>
      </c>
    </row>
    <row r="1770" spans="14:16" x14ac:dyDescent="0.3">
      <c r="N1770" s="1" t="str">
        <f t="shared" si="88"/>
        <v/>
      </c>
      <c r="O1770" s="1" t="str">
        <f t="shared" si="89"/>
        <v/>
      </c>
      <c r="P1770" s="1" t="str">
        <f t="shared" si="90"/>
        <v/>
      </c>
    </row>
    <row r="1771" spans="14:16" x14ac:dyDescent="0.3">
      <c r="N1771" s="1" t="str">
        <f t="shared" si="88"/>
        <v/>
      </c>
      <c r="O1771" s="1" t="str">
        <f t="shared" si="89"/>
        <v/>
      </c>
      <c r="P1771" s="1" t="str">
        <f t="shared" si="90"/>
        <v/>
      </c>
    </row>
    <row r="1772" spans="14:16" x14ac:dyDescent="0.3">
      <c r="N1772" s="1" t="str">
        <f t="shared" si="88"/>
        <v/>
      </c>
      <c r="O1772" s="1" t="str">
        <f t="shared" si="89"/>
        <v/>
      </c>
      <c r="P1772" s="1" t="str">
        <f t="shared" si="90"/>
        <v/>
      </c>
    </row>
    <row r="1773" spans="14:16" x14ac:dyDescent="0.3">
      <c r="N1773" s="1" t="str">
        <f t="shared" si="88"/>
        <v/>
      </c>
      <c r="O1773" s="1" t="str">
        <f t="shared" si="89"/>
        <v/>
      </c>
      <c r="P1773" s="1" t="str">
        <f t="shared" si="90"/>
        <v/>
      </c>
    </row>
    <row r="1774" spans="14:16" x14ac:dyDescent="0.3">
      <c r="N1774" s="1" t="str">
        <f t="shared" si="88"/>
        <v/>
      </c>
      <c r="O1774" s="1" t="str">
        <f t="shared" si="89"/>
        <v/>
      </c>
      <c r="P1774" s="1" t="str">
        <f t="shared" si="90"/>
        <v/>
      </c>
    </row>
    <row r="1775" spans="14:16" x14ac:dyDescent="0.3">
      <c r="N1775" s="1" t="str">
        <f t="shared" si="88"/>
        <v/>
      </c>
      <c r="O1775" s="1" t="str">
        <f t="shared" si="89"/>
        <v/>
      </c>
      <c r="P1775" s="1" t="str">
        <f t="shared" si="90"/>
        <v/>
      </c>
    </row>
    <row r="1776" spans="14:16" x14ac:dyDescent="0.3">
      <c r="N1776" s="1" t="str">
        <f t="shared" ref="N1776:N1839" si="91">IF(LEN($C1776)&gt;0,H1776-E1776,"")</f>
        <v/>
      </c>
      <c r="O1776" s="1" t="str">
        <f t="shared" ref="O1776:O1839" si="92">IF(LEN($C1776)&gt;0,I1776-F1776,"")</f>
        <v/>
      </c>
      <c r="P1776" s="1" t="str">
        <f t="shared" ref="P1776:P1839" si="93">IF(LEN($C1776)&gt;0,J1776-G1776,"")</f>
        <v/>
      </c>
    </row>
    <row r="1777" spans="14:16" x14ac:dyDescent="0.3">
      <c r="N1777" s="1" t="str">
        <f t="shared" si="91"/>
        <v/>
      </c>
      <c r="O1777" s="1" t="str">
        <f t="shared" si="92"/>
        <v/>
      </c>
      <c r="P1777" s="1" t="str">
        <f t="shared" si="93"/>
        <v/>
      </c>
    </row>
    <row r="1778" spans="14:16" x14ac:dyDescent="0.3">
      <c r="N1778" s="1" t="str">
        <f t="shared" si="91"/>
        <v/>
      </c>
      <c r="O1778" s="1" t="str">
        <f t="shared" si="92"/>
        <v/>
      </c>
      <c r="P1778" s="1" t="str">
        <f t="shared" si="93"/>
        <v/>
      </c>
    </row>
    <row r="1779" spans="14:16" x14ac:dyDescent="0.3">
      <c r="N1779" s="1" t="str">
        <f t="shared" si="91"/>
        <v/>
      </c>
      <c r="O1779" s="1" t="str">
        <f t="shared" si="92"/>
        <v/>
      </c>
      <c r="P1779" s="1" t="str">
        <f t="shared" si="93"/>
        <v/>
      </c>
    </row>
    <row r="1780" spans="14:16" x14ac:dyDescent="0.3">
      <c r="N1780" s="1" t="str">
        <f t="shared" si="91"/>
        <v/>
      </c>
      <c r="O1780" s="1" t="str">
        <f t="shared" si="92"/>
        <v/>
      </c>
      <c r="P1780" s="1" t="str">
        <f t="shared" si="93"/>
        <v/>
      </c>
    </row>
    <row r="1781" spans="14:16" x14ac:dyDescent="0.3">
      <c r="N1781" s="1" t="str">
        <f t="shared" si="91"/>
        <v/>
      </c>
      <c r="O1781" s="1" t="str">
        <f t="shared" si="92"/>
        <v/>
      </c>
      <c r="P1781" s="1" t="str">
        <f t="shared" si="93"/>
        <v/>
      </c>
    </row>
    <row r="1782" spans="14:16" x14ac:dyDescent="0.3">
      <c r="N1782" s="1" t="str">
        <f t="shared" si="91"/>
        <v/>
      </c>
      <c r="O1782" s="1" t="str">
        <f t="shared" si="92"/>
        <v/>
      </c>
      <c r="P1782" s="1" t="str">
        <f t="shared" si="93"/>
        <v/>
      </c>
    </row>
    <row r="1783" spans="14:16" x14ac:dyDescent="0.3">
      <c r="N1783" s="1" t="str">
        <f t="shared" si="91"/>
        <v/>
      </c>
      <c r="O1783" s="1" t="str">
        <f t="shared" si="92"/>
        <v/>
      </c>
      <c r="P1783" s="1" t="str">
        <f t="shared" si="93"/>
        <v/>
      </c>
    </row>
    <row r="1784" spans="14:16" x14ac:dyDescent="0.3">
      <c r="N1784" s="1" t="str">
        <f t="shared" si="91"/>
        <v/>
      </c>
      <c r="O1784" s="1" t="str">
        <f t="shared" si="92"/>
        <v/>
      </c>
      <c r="P1784" s="1" t="str">
        <f t="shared" si="93"/>
        <v/>
      </c>
    </row>
    <row r="1785" spans="14:16" x14ac:dyDescent="0.3">
      <c r="N1785" s="1" t="str">
        <f t="shared" si="91"/>
        <v/>
      </c>
      <c r="O1785" s="1" t="str">
        <f t="shared" si="92"/>
        <v/>
      </c>
      <c r="P1785" s="1" t="str">
        <f t="shared" si="93"/>
        <v/>
      </c>
    </row>
    <row r="1786" spans="14:16" x14ac:dyDescent="0.3">
      <c r="N1786" s="1" t="str">
        <f t="shared" si="91"/>
        <v/>
      </c>
      <c r="O1786" s="1" t="str">
        <f t="shared" si="92"/>
        <v/>
      </c>
      <c r="P1786" s="1" t="str">
        <f t="shared" si="93"/>
        <v/>
      </c>
    </row>
    <row r="1787" spans="14:16" x14ac:dyDescent="0.3">
      <c r="N1787" s="1" t="str">
        <f t="shared" si="91"/>
        <v/>
      </c>
      <c r="O1787" s="1" t="str">
        <f t="shared" si="92"/>
        <v/>
      </c>
      <c r="P1787" s="1" t="str">
        <f t="shared" si="93"/>
        <v/>
      </c>
    </row>
    <row r="1788" spans="14:16" x14ac:dyDescent="0.3">
      <c r="N1788" s="1" t="str">
        <f t="shared" si="91"/>
        <v/>
      </c>
      <c r="O1788" s="1" t="str">
        <f t="shared" si="92"/>
        <v/>
      </c>
      <c r="P1788" s="1" t="str">
        <f t="shared" si="93"/>
        <v/>
      </c>
    </row>
    <row r="1789" spans="14:16" x14ac:dyDescent="0.3">
      <c r="N1789" s="1" t="str">
        <f t="shared" si="91"/>
        <v/>
      </c>
      <c r="O1789" s="1" t="str">
        <f t="shared" si="92"/>
        <v/>
      </c>
      <c r="P1789" s="1" t="str">
        <f t="shared" si="93"/>
        <v/>
      </c>
    </row>
    <row r="1790" spans="14:16" x14ac:dyDescent="0.3">
      <c r="N1790" s="1" t="str">
        <f t="shared" si="91"/>
        <v/>
      </c>
      <c r="O1790" s="1" t="str">
        <f t="shared" si="92"/>
        <v/>
      </c>
      <c r="P1790" s="1" t="str">
        <f t="shared" si="93"/>
        <v/>
      </c>
    </row>
    <row r="1791" spans="14:16" x14ac:dyDescent="0.3">
      <c r="N1791" s="1" t="str">
        <f t="shared" si="91"/>
        <v/>
      </c>
      <c r="O1791" s="1" t="str">
        <f t="shared" si="92"/>
        <v/>
      </c>
      <c r="P1791" s="1" t="str">
        <f t="shared" si="93"/>
        <v/>
      </c>
    </row>
    <row r="1792" spans="14:16" x14ac:dyDescent="0.3">
      <c r="N1792" s="1" t="str">
        <f t="shared" si="91"/>
        <v/>
      </c>
      <c r="O1792" s="1" t="str">
        <f t="shared" si="92"/>
        <v/>
      </c>
      <c r="P1792" s="1" t="str">
        <f t="shared" si="93"/>
        <v/>
      </c>
    </row>
    <row r="1793" spans="14:16" x14ac:dyDescent="0.3">
      <c r="N1793" s="1" t="str">
        <f t="shared" si="91"/>
        <v/>
      </c>
      <c r="O1793" s="1" t="str">
        <f t="shared" si="92"/>
        <v/>
      </c>
      <c r="P1793" s="1" t="str">
        <f t="shared" si="93"/>
        <v/>
      </c>
    </row>
    <row r="1794" spans="14:16" x14ac:dyDescent="0.3">
      <c r="N1794" s="1" t="str">
        <f t="shared" si="91"/>
        <v/>
      </c>
      <c r="O1794" s="1" t="str">
        <f t="shared" si="92"/>
        <v/>
      </c>
      <c r="P1794" s="1" t="str">
        <f t="shared" si="93"/>
        <v/>
      </c>
    </row>
    <row r="1795" spans="14:16" x14ac:dyDescent="0.3">
      <c r="N1795" s="1" t="str">
        <f t="shared" si="91"/>
        <v/>
      </c>
      <c r="O1795" s="1" t="str">
        <f t="shared" si="92"/>
        <v/>
      </c>
      <c r="P1795" s="1" t="str">
        <f t="shared" si="93"/>
        <v/>
      </c>
    </row>
    <row r="1796" spans="14:16" x14ac:dyDescent="0.3">
      <c r="N1796" s="1" t="str">
        <f t="shared" si="91"/>
        <v/>
      </c>
      <c r="O1796" s="1" t="str">
        <f t="shared" si="92"/>
        <v/>
      </c>
      <c r="P1796" s="1" t="str">
        <f t="shared" si="93"/>
        <v/>
      </c>
    </row>
    <row r="1797" spans="14:16" x14ac:dyDescent="0.3">
      <c r="N1797" s="1" t="str">
        <f t="shared" si="91"/>
        <v/>
      </c>
      <c r="O1797" s="1" t="str">
        <f t="shared" si="92"/>
        <v/>
      </c>
      <c r="P1797" s="1" t="str">
        <f t="shared" si="93"/>
        <v/>
      </c>
    </row>
    <row r="1798" spans="14:16" x14ac:dyDescent="0.3">
      <c r="N1798" s="1" t="str">
        <f t="shared" si="91"/>
        <v/>
      </c>
      <c r="O1798" s="1" t="str">
        <f t="shared" si="92"/>
        <v/>
      </c>
      <c r="P1798" s="1" t="str">
        <f t="shared" si="93"/>
        <v/>
      </c>
    </row>
    <row r="1799" spans="14:16" x14ac:dyDescent="0.3">
      <c r="N1799" s="1" t="str">
        <f t="shared" si="91"/>
        <v/>
      </c>
      <c r="O1799" s="1" t="str">
        <f t="shared" si="92"/>
        <v/>
      </c>
      <c r="P1799" s="1" t="str">
        <f t="shared" si="93"/>
        <v/>
      </c>
    </row>
    <row r="1800" spans="14:16" x14ac:dyDescent="0.3">
      <c r="N1800" s="1" t="str">
        <f t="shared" si="91"/>
        <v/>
      </c>
      <c r="O1800" s="1" t="str">
        <f t="shared" si="92"/>
        <v/>
      </c>
      <c r="P1800" s="1" t="str">
        <f t="shared" si="93"/>
        <v/>
      </c>
    </row>
    <row r="1801" spans="14:16" x14ac:dyDescent="0.3">
      <c r="N1801" s="1" t="str">
        <f t="shared" si="91"/>
        <v/>
      </c>
      <c r="O1801" s="1" t="str">
        <f t="shared" si="92"/>
        <v/>
      </c>
      <c r="P1801" s="1" t="str">
        <f t="shared" si="93"/>
        <v/>
      </c>
    </row>
    <row r="1802" spans="14:16" x14ac:dyDescent="0.3">
      <c r="N1802" s="1" t="str">
        <f t="shared" si="91"/>
        <v/>
      </c>
      <c r="O1802" s="1" t="str">
        <f t="shared" si="92"/>
        <v/>
      </c>
      <c r="P1802" s="1" t="str">
        <f t="shared" si="93"/>
        <v/>
      </c>
    </row>
    <row r="1803" spans="14:16" x14ac:dyDescent="0.3">
      <c r="N1803" s="1" t="str">
        <f t="shared" si="91"/>
        <v/>
      </c>
      <c r="O1803" s="1" t="str">
        <f t="shared" si="92"/>
        <v/>
      </c>
      <c r="P1803" s="1" t="str">
        <f t="shared" si="93"/>
        <v/>
      </c>
    </row>
    <row r="1804" spans="14:16" x14ac:dyDescent="0.3">
      <c r="N1804" s="1" t="str">
        <f t="shared" si="91"/>
        <v/>
      </c>
      <c r="O1804" s="1" t="str">
        <f t="shared" si="92"/>
        <v/>
      </c>
      <c r="P1804" s="1" t="str">
        <f t="shared" si="93"/>
        <v/>
      </c>
    </row>
    <row r="1805" spans="14:16" x14ac:dyDescent="0.3">
      <c r="N1805" s="1" t="str">
        <f t="shared" si="91"/>
        <v/>
      </c>
      <c r="O1805" s="1" t="str">
        <f t="shared" si="92"/>
        <v/>
      </c>
      <c r="P1805" s="1" t="str">
        <f t="shared" si="93"/>
        <v/>
      </c>
    </row>
    <row r="1806" spans="14:16" x14ac:dyDescent="0.3">
      <c r="N1806" s="1" t="str">
        <f t="shared" si="91"/>
        <v/>
      </c>
      <c r="O1806" s="1" t="str">
        <f t="shared" si="92"/>
        <v/>
      </c>
      <c r="P1806" s="1" t="str">
        <f t="shared" si="93"/>
        <v/>
      </c>
    </row>
    <row r="1807" spans="14:16" x14ac:dyDescent="0.3">
      <c r="N1807" s="1" t="str">
        <f t="shared" si="91"/>
        <v/>
      </c>
      <c r="O1807" s="1" t="str">
        <f t="shared" si="92"/>
        <v/>
      </c>
      <c r="P1807" s="1" t="str">
        <f t="shared" si="93"/>
        <v/>
      </c>
    </row>
    <row r="1808" spans="14:16" x14ac:dyDescent="0.3">
      <c r="N1808" s="1" t="str">
        <f t="shared" si="91"/>
        <v/>
      </c>
      <c r="O1808" s="1" t="str">
        <f t="shared" si="92"/>
        <v/>
      </c>
      <c r="P1808" s="1" t="str">
        <f t="shared" si="93"/>
        <v/>
      </c>
    </row>
    <row r="1809" spans="14:16" x14ac:dyDescent="0.3">
      <c r="N1809" s="1" t="str">
        <f t="shared" si="91"/>
        <v/>
      </c>
      <c r="O1809" s="1" t="str">
        <f t="shared" si="92"/>
        <v/>
      </c>
      <c r="P1809" s="1" t="str">
        <f t="shared" si="93"/>
        <v/>
      </c>
    </row>
    <row r="1810" spans="14:16" x14ac:dyDescent="0.3">
      <c r="N1810" s="1" t="str">
        <f t="shared" si="91"/>
        <v/>
      </c>
      <c r="O1810" s="1" t="str">
        <f t="shared" si="92"/>
        <v/>
      </c>
      <c r="P1810" s="1" t="str">
        <f t="shared" si="93"/>
        <v/>
      </c>
    </row>
    <row r="1811" spans="14:16" x14ac:dyDescent="0.3">
      <c r="N1811" s="1" t="str">
        <f t="shared" si="91"/>
        <v/>
      </c>
      <c r="O1811" s="1" t="str">
        <f t="shared" si="92"/>
        <v/>
      </c>
      <c r="P1811" s="1" t="str">
        <f t="shared" si="93"/>
        <v/>
      </c>
    </row>
    <row r="1812" spans="14:16" x14ac:dyDescent="0.3">
      <c r="N1812" s="1" t="str">
        <f t="shared" si="91"/>
        <v/>
      </c>
      <c r="O1812" s="1" t="str">
        <f t="shared" si="92"/>
        <v/>
      </c>
      <c r="P1812" s="1" t="str">
        <f t="shared" si="93"/>
        <v/>
      </c>
    </row>
    <row r="1813" spans="14:16" x14ac:dyDescent="0.3">
      <c r="N1813" s="1" t="str">
        <f t="shared" si="91"/>
        <v/>
      </c>
      <c r="O1813" s="1" t="str">
        <f t="shared" si="92"/>
        <v/>
      </c>
      <c r="P1813" s="1" t="str">
        <f t="shared" si="93"/>
        <v/>
      </c>
    </row>
    <row r="1814" spans="14:16" x14ac:dyDescent="0.3">
      <c r="N1814" s="1" t="str">
        <f t="shared" si="91"/>
        <v/>
      </c>
      <c r="O1814" s="1" t="str">
        <f t="shared" si="92"/>
        <v/>
      </c>
      <c r="P1814" s="1" t="str">
        <f t="shared" si="93"/>
        <v/>
      </c>
    </row>
    <row r="1815" spans="14:16" x14ac:dyDescent="0.3">
      <c r="N1815" s="1" t="str">
        <f t="shared" si="91"/>
        <v/>
      </c>
      <c r="O1815" s="1" t="str">
        <f t="shared" si="92"/>
        <v/>
      </c>
      <c r="P1815" s="1" t="str">
        <f t="shared" si="93"/>
        <v/>
      </c>
    </row>
    <row r="1816" spans="14:16" x14ac:dyDescent="0.3">
      <c r="N1816" s="1" t="str">
        <f t="shared" si="91"/>
        <v/>
      </c>
      <c r="O1816" s="1" t="str">
        <f t="shared" si="92"/>
        <v/>
      </c>
      <c r="P1816" s="1" t="str">
        <f t="shared" si="93"/>
        <v/>
      </c>
    </row>
    <row r="1817" spans="14:16" x14ac:dyDescent="0.3">
      <c r="N1817" s="1" t="str">
        <f t="shared" si="91"/>
        <v/>
      </c>
      <c r="O1817" s="1" t="str">
        <f t="shared" si="92"/>
        <v/>
      </c>
      <c r="P1817" s="1" t="str">
        <f t="shared" si="93"/>
        <v/>
      </c>
    </row>
    <row r="1818" spans="14:16" x14ac:dyDescent="0.3">
      <c r="N1818" s="1" t="str">
        <f t="shared" si="91"/>
        <v/>
      </c>
      <c r="O1818" s="1" t="str">
        <f t="shared" si="92"/>
        <v/>
      </c>
      <c r="P1818" s="1" t="str">
        <f t="shared" si="93"/>
        <v/>
      </c>
    </row>
    <row r="1819" spans="14:16" x14ac:dyDescent="0.3">
      <c r="N1819" s="1" t="str">
        <f t="shared" si="91"/>
        <v/>
      </c>
      <c r="O1819" s="1" t="str">
        <f t="shared" si="92"/>
        <v/>
      </c>
      <c r="P1819" s="1" t="str">
        <f t="shared" si="93"/>
        <v/>
      </c>
    </row>
    <row r="1820" spans="14:16" x14ac:dyDescent="0.3">
      <c r="N1820" s="1" t="str">
        <f t="shared" si="91"/>
        <v/>
      </c>
      <c r="O1820" s="1" t="str">
        <f t="shared" si="92"/>
        <v/>
      </c>
      <c r="P1820" s="1" t="str">
        <f t="shared" si="93"/>
        <v/>
      </c>
    </row>
    <row r="1821" spans="14:16" x14ac:dyDescent="0.3">
      <c r="N1821" s="1" t="str">
        <f t="shared" si="91"/>
        <v/>
      </c>
      <c r="O1821" s="1" t="str">
        <f t="shared" si="92"/>
        <v/>
      </c>
      <c r="P1821" s="1" t="str">
        <f t="shared" si="93"/>
        <v/>
      </c>
    </row>
    <row r="1822" spans="14:16" x14ac:dyDescent="0.3">
      <c r="N1822" s="1" t="str">
        <f t="shared" si="91"/>
        <v/>
      </c>
      <c r="O1822" s="1" t="str">
        <f t="shared" si="92"/>
        <v/>
      </c>
      <c r="P1822" s="1" t="str">
        <f t="shared" si="93"/>
        <v/>
      </c>
    </row>
    <row r="1823" spans="14:16" x14ac:dyDescent="0.3">
      <c r="N1823" s="1" t="str">
        <f t="shared" si="91"/>
        <v/>
      </c>
      <c r="O1823" s="1" t="str">
        <f t="shared" si="92"/>
        <v/>
      </c>
      <c r="P1823" s="1" t="str">
        <f t="shared" si="93"/>
        <v/>
      </c>
    </row>
    <row r="1824" spans="14:16" x14ac:dyDescent="0.3">
      <c r="N1824" s="1" t="str">
        <f t="shared" si="91"/>
        <v/>
      </c>
      <c r="O1824" s="1" t="str">
        <f t="shared" si="92"/>
        <v/>
      </c>
      <c r="P1824" s="1" t="str">
        <f t="shared" si="93"/>
        <v/>
      </c>
    </row>
    <row r="1825" spans="14:16" x14ac:dyDescent="0.3">
      <c r="N1825" s="1" t="str">
        <f t="shared" si="91"/>
        <v/>
      </c>
      <c r="O1825" s="1" t="str">
        <f t="shared" si="92"/>
        <v/>
      </c>
      <c r="P1825" s="1" t="str">
        <f t="shared" si="93"/>
        <v/>
      </c>
    </row>
    <row r="1826" spans="14:16" x14ac:dyDescent="0.3">
      <c r="N1826" s="1" t="str">
        <f t="shared" si="91"/>
        <v/>
      </c>
      <c r="O1826" s="1" t="str">
        <f t="shared" si="92"/>
        <v/>
      </c>
      <c r="P1826" s="1" t="str">
        <f t="shared" si="93"/>
        <v/>
      </c>
    </row>
    <row r="1827" spans="14:16" x14ac:dyDescent="0.3">
      <c r="N1827" s="1" t="str">
        <f t="shared" si="91"/>
        <v/>
      </c>
      <c r="O1827" s="1" t="str">
        <f t="shared" si="92"/>
        <v/>
      </c>
      <c r="P1827" s="1" t="str">
        <f t="shared" si="93"/>
        <v/>
      </c>
    </row>
    <row r="1828" spans="14:16" x14ac:dyDescent="0.3">
      <c r="N1828" s="1" t="str">
        <f t="shared" si="91"/>
        <v/>
      </c>
      <c r="O1828" s="1" t="str">
        <f t="shared" si="92"/>
        <v/>
      </c>
      <c r="P1828" s="1" t="str">
        <f t="shared" si="93"/>
        <v/>
      </c>
    </row>
    <row r="1829" spans="14:16" x14ac:dyDescent="0.3">
      <c r="N1829" s="1" t="str">
        <f t="shared" si="91"/>
        <v/>
      </c>
      <c r="O1829" s="1" t="str">
        <f t="shared" si="92"/>
        <v/>
      </c>
      <c r="P1829" s="1" t="str">
        <f t="shared" si="93"/>
        <v/>
      </c>
    </row>
    <row r="1830" spans="14:16" x14ac:dyDescent="0.3">
      <c r="N1830" s="1" t="str">
        <f t="shared" si="91"/>
        <v/>
      </c>
      <c r="O1830" s="1" t="str">
        <f t="shared" si="92"/>
        <v/>
      </c>
      <c r="P1830" s="1" t="str">
        <f t="shared" si="93"/>
        <v/>
      </c>
    </row>
    <row r="1831" spans="14:16" x14ac:dyDescent="0.3">
      <c r="N1831" s="1" t="str">
        <f t="shared" si="91"/>
        <v/>
      </c>
      <c r="O1831" s="1" t="str">
        <f t="shared" si="92"/>
        <v/>
      </c>
      <c r="P1831" s="1" t="str">
        <f t="shared" si="93"/>
        <v/>
      </c>
    </row>
    <row r="1832" spans="14:16" x14ac:dyDescent="0.3">
      <c r="N1832" s="1" t="str">
        <f t="shared" si="91"/>
        <v/>
      </c>
      <c r="O1832" s="1" t="str">
        <f t="shared" si="92"/>
        <v/>
      </c>
      <c r="P1832" s="1" t="str">
        <f t="shared" si="93"/>
        <v/>
      </c>
    </row>
    <row r="1833" spans="14:16" x14ac:dyDescent="0.3">
      <c r="N1833" s="1" t="str">
        <f t="shared" si="91"/>
        <v/>
      </c>
      <c r="O1833" s="1" t="str">
        <f t="shared" si="92"/>
        <v/>
      </c>
      <c r="P1833" s="1" t="str">
        <f t="shared" si="93"/>
        <v/>
      </c>
    </row>
    <row r="1834" spans="14:16" x14ac:dyDescent="0.3">
      <c r="N1834" s="1" t="str">
        <f t="shared" si="91"/>
        <v/>
      </c>
      <c r="O1834" s="1" t="str">
        <f t="shared" si="92"/>
        <v/>
      </c>
      <c r="P1834" s="1" t="str">
        <f t="shared" si="93"/>
        <v/>
      </c>
    </row>
    <row r="1835" spans="14:16" x14ac:dyDescent="0.3">
      <c r="N1835" s="1" t="str">
        <f t="shared" si="91"/>
        <v/>
      </c>
      <c r="O1835" s="1" t="str">
        <f t="shared" si="92"/>
        <v/>
      </c>
      <c r="P1835" s="1" t="str">
        <f t="shared" si="93"/>
        <v/>
      </c>
    </row>
    <row r="1836" spans="14:16" x14ac:dyDescent="0.3">
      <c r="N1836" s="1" t="str">
        <f t="shared" si="91"/>
        <v/>
      </c>
      <c r="O1836" s="1" t="str">
        <f t="shared" si="92"/>
        <v/>
      </c>
      <c r="P1836" s="1" t="str">
        <f t="shared" si="93"/>
        <v/>
      </c>
    </row>
    <row r="1837" spans="14:16" x14ac:dyDescent="0.3">
      <c r="N1837" s="1" t="str">
        <f t="shared" si="91"/>
        <v/>
      </c>
      <c r="O1837" s="1" t="str">
        <f t="shared" si="92"/>
        <v/>
      </c>
      <c r="P1837" s="1" t="str">
        <f t="shared" si="93"/>
        <v/>
      </c>
    </row>
    <row r="1838" spans="14:16" x14ac:dyDescent="0.3">
      <c r="N1838" s="1" t="str">
        <f t="shared" si="91"/>
        <v/>
      </c>
      <c r="O1838" s="1" t="str">
        <f t="shared" si="92"/>
        <v/>
      </c>
      <c r="P1838" s="1" t="str">
        <f t="shared" si="93"/>
        <v/>
      </c>
    </row>
    <row r="1839" spans="14:16" x14ac:dyDescent="0.3">
      <c r="N1839" s="1" t="str">
        <f t="shared" si="91"/>
        <v/>
      </c>
      <c r="O1839" s="1" t="str">
        <f t="shared" si="92"/>
        <v/>
      </c>
      <c r="P1839" s="1" t="str">
        <f t="shared" si="93"/>
        <v/>
      </c>
    </row>
    <row r="1840" spans="14:16" x14ac:dyDescent="0.3">
      <c r="N1840" s="1" t="str">
        <f t="shared" ref="N1840:N1903" si="94">IF(LEN($C1840)&gt;0,H1840-E1840,"")</f>
        <v/>
      </c>
      <c r="O1840" s="1" t="str">
        <f t="shared" ref="O1840:O1903" si="95">IF(LEN($C1840)&gt;0,I1840-F1840,"")</f>
        <v/>
      </c>
      <c r="P1840" s="1" t="str">
        <f t="shared" ref="P1840:P1903" si="96">IF(LEN($C1840)&gt;0,J1840-G1840,"")</f>
        <v/>
      </c>
    </row>
    <row r="1841" spans="14:16" x14ac:dyDescent="0.3">
      <c r="N1841" s="1" t="str">
        <f t="shared" si="94"/>
        <v/>
      </c>
      <c r="O1841" s="1" t="str">
        <f t="shared" si="95"/>
        <v/>
      </c>
      <c r="P1841" s="1" t="str">
        <f t="shared" si="96"/>
        <v/>
      </c>
    </row>
    <row r="1842" spans="14:16" x14ac:dyDescent="0.3">
      <c r="N1842" s="1" t="str">
        <f t="shared" si="94"/>
        <v/>
      </c>
      <c r="O1842" s="1" t="str">
        <f t="shared" si="95"/>
        <v/>
      </c>
      <c r="P1842" s="1" t="str">
        <f t="shared" si="96"/>
        <v/>
      </c>
    </row>
    <row r="1843" spans="14:16" x14ac:dyDescent="0.3">
      <c r="N1843" s="1" t="str">
        <f t="shared" si="94"/>
        <v/>
      </c>
      <c r="O1843" s="1" t="str">
        <f t="shared" si="95"/>
        <v/>
      </c>
      <c r="P1843" s="1" t="str">
        <f t="shared" si="96"/>
        <v/>
      </c>
    </row>
    <row r="1844" spans="14:16" x14ac:dyDescent="0.3">
      <c r="N1844" s="1" t="str">
        <f t="shared" si="94"/>
        <v/>
      </c>
      <c r="O1844" s="1" t="str">
        <f t="shared" si="95"/>
        <v/>
      </c>
      <c r="P1844" s="1" t="str">
        <f t="shared" si="96"/>
        <v/>
      </c>
    </row>
    <row r="1845" spans="14:16" x14ac:dyDescent="0.3">
      <c r="N1845" s="1" t="str">
        <f t="shared" si="94"/>
        <v/>
      </c>
      <c r="O1845" s="1" t="str">
        <f t="shared" si="95"/>
        <v/>
      </c>
      <c r="P1845" s="1" t="str">
        <f t="shared" si="96"/>
        <v/>
      </c>
    </row>
    <row r="1846" spans="14:16" x14ac:dyDescent="0.3">
      <c r="N1846" s="1" t="str">
        <f t="shared" si="94"/>
        <v/>
      </c>
      <c r="O1846" s="1" t="str">
        <f t="shared" si="95"/>
        <v/>
      </c>
      <c r="P1846" s="1" t="str">
        <f t="shared" si="96"/>
        <v/>
      </c>
    </row>
    <row r="1847" spans="14:16" x14ac:dyDescent="0.3">
      <c r="N1847" s="1" t="str">
        <f t="shared" si="94"/>
        <v/>
      </c>
      <c r="O1847" s="1" t="str">
        <f t="shared" si="95"/>
        <v/>
      </c>
      <c r="P1847" s="1" t="str">
        <f t="shared" si="96"/>
        <v/>
      </c>
    </row>
    <row r="1848" spans="14:16" x14ac:dyDescent="0.3">
      <c r="N1848" s="1" t="str">
        <f t="shared" si="94"/>
        <v/>
      </c>
      <c r="O1848" s="1" t="str">
        <f t="shared" si="95"/>
        <v/>
      </c>
      <c r="P1848" s="1" t="str">
        <f t="shared" si="96"/>
        <v/>
      </c>
    </row>
    <row r="1849" spans="14:16" x14ac:dyDescent="0.3">
      <c r="N1849" s="1" t="str">
        <f t="shared" si="94"/>
        <v/>
      </c>
      <c r="O1849" s="1" t="str">
        <f t="shared" si="95"/>
        <v/>
      </c>
      <c r="P1849" s="1" t="str">
        <f t="shared" si="96"/>
        <v/>
      </c>
    </row>
    <row r="1850" spans="14:16" x14ac:dyDescent="0.3">
      <c r="N1850" s="1" t="str">
        <f t="shared" si="94"/>
        <v/>
      </c>
      <c r="O1850" s="1" t="str">
        <f t="shared" si="95"/>
        <v/>
      </c>
      <c r="P1850" s="1" t="str">
        <f t="shared" si="96"/>
        <v/>
      </c>
    </row>
    <row r="1851" spans="14:16" x14ac:dyDescent="0.3">
      <c r="N1851" s="1" t="str">
        <f t="shared" si="94"/>
        <v/>
      </c>
      <c r="O1851" s="1" t="str">
        <f t="shared" si="95"/>
        <v/>
      </c>
      <c r="P1851" s="1" t="str">
        <f t="shared" si="96"/>
        <v/>
      </c>
    </row>
    <row r="1852" spans="14:16" x14ac:dyDescent="0.3">
      <c r="N1852" s="1" t="str">
        <f t="shared" si="94"/>
        <v/>
      </c>
      <c r="O1852" s="1" t="str">
        <f t="shared" si="95"/>
        <v/>
      </c>
      <c r="P1852" s="1" t="str">
        <f t="shared" si="96"/>
        <v/>
      </c>
    </row>
    <row r="1853" spans="14:16" x14ac:dyDescent="0.3">
      <c r="N1853" s="1" t="str">
        <f t="shared" si="94"/>
        <v/>
      </c>
      <c r="O1853" s="1" t="str">
        <f t="shared" si="95"/>
        <v/>
      </c>
      <c r="P1853" s="1" t="str">
        <f t="shared" si="96"/>
        <v/>
      </c>
    </row>
    <row r="1854" spans="14:16" x14ac:dyDescent="0.3">
      <c r="N1854" s="1" t="str">
        <f t="shared" si="94"/>
        <v/>
      </c>
      <c r="O1854" s="1" t="str">
        <f t="shared" si="95"/>
        <v/>
      </c>
      <c r="P1854" s="1" t="str">
        <f t="shared" si="96"/>
        <v/>
      </c>
    </row>
    <row r="1855" spans="14:16" x14ac:dyDescent="0.3">
      <c r="N1855" s="1" t="str">
        <f t="shared" si="94"/>
        <v/>
      </c>
      <c r="O1855" s="1" t="str">
        <f t="shared" si="95"/>
        <v/>
      </c>
      <c r="P1855" s="1" t="str">
        <f t="shared" si="96"/>
        <v/>
      </c>
    </row>
    <row r="1856" spans="14:16" x14ac:dyDescent="0.3">
      <c r="N1856" s="1" t="str">
        <f t="shared" si="94"/>
        <v/>
      </c>
      <c r="O1856" s="1" t="str">
        <f t="shared" si="95"/>
        <v/>
      </c>
      <c r="P1856" s="1" t="str">
        <f t="shared" si="96"/>
        <v/>
      </c>
    </row>
    <row r="1857" spans="14:16" x14ac:dyDescent="0.3">
      <c r="N1857" s="1" t="str">
        <f t="shared" si="94"/>
        <v/>
      </c>
      <c r="O1857" s="1" t="str">
        <f t="shared" si="95"/>
        <v/>
      </c>
      <c r="P1857" s="1" t="str">
        <f t="shared" si="96"/>
        <v/>
      </c>
    </row>
    <row r="1858" spans="14:16" x14ac:dyDescent="0.3">
      <c r="N1858" s="1" t="str">
        <f t="shared" si="94"/>
        <v/>
      </c>
      <c r="O1858" s="1" t="str">
        <f t="shared" si="95"/>
        <v/>
      </c>
      <c r="P1858" s="1" t="str">
        <f t="shared" si="96"/>
        <v/>
      </c>
    </row>
    <row r="1859" spans="14:16" x14ac:dyDescent="0.3">
      <c r="N1859" s="1" t="str">
        <f t="shared" si="94"/>
        <v/>
      </c>
      <c r="O1859" s="1" t="str">
        <f t="shared" si="95"/>
        <v/>
      </c>
      <c r="P1859" s="1" t="str">
        <f t="shared" si="96"/>
        <v/>
      </c>
    </row>
    <row r="1860" spans="14:16" x14ac:dyDescent="0.3">
      <c r="N1860" s="1" t="str">
        <f t="shared" si="94"/>
        <v/>
      </c>
      <c r="O1860" s="1" t="str">
        <f t="shared" si="95"/>
        <v/>
      </c>
      <c r="P1860" s="1" t="str">
        <f t="shared" si="96"/>
        <v/>
      </c>
    </row>
    <row r="1861" spans="14:16" x14ac:dyDescent="0.3">
      <c r="N1861" s="1" t="str">
        <f t="shared" si="94"/>
        <v/>
      </c>
      <c r="O1861" s="1" t="str">
        <f t="shared" si="95"/>
        <v/>
      </c>
      <c r="P1861" s="1" t="str">
        <f t="shared" si="96"/>
        <v/>
      </c>
    </row>
    <row r="1862" spans="14:16" x14ac:dyDescent="0.3">
      <c r="N1862" s="1" t="str">
        <f t="shared" si="94"/>
        <v/>
      </c>
      <c r="O1862" s="1" t="str">
        <f t="shared" si="95"/>
        <v/>
      </c>
      <c r="P1862" s="1" t="str">
        <f t="shared" si="96"/>
        <v/>
      </c>
    </row>
    <row r="1863" spans="14:16" x14ac:dyDescent="0.3">
      <c r="N1863" s="1" t="str">
        <f t="shared" si="94"/>
        <v/>
      </c>
      <c r="O1863" s="1" t="str">
        <f t="shared" si="95"/>
        <v/>
      </c>
      <c r="P1863" s="1" t="str">
        <f t="shared" si="96"/>
        <v/>
      </c>
    </row>
    <row r="1864" spans="14:16" x14ac:dyDescent="0.3">
      <c r="N1864" s="1" t="str">
        <f t="shared" si="94"/>
        <v/>
      </c>
      <c r="O1864" s="1" t="str">
        <f t="shared" si="95"/>
        <v/>
      </c>
      <c r="P1864" s="1" t="str">
        <f t="shared" si="96"/>
        <v/>
      </c>
    </row>
    <row r="1865" spans="14:16" x14ac:dyDescent="0.3">
      <c r="N1865" s="1" t="str">
        <f t="shared" si="94"/>
        <v/>
      </c>
      <c r="O1865" s="1" t="str">
        <f t="shared" si="95"/>
        <v/>
      </c>
      <c r="P1865" s="1" t="str">
        <f t="shared" si="96"/>
        <v/>
      </c>
    </row>
    <row r="1866" spans="14:16" x14ac:dyDescent="0.3">
      <c r="N1866" s="1" t="str">
        <f t="shared" si="94"/>
        <v/>
      </c>
      <c r="O1866" s="1" t="str">
        <f t="shared" si="95"/>
        <v/>
      </c>
      <c r="P1866" s="1" t="str">
        <f t="shared" si="96"/>
        <v/>
      </c>
    </row>
    <row r="1867" spans="14:16" x14ac:dyDescent="0.3">
      <c r="N1867" s="1" t="str">
        <f t="shared" si="94"/>
        <v/>
      </c>
      <c r="O1867" s="1" t="str">
        <f t="shared" si="95"/>
        <v/>
      </c>
      <c r="P1867" s="1" t="str">
        <f t="shared" si="96"/>
        <v/>
      </c>
    </row>
    <row r="1868" spans="14:16" x14ac:dyDescent="0.3">
      <c r="N1868" s="1" t="str">
        <f t="shared" si="94"/>
        <v/>
      </c>
      <c r="O1868" s="1" t="str">
        <f t="shared" si="95"/>
        <v/>
      </c>
      <c r="P1868" s="1" t="str">
        <f t="shared" si="96"/>
        <v/>
      </c>
    </row>
    <row r="1869" spans="14:16" x14ac:dyDescent="0.3">
      <c r="N1869" s="1" t="str">
        <f t="shared" si="94"/>
        <v/>
      </c>
      <c r="O1869" s="1" t="str">
        <f t="shared" si="95"/>
        <v/>
      </c>
      <c r="P1869" s="1" t="str">
        <f t="shared" si="96"/>
        <v/>
      </c>
    </row>
    <row r="1870" spans="14:16" x14ac:dyDescent="0.3">
      <c r="N1870" s="1" t="str">
        <f t="shared" si="94"/>
        <v/>
      </c>
      <c r="O1870" s="1" t="str">
        <f t="shared" si="95"/>
        <v/>
      </c>
      <c r="P1870" s="1" t="str">
        <f t="shared" si="96"/>
        <v/>
      </c>
    </row>
    <row r="1871" spans="14:16" x14ac:dyDescent="0.3">
      <c r="N1871" s="1" t="str">
        <f t="shared" si="94"/>
        <v/>
      </c>
      <c r="O1871" s="1" t="str">
        <f t="shared" si="95"/>
        <v/>
      </c>
      <c r="P1871" s="1" t="str">
        <f t="shared" si="96"/>
        <v/>
      </c>
    </row>
    <row r="1872" spans="14:16" x14ac:dyDescent="0.3">
      <c r="N1872" s="1" t="str">
        <f t="shared" si="94"/>
        <v/>
      </c>
      <c r="O1872" s="1" t="str">
        <f t="shared" si="95"/>
        <v/>
      </c>
      <c r="P1872" s="1" t="str">
        <f t="shared" si="96"/>
        <v/>
      </c>
    </row>
    <row r="1873" spans="14:16" x14ac:dyDescent="0.3">
      <c r="N1873" s="1" t="str">
        <f t="shared" si="94"/>
        <v/>
      </c>
      <c r="O1873" s="1" t="str">
        <f t="shared" si="95"/>
        <v/>
      </c>
      <c r="P1873" s="1" t="str">
        <f t="shared" si="96"/>
        <v/>
      </c>
    </row>
    <row r="1874" spans="14:16" x14ac:dyDescent="0.3">
      <c r="N1874" s="1" t="str">
        <f t="shared" si="94"/>
        <v/>
      </c>
      <c r="O1874" s="1" t="str">
        <f t="shared" si="95"/>
        <v/>
      </c>
      <c r="P1874" s="1" t="str">
        <f t="shared" si="96"/>
        <v/>
      </c>
    </row>
    <row r="1875" spans="14:16" x14ac:dyDescent="0.3">
      <c r="N1875" s="1" t="str">
        <f t="shared" si="94"/>
        <v/>
      </c>
      <c r="O1875" s="1" t="str">
        <f t="shared" si="95"/>
        <v/>
      </c>
      <c r="P1875" s="1" t="str">
        <f t="shared" si="96"/>
        <v/>
      </c>
    </row>
    <row r="1876" spans="14:16" x14ac:dyDescent="0.3">
      <c r="N1876" s="1" t="str">
        <f t="shared" si="94"/>
        <v/>
      </c>
      <c r="O1876" s="1" t="str">
        <f t="shared" si="95"/>
        <v/>
      </c>
      <c r="P1876" s="1" t="str">
        <f t="shared" si="96"/>
        <v/>
      </c>
    </row>
    <row r="1877" spans="14:16" x14ac:dyDescent="0.3">
      <c r="N1877" s="1" t="str">
        <f t="shared" si="94"/>
        <v/>
      </c>
      <c r="O1877" s="1" t="str">
        <f t="shared" si="95"/>
        <v/>
      </c>
      <c r="P1877" s="1" t="str">
        <f t="shared" si="96"/>
        <v/>
      </c>
    </row>
    <row r="1878" spans="14:16" x14ac:dyDescent="0.3">
      <c r="N1878" s="1" t="str">
        <f t="shared" si="94"/>
        <v/>
      </c>
      <c r="O1878" s="1" t="str">
        <f t="shared" si="95"/>
        <v/>
      </c>
      <c r="P1878" s="1" t="str">
        <f t="shared" si="96"/>
        <v/>
      </c>
    </row>
    <row r="1879" spans="14:16" x14ac:dyDescent="0.3">
      <c r="N1879" s="1" t="str">
        <f t="shared" si="94"/>
        <v/>
      </c>
      <c r="O1879" s="1" t="str">
        <f t="shared" si="95"/>
        <v/>
      </c>
      <c r="P1879" s="1" t="str">
        <f t="shared" si="96"/>
        <v/>
      </c>
    </row>
    <row r="1880" spans="14:16" x14ac:dyDescent="0.3">
      <c r="N1880" s="1" t="str">
        <f t="shared" si="94"/>
        <v/>
      </c>
      <c r="O1880" s="1" t="str">
        <f t="shared" si="95"/>
        <v/>
      </c>
      <c r="P1880" s="1" t="str">
        <f t="shared" si="96"/>
        <v/>
      </c>
    </row>
    <row r="1881" spans="14:16" x14ac:dyDescent="0.3">
      <c r="N1881" s="1" t="str">
        <f t="shared" si="94"/>
        <v/>
      </c>
      <c r="O1881" s="1" t="str">
        <f t="shared" si="95"/>
        <v/>
      </c>
      <c r="P1881" s="1" t="str">
        <f t="shared" si="96"/>
        <v/>
      </c>
    </row>
    <row r="1882" spans="14:16" x14ac:dyDescent="0.3">
      <c r="N1882" s="1" t="str">
        <f t="shared" si="94"/>
        <v/>
      </c>
      <c r="O1882" s="1" t="str">
        <f t="shared" si="95"/>
        <v/>
      </c>
      <c r="P1882" s="1" t="str">
        <f t="shared" si="96"/>
        <v/>
      </c>
    </row>
    <row r="1883" spans="14:16" x14ac:dyDescent="0.3">
      <c r="N1883" s="1" t="str">
        <f t="shared" si="94"/>
        <v/>
      </c>
      <c r="O1883" s="1" t="str">
        <f t="shared" si="95"/>
        <v/>
      </c>
      <c r="P1883" s="1" t="str">
        <f t="shared" si="96"/>
        <v/>
      </c>
    </row>
    <row r="1884" spans="14:16" x14ac:dyDescent="0.3">
      <c r="N1884" s="1" t="str">
        <f t="shared" si="94"/>
        <v/>
      </c>
      <c r="O1884" s="1" t="str">
        <f t="shared" si="95"/>
        <v/>
      </c>
      <c r="P1884" s="1" t="str">
        <f t="shared" si="96"/>
        <v/>
      </c>
    </row>
    <row r="1885" spans="14:16" x14ac:dyDescent="0.3">
      <c r="N1885" s="1" t="str">
        <f t="shared" si="94"/>
        <v/>
      </c>
      <c r="O1885" s="1" t="str">
        <f t="shared" si="95"/>
        <v/>
      </c>
      <c r="P1885" s="1" t="str">
        <f t="shared" si="96"/>
        <v/>
      </c>
    </row>
    <row r="1886" spans="14:16" x14ac:dyDescent="0.3">
      <c r="N1886" s="1" t="str">
        <f t="shared" si="94"/>
        <v/>
      </c>
      <c r="O1886" s="1" t="str">
        <f t="shared" si="95"/>
        <v/>
      </c>
      <c r="P1886" s="1" t="str">
        <f t="shared" si="96"/>
        <v/>
      </c>
    </row>
    <row r="1887" spans="14:16" x14ac:dyDescent="0.3">
      <c r="N1887" s="1" t="str">
        <f t="shared" si="94"/>
        <v/>
      </c>
      <c r="O1887" s="1" t="str">
        <f t="shared" si="95"/>
        <v/>
      </c>
      <c r="P1887" s="1" t="str">
        <f t="shared" si="96"/>
        <v/>
      </c>
    </row>
    <row r="1888" spans="14:16" x14ac:dyDescent="0.3">
      <c r="N1888" s="1" t="str">
        <f t="shared" si="94"/>
        <v/>
      </c>
      <c r="O1888" s="1" t="str">
        <f t="shared" si="95"/>
        <v/>
      </c>
      <c r="P1888" s="1" t="str">
        <f t="shared" si="96"/>
        <v/>
      </c>
    </row>
    <row r="1889" spans="14:16" x14ac:dyDescent="0.3">
      <c r="N1889" s="1" t="str">
        <f t="shared" si="94"/>
        <v/>
      </c>
      <c r="O1889" s="1" t="str">
        <f t="shared" si="95"/>
        <v/>
      </c>
      <c r="P1889" s="1" t="str">
        <f t="shared" si="96"/>
        <v/>
      </c>
    </row>
    <row r="1890" spans="14:16" x14ac:dyDescent="0.3">
      <c r="N1890" s="1" t="str">
        <f t="shared" si="94"/>
        <v/>
      </c>
      <c r="O1890" s="1" t="str">
        <f t="shared" si="95"/>
        <v/>
      </c>
      <c r="P1890" s="1" t="str">
        <f t="shared" si="96"/>
        <v/>
      </c>
    </row>
    <row r="1891" spans="14:16" x14ac:dyDescent="0.3">
      <c r="N1891" s="1" t="str">
        <f t="shared" si="94"/>
        <v/>
      </c>
      <c r="O1891" s="1" t="str">
        <f t="shared" si="95"/>
        <v/>
      </c>
      <c r="P1891" s="1" t="str">
        <f t="shared" si="96"/>
        <v/>
      </c>
    </row>
    <row r="1892" spans="14:16" x14ac:dyDescent="0.3">
      <c r="N1892" s="1" t="str">
        <f t="shared" si="94"/>
        <v/>
      </c>
      <c r="O1892" s="1" t="str">
        <f t="shared" si="95"/>
        <v/>
      </c>
      <c r="P1892" s="1" t="str">
        <f t="shared" si="96"/>
        <v/>
      </c>
    </row>
    <row r="1893" spans="14:16" x14ac:dyDescent="0.3">
      <c r="N1893" s="1" t="str">
        <f t="shared" si="94"/>
        <v/>
      </c>
      <c r="O1893" s="1" t="str">
        <f t="shared" si="95"/>
        <v/>
      </c>
      <c r="P1893" s="1" t="str">
        <f t="shared" si="96"/>
        <v/>
      </c>
    </row>
    <row r="1894" spans="14:16" x14ac:dyDescent="0.3">
      <c r="N1894" s="1" t="str">
        <f t="shared" si="94"/>
        <v/>
      </c>
      <c r="O1894" s="1" t="str">
        <f t="shared" si="95"/>
        <v/>
      </c>
      <c r="P1894" s="1" t="str">
        <f t="shared" si="96"/>
        <v/>
      </c>
    </row>
    <row r="1895" spans="14:16" x14ac:dyDescent="0.3">
      <c r="N1895" s="1" t="str">
        <f t="shared" si="94"/>
        <v/>
      </c>
      <c r="O1895" s="1" t="str">
        <f t="shared" si="95"/>
        <v/>
      </c>
      <c r="P1895" s="1" t="str">
        <f t="shared" si="96"/>
        <v/>
      </c>
    </row>
    <row r="1896" spans="14:16" x14ac:dyDescent="0.3">
      <c r="N1896" s="1" t="str">
        <f t="shared" si="94"/>
        <v/>
      </c>
      <c r="O1896" s="1" t="str">
        <f t="shared" si="95"/>
        <v/>
      </c>
      <c r="P1896" s="1" t="str">
        <f t="shared" si="96"/>
        <v/>
      </c>
    </row>
    <row r="1897" spans="14:16" x14ac:dyDescent="0.3">
      <c r="N1897" s="1" t="str">
        <f t="shared" si="94"/>
        <v/>
      </c>
      <c r="O1897" s="1" t="str">
        <f t="shared" si="95"/>
        <v/>
      </c>
      <c r="P1897" s="1" t="str">
        <f t="shared" si="96"/>
        <v/>
      </c>
    </row>
    <row r="1898" spans="14:16" x14ac:dyDescent="0.3">
      <c r="N1898" s="1" t="str">
        <f t="shared" si="94"/>
        <v/>
      </c>
      <c r="O1898" s="1" t="str">
        <f t="shared" si="95"/>
        <v/>
      </c>
      <c r="P1898" s="1" t="str">
        <f t="shared" si="96"/>
        <v/>
      </c>
    </row>
    <row r="1899" spans="14:16" x14ac:dyDescent="0.3">
      <c r="N1899" s="1" t="str">
        <f t="shared" si="94"/>
        <v/>
      </c>
      <c r="O1899" s="1" t="str">
        <f t="shared" si="95"/>
        <v/>
      </c>
      <c r="P1899" s="1" t="str">
        <f t="shared" si="96"/>
        <v/>
      </c>
    </row>
    <row r="1900" spans="14:16" x14ac:dyDescent="0.3">
      <c r="N1900" s="1" t="str">
        <f t="shared" si="94"/>
        <v/>
      </c>
      <c r="O1900" s="1" t="str">
        <f t="shared" si="95"/>
        <v/>
      </c>
      <c r="P1900" s="1" t="str">
        <f t="shared" si="96"/>
        <v/>
      </c>
    </row>
    <row r="1901" spans="14:16" x14ac:dyDescent="0.3">
      <c r="N1901" s="1" t="str">
        <f t="shared" si="94"/>
        <v/>
      </c>
      <c r="O1901" s="1" t="str">
        <f t="shared" si="95"/>
        <v/>
      </c>
      <c r="P1901" s="1" t="str">
        <f t="shared" si="96"/>
        <v/>
      </c>
    </row>
    <row r="1902" spans="14:16" x14ac:dyDescent="0.3">
      <c r="N1902" s="1" t="str">
        <f t="shared" si="94"/>
        <v/>
      </c>
      <c r="O1902" s="1" t="str">
        <f t="shared" si="95"/>
        <v/>
      </c>
      <c r="P1902" s="1" t="str">
        <f t="shared" si="96"/>
        <v/>
      </c>
    </row>
    <row r="1903" spans="14:16" x14ac:dyDescent="0.3">
      <c r="N1903" s="1" t="str">
        <f t="shared" si="94"/>
        <v/>
      </c>
      <c r="O1903" s="1" t="str">
        <f t="shared" si="95"/>
        <v/>
      </c>
      <c r="P1903" s="1" t="str">
        <f t="shared" si="96"/>
        <v/>
      </c>
    </row>
    <row r="1904" spans="14:16" x14ac:dyDescent="0.3">
      <c r="N1904" s="1" t="str">
        <f t="shared" ref="N1904:N1967" si="97">IF(LEN($C1904)&gt;0,H1904-E1904,"")</f>
        <v/>
      </c>
      <c r="O1904" s="1" t="str">
        <f t="shared" ref="O1904:O1967" si="98">IF(LEN($C1904)&gt;0,I1904-F1904,"")</f>
        <v/>
      </c>
      <c r="P1904" s="1" t="str">
        <f t="shared" ref="P1904:P1967" si="99">IF(LEN($C1904)&gt;0,J1904-G1904,"")</f>
        <v/>
      </c>
    </row>
    <row r="1905" spans="14:16" x14ac:dyDescent="0.3">
      <c r="N1905" s="1" t="str">
        <f t="shared" si="97"/>
        <v/>
      </c>
      <c r="O1905" s="1" t="str">
        <f t="shared" si="98"/>
        <v/>
      </c>
      <c r="P1905" s="1" t="str">
        <f t="shared" si="99"/>
        <v/>
      </c>
    </row>
    <row r="1906" spans="14:16" x14ac:dyDescent="0.3">
      <c r="N1906" s="1" t="str">
        <f t="shared" si="97"/>
        <v/>
      </c>
      <c r="O1906" s="1" t="str">
        <f t="shared" si="98"/>
        <v/>
      </c>
      <c r="P1906" s="1" t="str">
        <f t="shared" si="99"/>
        <v/>
      </c>
    </row>
    <row r="1907" spans="14:16" x14ac:dyDescent="0.3">
      <c r="N1907" s="1" t="str">
        <f t="shared" si="97"/>
        <v/>
      </c>
      <c r="O1907" s="1" t="str">
        <f t="shared" si="98"/>
        <v/>
      </c>
      <c r="P1907" s="1" t="str">
        <f t="shared" si="99"/>
        <v/>
      </c>
    </row>
    <row r="1908" spans="14:16" x14ac:dyDescent="0.3">
      <c r="N1908" s="1" t="str">
        <f t="shared" si="97"/>
        <v/>
      </c>
      <c r="O1908" s="1" t="str">
        <f t="shared" si="98"/>
        <v/>
      </c>
      <c r="P1908" s="1" t="str">
        <f t="shared" si="99"/>
        <v/>
      </c>
    </row>
    <row r="1909" spans="14:16" x14ac:dyDescent="0.3">
      <c r="N1909" s="1" t="str">
        <f t="shared" si="97"/>
        <v/>
      </c>
      <c r="O1909" s="1" t="str">
        <f t="shared" si="98"/>
        <v/>
      </c>
      <c r="P1909" s="1" t="str">
        <f t="shared" si="99"/>
        <v/>
      </c>
    </row>
    <row r="1910" spans="14:16" x14ac:dyDescent="0.3">
      <c r="N1910" s="1" t="str">
        <f t="shared" si="97"/>
        <v/>
      </c>
      <c r="O1910" s="1" t="str">
        <f t="shared" si="98"/>
        <v/>
      </c>
      <c r="P1910" s="1" t="str">
        <f t="shared" si="99"/>
        <v/>
      </c>
    </row>
    <row r="1911" spans="14:16" x14ac:dyDescent="0.3">
      <c r="N1911" s="1" t="str">
        <f t="shared" si="97"/>
        <v/>
      </c>
      <c r="O1911" s="1" t="str">
        <f t="shared" si="98"/>
        <v/>
      </c>
      <c r="P1911" s="1" t="str">
        <f t="shared" si="99"/>
        <v/>
      </c>
    </row>
    <row r="1912" spans="14:16" x14ac:dyDescent="0.3">
      <c r="N1912" s="1" t="str">
        <f t="shared" si="97"/>
        <v/>
      </c>
      <c r="O1912" s="1" t="str">
        <f t="shared" si="98"/>
        <v/>
      </c>
      <c r="P1912" s="1" t="str">
        <f t="shared" si="99"/>
        <v/>
      </c>
    </row>
    <row r="1913" spans="14:16" x14ac:dyDescent="0.3">
      <c r="N1913" s="1" t="str">
        <f t="shared" si="97"/>
        <v/>
      </c>
      <c r="O1913" s="1" t="str">
        <f t="shared" si="98"/>
        <v/>
      </c>
      <c r="P1913" s="1" t="str">
        <f t="shared" si="99"/>
        <v/>
      </c>
    </row>
    <row r="1914" spans="14:16" x14ac:dyDescent="0.3">
      <c r="N1914" s="1" t="str">
        <f t="shared" si="97"/>
        <v/>
      </c>
      <c r="O1914" s="1" t="str">
        <f t="shared" si="98"/>
        <v/>
      </c>
      <c r="P1914" s="1" t="str">
        <f t="shared" si="99"/>
        <v/>
      </c>
    </row>
    <row r="1915" spans="14:16" x14ac:dyDescent="0.3">
      <c r="N1915" s="1" t="str">
        <f t="shared" si="97"/>
        <v/>
      </c>
      <c r="O1915" s="1" t="str">
        <f t="shared" si="98"/>
        <v/>
      </c>
      <c r="P1915" s="1" t="str">
        <f t="shared" si="99"/>
        <v/>
      </c>
    </row>
    <row r="1916" spans="14:16" x14ac:dyDescent="0.3">
      <c r="N1916" s="1" t="str">
        <f t="shared" si="97"/>
        <v/>
      </c>
      <c r="O1916" s="1" t="str">
        <f t="shared" si="98"/>
        <v/>
      </c>
      <c r="P1916" s="1" t="str">
        <f t="shared" si="99"/>
        <v/>
      </c>
    </row>
    <row r="1917" spans="14:16" x14ac:dyDescent="0.3">
      <c r="N1917" s="1" t="str">
        <f t="shared" si="97"/>
        <v/>
      </c>
      <c r="O1917" s="1" t="str">
        <f t="shared" si="98"/>
        <v/>
      </c>
      <c r="P1917" s="1" t="str">
        <f t="shared" si="99"/>
        <v/>
      </c>
    </row>
    <row r="1918" spans="14:16" x14ac:dyDescent="0.3">
      <c r="N1918" s="1" t="str">
        <f t="shared" si="97"/>
        <v/>
      </c>
      <c r="O1918" s="1" t="str">
        <f t="shared" si="98"/>
        <v/>
      </c>
      <c r="P1918" s="1" t="str">
        <f t="shared" si="99"/>
        <v/>
      </c>
    </row>
    <row r="1919" spans="14:16" x14ac:dyDescent="0.3">
      <c r="N1919" s="1" t="str">
        <f t="shared" si="97"/>
        <v/>
      </c>
      <c r="O1919" s="1" t="str">
        <f t="shared" si="98"/>
        <v/>
      </c>
      <c r="P1919" s="1" t="str">
        <f t="shared" si="99"/>
        <v/>
      </c>
    </row>
    <row r="1920" spans="14:16" x14ac:dyDescent="0.3">
      <c r="N1920" s="1" t="str">
        <f t="shared" si="97"/>
        <v/>
      </c>
      <c r="O1920" s="1" t="str">
        <f t="shared" si="98"/>
        <v/>
      </c>
      <c r="P1920" s="1" t="str">
        <f t="shared" si="99"/>
        <v/>
      </c>
    </row>
    <row r="1921" spans="14:16" x14ac:dyDescent="0.3">
      <c r="N1921" s="1" t="str">
        <f t="shared" si="97"/>
        <v/>
      </c>
      <c r="O1921" s="1" t="str">
        <f t="shared" si="98"/>
        <v/>
      </c>
      <c r="P1921" s="1" t="str">
        <f t="shared" si="99"/>
        <v/>
      </c>
    </row>
    <row r="1922" spans="14:16" x14ac:dyDescent="0.3">
      <c r="N1922" s="1" t="str">
        <f t="shared" si="97"/>
        <v/>
      </c>
      <c r="O1922" s="1" t="str">
        <f t="shared" si="98"/>
        <v/>
      </c>
      <c r="P1922" s="1" t="str">
        <f t="shared" si="99"/>
        <v/>
      </c>
    </row>
    <row r="1923" spans="14:16" x14ac:dyDescent="0.3">
      <c r="N1923" s="1" t="str">
        <f t="shared" si="97"/>
        <v/>
      </c>
      <c r="O1923" s="1" t="str">
        <f t="shared" si="98"/>
        <v/>
      </c>
      <c r="P1923" s="1" t="str">
        <f t="shared" si="99"/>
        <v/>
      </c>
    </row>
    <row r="1924" spans="14:16" x14ac:dyDescent="0.3">
      <c r="N1924" s="1" t="str">
        <f t="shared" si="97"/>
        <v/>
      </c>
      <c r="O1924" s="1" t="str">
        <f t="shared" si="98"/>
        <v/>
      </c>
      <c r="P1924" s="1" t="str">
        <f t="shared" si="99"/>
        <v/>
      </c>
    </row>
    <row r="1925" spans="14:16" x14ac:dyDescent="0.3">
      <c r="N1925" s="1" t="str">
        <f t="shared" si="97"/>
        <v/>
      </c>
      <c r="O1925" s="1" t="str">
        <f t="shared" si="98"/>
        <v/>
      </c>
      <c r="P1925" s="1" t="str">
        <f t="shared" si="99"/>
        <v/>
      </c>
    </row>
    <row r="1926" spans="14:16" x14ac:dyDescent="0.3">
      <c r="N1926" s="1" t="str">
        <f t="shared" si="97"/>
        <v/>
      </c>
      <c r="O1926" s="1" t="str">
        <f t="shared" si="98"/>
        <v/>
      </c>
      <c r="P1926" s="1" t="str">
        <f t="shared" si="99"/>
        <v/>
      </c>
    </row>
    <row r="1927" spans="14:16" x14ac:dyDescent="0.3">
      <c r="N1927" s="1" t="str">
        <f t="shared" si="97"/>
        <v/>
      </c>
      <c r="O1927" s="1" t="str">
        <f t="shared" si="98"/>
        <v/>
      </c>
      <c r="P1927" s="1" t="str">
        <f t="shared" si="99"/>
        <v/>
      </c>
    </row>
    <row r="1928" spans="14:16" x14ac:dyDescent="0.3">
      <c r="N1928" s="1" t="str">
        <f t="shared" si="97"/>
        <v/>
      </c>
      <c r="O1928" s="1" t="str">
        <f t="shared" si="98"/>
        <v/>
      </c>
      <c r="P1928" s="1" t="str">
        <f t="shared" si="99"/>
        <v/>
      </c>
    </row>
    <row r="1929" spans="14:16" x14ac:dyDescent="0.3">
      <c r="N1929" s="1" t="str">
        <f t="shared" si="97"/>
        <v/>
      </c>
      <c r="O1929" s="1" t="str">
        <f t="shared" si="98"/>
        <v/>
      </c>
      <c r="P1929" s="1" t="str">
        <f t="shared" si="99"/>
        <v/>
      </c>
    </row>
    <row r="1930" spans="14:16" x14ac:dyDescent="0.3">
      <c r="N1930" s="1" t="str">
        <f t="shared" si="97"/>
        <v/>
      </c>
      <c r="O1930" s="1" t="str">
        <f t="shared" si="98"/>
        <v/>
      </c>
      <c r="P1930" s="1" t="str">
        <f t="shared" si="99"/>
        <v/>
      </c>
    </row>
    <row r="1931" spans="14:16" x14ac:dyDescent="0.3">
      <c r="N1931" s="1" t="str">
        <f t="shared" si="97"/>
        <v/>
      </c>
      <c r="O1931" s="1" t="str">
        <f t="shared" si="98"/>
        <v/>
      </c>
      <c r="P1931" s="1" t="str">
        <f t="shared" si="99"/>
        <v/>
      </c>
    </row>
    <row r="1932" spans="14:16" x14ac:dyDescent="0.3">
      <c r="N1932" s="1" t="str">
        <f t="shared" si="97"/>
        <v/>
      </c>
      <c r="O1932" s="1" t="str">
        <f t="shared" si="98"/>
        <v/>
      </c>
      <c r="P1932" s="1" t="str">
        <f t="shared" si="99"/>
        <v/>
      </c>
    </row>
    <row r="1933" spans="14:16" x14ac:dyDescent="0.3">
      <c r="N1933" s="1" t="str">
        <f t="shared" si="97"/>
        <v/>
      </c>
      <c r="O1933" s="1" t="str">
        <f t="shared" si="98"/>
        <v/>
      </c>
      <c r="P1933" s="1" t="str">
        <f t="shared" si="99"/>
        <v/>
      </c>
    </row>
    <row r="1934" spans="14:16" x14ac:dyDescent="0.3">
      <c r="N1934" s="1" t="str">
        <f t="shared" si="97"/>
        <v/>
      </c>
      <c r="O1934" s="1" t="str">
        <f t="shared" si="98"/>
        <v/>
      </c>
      <c r="P1934" s="1" t="str">
        <f t="shared" si="99"/>
        <v/>
      </c>
    </row>
    <row r="1935" spans="14:16" x14ac:dyDescent="0.3">
      <c r="N1935" s="1" t="str">
        <f t="shared" si="97"/>
        <v/>
      </c>
      <c r="O1935" s="1" t="str">
        <f t="shared" si="98"/>
        <v/>
      </c>
      <c r="P1935" s="1" t="str">
        <f t="shared" si="99"/>
        <v/>
      </c>
    </row>
    <row r="1936" spans="14:16" x14ac:dyDescent="0.3">
      <c r="N1936" s="1" t="str">
        <f t="shared" si="97"/>
        <v/>
      </c>
      <c r="O1936" s="1" t="str">
        <f t="shared" si="98"/>
        <v/>
      </c>
      <c r="P1936" s="1" t="str">
        <f t="shared" si="99"/>
        <v/>
      </c>
    </row>
    <row r="1937" spans="14:16" x14ac:dyDescent="0.3">
      <c r="N1937" s="1" t="str">
        <f t="shared" si="97"/>
        <v/>
      </c>
      <c r="O1937" s="1" t="str">
        <f t="shared" si="98"/>
        <v/>
      </c>
      <c r="P1937" s="1" t="str">
        <f t="shared" si="99"/>
        <v/>
      </c>
    </row>
    <row r="1938" spans="14:16" x14ac:dyDescent="0.3">
      <c r="N1938" s="1" t="str">
        <f t="shared" si="97"/>
        <v/>
      </c>
      <c r="O1938" s="1" t="str">
        <f t="shared" si="98"/>
        <v/>
      </c>
      <c r="P1938" s="1" t="str">
        <f t="shared" si="99"/>
        <v/>
      </c>
    </row>
    <row r="1939" spans="14:16" x14ac:dyDescent="0.3">
      <c r="N1939" s="1" t="str">
        <f t="shared" si="97"/>
        <v/>
      </c>
      <c r="O1939" s="1" t="str">
        <f t="shared" si="98"/>
        <v/>
      </c>
      <c r="P1939" s="1" t="str">
        <f t="shared" si="99"/>
        <v/>
      </c>
    </row>
    <row r="1940" spans="14:16" x14ac:dyDescent="0.3">
      <c r="N1940" s="1" t="str">
        <f t="shared" si="97"/>
        <v/>
      </c>
      <c r="O1940" s="1" t="str">
        <f t="shared" si="98"/>
        <v/>
      </c>
      <c r="P1940" s="1" t="str">
        <f t="shared" si="99"/>
        <v/>
      </c>
    </row>
    <row r="1941" spans="14:16" x14ac:dyDescent="0.3">
      <c r="N1941" s="1" t="str">
        <f t="shared" si="97"/>
        <v/>
      </c>
      <c r="O1941" s="1" t="str">
        <f t="shared" si="98"/>
        <v/>
      </c>
      <c r="P1941" s="1" t="str">
        <f t="shared" si="99"/>
        <v/>
      </c>
    </row>
    <row r="1942" spans="14:16" x14ac:dyDescent="0.3">
      <c r="N1942" s="1" t="str">
        <f t="shared" si="97"/>
        <v/>
      </c>
      <c r="O1942" s="1" t="str">
        <f t="shared" si="98"/>
        <v/>
      </c>
      <c r="P1942" s="1" t="str">
        <f t="shared" si="99"/>
        <v/>
      </c>
    </row>
    <row r="1943" spans="14:16" x14ac:dyDescent="0.3">
      <c r="N1943" s="1" t="str">
        <f t="shared" si="97"/>
        <v/>
      </c>
      <c r="O1943" s="1" t="str">
        <f t="shared" si="98"/>
        <v/>
      </c>
      <c r="P1943" s="1" t="str">
        <f t="shared" si="99"/>
        <v/>
      </c>
    </row>
    <row r="1944" spans="14:16" x14ac:dyDescent="0.3">
      <c r="N1944" s="1" t="str">
        <f t="shared" si="97"/>
        <v/>
      </c>
      <c r="O1944" s="1" t="str">
        <f t="shared" si="98"/>
        <v/>
      </c>
      <c r="P1944" s="1" t="str">
        <f t="shared" si="99"/>
        <v/>
      </c>
    </row>
    <row r="1945" spans="14:16" x14ac:dyDescent="0.3">
      <c r="N1945" s="1" t="str">
        <f t="shared" si="97"/>
        <v/>
      </c>
      <c r="O1945" s="1" t="str">
        <f t="shared" si="98"/>
        <v/>
      </c>
      <c r="P1945" s="1" t="str">
        <f t="shared" si="99"/>
        <v/>
      </c>
    </row>
    <row r="1946" spans="14:16" x14ac:dyDescent="0.3">
      <c r="N1946" s="1" t="str">
        <f t="shared" si="97"/>
        <v/>
      </c>
      <c r="O1946" s="1" t="str">
        <f t="shared" si="98"/>
        <v/>
      </c>
      <c r="P1946" s="1" t="str">
        <f t="shared" si="99"/>
        <v/>
      </c>
    </row>
    <row r="1947" spans="14:16" x14ac:dyDescent="0.3">
      <c r="N1947" s="1" t="str">
        <f t="shared" si="97"/>
        <v/>
      </c>
      <c r="O1947" s="1" t="str">
        <f t="shared" si="98"/>
        <v/>
      </c>
      <c r="P1947" s="1" t="str">
        <f t="shared" si="99"/>
        <v/>
      </c>
    </row>
    <row r="1948" spans="14:16" x14ac:dyDescent="0.3">
      <c r="N1948" s="1" t="str">
        <f t="shared" si="97"/>
        <v/>
      </c>
      <c r="O1948" s="1" t="str">
        <f t="shared" si="98"/>
        <v/>
      </c>
      <c r="P1948" s="1" t="str">
        <f t="shared" si="99"/>
        <v/>
      </c>
    </row>
    <row r="1949" spans="14:16" x14ac:dyDescent="0.3">
      <c r="N1949" s="1" t="str">
        <f t="shared" si="97"/>
        <v/>
      </c>
      <c r="O1949" s="1" t="str">
        <f t="shared" si="98"/>
        <v/>
      </c>
      <c r="P1949" s="1" t="str">
        <f t="shared" si="99"/>
        <v/>
      </c>
    </row>
    <row r="1950" spans="14:16" x14ac:dyDescent="0.3">
      <c r="N1950" s="1" t="str">
        <f t="shared" si="97"/>
        <v/>
      </c>
      <c r="O1950" s="1" t="str">
        <f t="shared" si="98"/>
        <v/>
      </c>
      <c r="P1950" s="1" t="str">
        <f t="shared" si="99"/>
        <v/>
      </c>
    </row>
    <row r="1951" spans="14:16" x14ac:dyDescent="0.3">
      <c r="N1951" s="1" t="str">
        <f t="shared" si="97"/>
        <v/>
      </c>
      <c r="O1951" s="1" t="str">
        <f t="shared" si="98"/>
        <v/>
      </c>
      <c r="P1951" s="1" t="str">
        <f t="shared" si="99"/>
        <v/>
      </c>
    </row>
    <row r="1952" spans="14:16" x14ac:dyDescent="0.3">
      <c r="N1952" s="1" t="str">
        <f t="shared" si="97"/>
        <v/>
      </c>
      <c r="O1952" s="1" t="str">
        <f t="shared" si="98"/>
        <v/>
      </c>
      <c r="P1952" s="1" t="str">
        <f t="shared" si="99"/>
        <v/>
      </c>
    </row>
    <row r="1953" spans="14:16" x14ac:dyDescent="0.3">
      <c r="N1953" s="1" t="str">
        <f t="shared" si="97"/>
        <v/>
      </c>
      <c r="O1953" s="1" t="str">
        <f t="shared" si="98"/>
        <v/>
      </c>
      <c r="P1953" s="1" t="str">
        <f t="shared" si="99"/>
        <v/>
      </c>
    </row>
    <row r="1954" spans="14:16" x14ac:dyDescent="0.3">
      <c r="N1954" s="1" t="str">
        <f t="shared" si="97"/>
        <v/>
      </c>
      <c r="O1954" s="1" t="str">
        <f t="shared" si="98"/>
        <v/>
      </c>
      <c r="P1954" s="1" t="str">
        <f t="shared" si="99"/>
        <v/>
      </c>
    </row>
    <row r="1955" spans="14:16" x14ac:dyDescent="0.3">
      <c r="N1955" s="1" t="str">
        <f t="shared" si="97"/>
        <v/>
      </c>
      <c r="O1955" s="1" t="str">
        <f t="shared" si="98"/>
        <v/>
      </c>
      <c r="P1955" s="1" t="str">
        <f t="shared" si="99"/>
        <v/>
      </c>
    </row>
    <row r="1956" spans="14:16" x14ac:dyDescent="0.3">
      <c r="N1956" s="1" t="str">
        <f t="shared" si="97"/>
        <v/>
      </c>
      <c r="O1956" s="1" t="str">
        <f t="shared" si="98"/>
        <v/>
      </c>
      <c r="P1956" s="1" t="str">
        <f t="shared" si="99"/>
        <v/>
      </c>
    </row>
    <row r="1957" spans="14:16" x14ac:dyDescent="0.3">
      <c r="N1957" s="1" t="str">
        <f t="shared" si="97"/>
        <v/>
      </c>
      <c r="O1957" s="1" t="str">
        <f t="shared" si="98"/>
        <v/>
      </c>
      <c r="P1957" s="1" t="str">
        <f t="shared" si="99"/>
        <v/>
      </c>
    </row>
    <row r="1958" spans="14:16" x14ac:dyDescent="0.3">
      <c r="N1958" s="1" t="str">
        <f t="shared" si="97"/>
        <v/>
      </c>
      <c r="O1958" s="1" t="str">
        <f t="shared" si="98"/>
        <v/>
      </c>
      <c r="P1958" s="1" t="str">
        <f t="shared" si="99"/>
        <v/>
      </c>
    </row>
    <row r="1959" spans="14:16" x14ac:dyDescent="0.3">
      <c r="N1959" s="1" t="str">
        <f t="shared" si="97"/>
        <v/>
      </c>
      <c r="O1959" s="1" t="str">
        <f t="shared" si="98"/>
        <v/>
      </c>
      <c r="P1959" s="1" t="str">
        <f t="shared" si="99"/>
        <v/>
      </c>
    </row>
    <row r="1960" spans="14:16" x14ac:dyDescent="0.3">
      <c r="N1960" s="1" t="str">
        <f t="shared" si="97"/>
        <v/>
      </c>
      <c r="O1960" s="1" t="str">
        <f t="shared" si="98"/>
        <v/>
      </c>
      <c r="P1960" s="1" t="str">
        <f t="shared" si="99"/>
        <v/>
      </c>
    </row>
    <row r="1961" spans="14:16" x14ac:dyDescent="0.3">
      <c r="N1961" s="1" t="str">
        <f t="shared" si="97"/>
        <v/>
      </c>
      <c r="O1961" s="1" t="str">
        <f t="shared" si="98"/>
        <v/>
      </c>
      <c r="P1961" s="1" t="str">
        <f t="shared" si="99"/>
        <v/>
      </c>
    </row>
    <row r="1962" spans="14:16" x14ac:dyDescent="0.3">
      <c r="N1962" s="1" t="str">
        <f t="shared" si="97"/>
        <v/>
      </c>
      <c r="O1962" s="1" t="str">
        <f t="shared" si="98"/>
        <v/>
      </c>
      <c r="P1962" s="1" t="str">
        <f t="shared" si="99"/>
        <v/>
      </c>
    </row>
    <row r="1963" spans="14:16" x14ac:dyDescent="0.3">
      <c r="N1963" s="1" t="str">
        <f t="shared" si="97"/>
        <v/>
      </c>
      <c r="O1963" s="1" t="str">
        <f t="shared" si="98"/>
        <v/>
      </c>
      <c r="P1963" s="1" t="str">
        <f t="shared" si="99"/>
        <v/>
      </c>
    </row>
    <row r="1964" spans="14:16" x14ac:dyDescent="0.3">
      <c r="N1964" s="1" t="str">
        <f t="shared" si="97"/>
        <v/>
      </c>
      <c r="O1964" s="1" t="str">
        <f t="shared" si="98"/>
        <v/>
      </c>
      <c r="P1964" s="1" t="str">
        <f t="shared" si="99"/>
        <v/>
      </c>
    </row>
    <row r="1965" spans="14:16" x14ac:dyDescent="0.3">
      <c r="N1965" s="1" t="str">
        <f t="shared" si="97"/>
        <v/>
      </c>
      <c r="O1965" s="1" t="str">
        <f t="shared" si="98"/>
        <v/>
      </c>
      <c r="P1965" s="1" t="str">
        <f t="shared" si="99"/>
        <v/>
      </c>
    </row>
    <row r="1966" spans="14:16" x14ac:dyDescent="0.3">
      <c r="N1966" s="1" t="str">
        <f t="shared" si="97"/>
        <v/>
      </c>
      <c r="O1966" s="1" t="str">
        <f t="shared" si="98"/>
        <v/>
      </c>
      <c r="P1966" s="1" t="str">
        <f t="shared" si="99"/>
        <v/>
      </c>
    </row>
    <row r="1967" spans="14:16" x14ac:dyDescent="0.3">
      <c r="N1967" s="1" t="str">
        <f t="shared" si="97"/>
        <v/>
      </c>
      <c r="O1967" s="1" t="str">
        <f t="shared" si="98"/>
        <v/>
      </c>
      <c r="P1967" s="1" t="str">
        <f t="shared" si="99"/>
        <v/>
      </c>
    </row>
    <row r="1968" spans="14:16" x14ac:dyDescent="0.3">
      <c r="N1968" s="1" t="str">
        <f t="shared" ref="N1968:N2031" si="100">IF(LEN($C1968)&gt;0,H1968-E1968,"")</f>
        <v/>
      </c>
      <c r="O1968" s="1" t="str">
        <f t="shared" ref="O1968:O2031" si="101">IF(LEN($C1968)&gt;0,I1968-F1968,"")</f>
        <v/>
      </c>
      <c r="P1968" s="1" t="str">
        <f t="shared" ref="P1968:P2031" si="102">IF(LEN($C1968)&gt;0,J1968-G1968,"")</f>
        <v/>
      </c>
    </row>
    <row r="1969" spans="14:16" x14ac:dyDescent="0.3">
      <c r="N1969" s="1" t="str">
        <f t="shared" si="100"/>
        <v/>
      </c>
      <c r="O1969" s="1" t="str">
        <f t="shared" si="101"/>
        <v/>
      </c>
      <c r="P1969" s="1" t="str">
        <f t="shared" si="102"/>
        <v/>
      </c>
    </row>
    <row r="1970" spans="14:16" x14ac:dyDescent="0.3">
      <c r="N1970" s="1" t="str">
        <f t="shared" si="100"/>
        <v/>
      </c>
      <c r="O1970" s="1" t="str">
        <f t="shared" si="101"/>
        <v/>
      </c>
      <c r="P1970" s="1" t="str">
        <f t="shared" si="102"/>
        <v/>
      </c>
    </row>
    <row r="1971" spans="14:16" x14ac:dyDescent="0.3">
      <c r="N1971" s="1" t="str">
        <f t="shared" si="100"/>
        <v/>
      </c>
      <c r="O1971" s="1" t="str">
        <f t="shared" si="101"/>
        <v/>
      </c>
      <c r="P1971" s="1" t="str">
        <f t="shared" si="102"/>
        <v/>
      </c>
    </row>
    <row r="1972" spans="14:16" x14ac:dyDescent="0.3">
      <c r="N1972" s="1" t="str">
        <f t="shared" si="100"/>
        <v/>
      </c>
      <c r="O1972" s="1" t="str">
        <f t="shared" si="101"/>
        <v/>
      </c>
      <c r="P1972" s="1" t="str">
        <f t="shared" si="102"/>
        <v/>
      </c>
    </row>
    <row r="1973" spans="14:16" x14ac:dyDescent="0.3">
      <c r="N1973" s="1" t="str">
        <f t="shared" si="100"/>
        <v/>
      </c>
      <c r="O1973" s="1" t="str">
        <f t="shared" si="101"/>
        <v/>
      </c>
      <c r="P1973" s="1" t="str">
        <f t="shared" si="102"/>
        <v/>
      </c>
    </row>
    <row r="1974" spans="14:16" x14ac:dyDescent="0.3">
      <c r="N1974" s="1" t="str">
        <f t="shared" si="100"/>
        <v/>
      </c>
      <c r="O1974" s="1" t="str">
        <f t="shared" si="101"/>
        <v/>
      </c>
      <c r="P1974" s="1" t="str">
        <f t="shared" si="102"/>
        <v/>
      </c>
    </row>
    <row r="1975" spans="14:16" x14ac:dyDescent="0.3">
      <c r="N1975" s="1" t="str">
        <f t="shared" si="100"/>
        <v/>
      </c>
      <c r="O1975" s="1" t="str">
        <f t="shared" si="101"/>
        <v/>
      </c>
      <c r="P1975" s="1" t="str">
        <f t="shared" si="102"/>
        <v/>
      </c>
    </row>
    <row r="1976" spans="14:16" x14ac:dyDescent="0.3">
      <c r="N1976" s="1" t="str">
        <f t="shared" si="100"/>
        <v/>
      </c>
      <c r="O1976" s="1" t="str">
        <f t="shared" si="101"/>
        <v/>
      </c>
      <c r="P1976" s="1" t="str">
        <f t="shared" si="102"/>
        <v/>
      </c>
    </row>
    <row r="1977" spans="14:16" x14ac:dyDescent="0.3">
      <c r="N1977" s="1" t="str">
        <f t="shared" si="100"/>
        <v/>
      </c>
      <c r="O1977" s="1" t="str">
        <f t="shared" si="101"/>
        <v/>
      </c>
      <c r="P1977" s="1" t="str">
        <f t="shared" si="102"/>
        <v/>
      </c>
    </row>
    <row r="1978" spans="14:16" x14ac:dyDescent="0.3">
      <c r="N1978" s="1" t="str">
        <f t="shared" si="100"/>
        <v/>
      </c>
      <c r="O1978" s="1" t="str">
        <f t="shared" si="101"/>
        <v/>
      </c>
      <c r="P1978" s="1" t="str">
        <f t="shared" si="102"/>
        <v/>
      </c>
    </row>
    <row r="1979" spans="14:16" x14ac:dyDescent="0.3">
      <c r="N1979" s="1" t="str">
        <f t="shared" si="100"/>
        <v/>
      </c>
      <c r="O1979" s="1" t="str">
        <f t="shared" si="101"/>
        <v/>
      </c>
      <c r="P1979" s="1" t="str">
        <f t="shared" si="102"/>
        <v/>
      </c>
    </row>
    <row r="1980" spans="14:16" x14ac:dyDescent="0.3">
      <c r="N1980" s="1" t="str">
        <f t="shared" si="100"/>
        <v/>
      </c>
      <c r="O1980" s="1" t="str">
        <f t="shared" si="101"/>
        <v/>
      </c>
      <c r="P1980" s="1" t="str">
        <f t="shared" si="102"/>
        <v/>
      </c>
    </row>
    <row r="1981" spans="14:16" x14ac:dyDescent="0.3">
      <c r="N1981" s="1" t="str">
        <f t="shared" si="100"/>
        <v/>
      </c>
      <c r="O1981" s="1" t="str">
        <f t="shared" si="101"/>
        <v/>
      </c>
      <c r="P1981" s="1" t="str">
        <f t="shared" si="102"/>
        <v/>
      </c>
    </row>
    <row r="1982" spans="14:16" x14ac:dyDescent="0.3">
      <c r="N1982" s="1" t="str">
        <f t="shared" si="100"/>
        <v/>
      </c>
      <c r="O1982" s="1" t="str">
        <f t="shared" si="101"/>
        <v/>
      </c>
      <c r="P1982" s="1" t="str">
        <f t="shared" si="102"/>
        <v/>
      </c>
    </row>
    <row r="1983" spans="14:16" x14ac:dyDescent="0.3">
      <c r="N1983" s="1" t="str">
        <f t="shared" si="100"/>
        <v/>
      </c>
      <c r="O1983" s="1" t="str">
        <f t="shared" si="101"/>
        <v/>
      </c>
      <c r="P1983" s="1" t="str">
        <f t="shared" si="102"/>
        <v/>
      </c>
    </row>
    <row r="1984" spans="14:16" x14ac:dyDescent="0.3">
      <c r="N1984" s="1" t="str">
        <f t="shared" si="100"/>
        <v/>
      </c>
      <c r="O1984" s="1" t="str">
        <f t="shared" si="101"/>
        <v/>
      </c>
      <c r="P1984" s="1" t="str">
        <f t="shared" si="102"/>
        <v/>
      </c>
    </row>
    <row r="1985" spans="14:16" x14ac:dyDescent="0.3">
      <c r="N1985" s="1" t="str">
        <f t="shared" si="100"/>
        <v/>
      </c>
      <c r="O1985" s="1" t="str">
        <f t="shared" si="101"/>
        <v/>
      </c>
      <c r="P1985" s="1" t="str">
        <f t="shared" si="102"/>
        <v/>
      </c>
    </row>
    <row r="1986" spans="14:16" x14ac:dyDescent="0.3">
      <c r="N1986" s="1" t="str">
        <f t="shared" si="100"/>
        <v/>
      </c>
      <c r="O1986" s="1" t="str">
        <f t="shared" si="101"/>
        <v/>
      </c>
      <c r="P1986" s="1" t="str">
        <f t="shared" si="102"/>
        <v/>
      </c>
    </row>
    <row r="1987" spans="14:16" x14ac:dyDescent="0.3">
      <c r="N1987" s="1" t="str">
        <f t="shared" si="100"/>
        <v/>
      </c>
      <c r="O1987" s="1" t="str">
        <f t="shared" si="101"/>
        <v/>
      </c>
      <c r="P1987" s="1" t="str">
        <f t="shared" si="102"/>
        <v/>
      </c>
    </row>
    <row r="1988" spans="14:16" x14ac:dyDescent="0.3">
      <c r="N1988" s="1" t="str">
        <f t="shared" si="100"/>
        <v/>
      </c>
      <c r="O1988" s="1" t="str">
        <f t="shared" si="101"/>
        <v/>
      </c>
      <c r="P1988" s="1" t="str">
        <f t="shared" si="102"/>
        <v/>
      </c>
    </row>
    <row r="1989" spans="14:16" x14ac:dyDescent="0.3">
      <c r="N1989" s="1" t="str">
        <f t="shared" si="100"/>
        <v/>
      </c>
      <c r="O1989" s="1" t="str">
        <f t="shared" si="101"/>
        <v/>
      </c>
      <c r="P1989" s="1" t="str">
        <f t="shared" si="102"/>
        <v/>
      </c>
    </row>
    <row r="1990" spans="14:16" x14ac:dyDescent="0.3">
      <c r="N1990" s="1" t="str">
        <f t="shared" si="100"/>
        <v/>
      </c>
      <c r="O1990" s="1" t="str">
        <f t="shared" si="101"/>
        <v/>
      </c>
      <c r="P1990" s="1" t="str">
        <f t="shared" si="102"/>
        <v/>
      </c>
    </row>
    <row r="1991" spans="14:16" x14ac:dyDescent="0.3">
      <c r="N1991" s="1" t="str">
        <f t="shared" si="100"/>
        <v/>
      </c>
      <c r="O1991" s="1" t="str">
        <f t="shared" si="101"/>
        <v/>
      </c>
      <c r="P1991" s="1" t="str">
        <f t="shared" si="102"/>
        <v/>
      </c>
    </row>
    <row r="1992" spans="14:16" x14ac:dyDescent="0.3">
      <c r="N1992" s="1" t="str">
        <f t="shared" si="100"/>
        <v/>
      </c>
      <c r="O1992" s="1" t="str">
        <f t="shared" si="101"/>
        <v/>
      </c>
      <c r="P1992" s="1" t="str">
        <f t="shared" si="102"/>
        <v/>
      </c>
    </row>
    <row r="1993" spans="14:16" x14ac:dyDescent="0.3">
      <c r="N1993" s="1" t="str">
        <f t="shared" si="100"/>
        <v/>
      </c>
      <c r="O1993" s="1" t="str">
        <f t="shared" si="101"/>
        <v/>
      </c>
      <c r="P1993" s="1" t="str">
        <f t="shared" si="102"/>
        <v/>
      </c>
    </row>
    <row r="1994" spans="14:16" x14ac:dyDescent="0.3">
      <c r="N1994" s="1" t="str">
        <f t="shared" si="100"/>
        <v/>
      </c>
      <c r="O1994" s="1" t="str">
        <f t="shared" si="101"/>
        <v/>
      </c>
      <c r="P1994" s="1" t="str">
        <f t="shared" si="102"/>
        <v/>
      </c>
    </row>
    <row r="1995" spans="14:16" x14ac:dyDescent="0.3">
      <c r="N1995" s="1" t="str">
        <f t="shared" si="100"/>
        <v/>
      </c>
      <c r="O1995" s="1" t="str">
        <f t="shared" si="101"/>
        <v/>
      </c>
      <c r="P1995" s="1" t="str">
        <f t="shared" si="102"/>
        <v/>
      </c>
    </row>
    <row r="1996" spans="14:16" x14ac:dyDescent="0.3">
      <c r="N1996" s="1" t="str">
        <f t="shared" si="100"/>
        <v/>
      </c>
      <c r="O1996" s="1" t="str">
        <f t="shared" si="101"/>
        <v/>
      </c>
      <c r="P1996" s="1" t="str">
        <f t="shared" si="102"/>
        <v/>
      </c>
    </row>
    <row r="1997" spans="14:16" x14ac:dyDescent="0.3">
      <c r="N1997" s="1" t="str">
        <f t="shared" si="100"/>
        <v/>
      </c>
      <c r="O1997" s="1" t="str">
        <f t="shared" si="101"/>
        <v/>
      </c>
      <c r="P1997" s="1" t="str">
        <f t="shared" si="102"/>
        <v/>
      </c>
    </row>
    <row r="1998" spans="14:16" x14ac:dyDescent="0.3">
      <c r="N1998" s="1" t="str">
        <f t="shared" si="100"/>
        <v/>
      </c>
      <c r="O1998" s="1" t="str">
        <f t="shared" si="101"/>
        <v/>
      </c>
      <c r="P1998" s="1" t="str">
        <f t="shared" si="102"/>
        <v/>
      </c>
    </row>
    <row r="1999" spans="14:16" x14ac:dyDescent="0.3">
      <c r="N1999" s="1" t="str">
        <f t="shared" si="100"/>
        <v/>
      </c>
      <c r="O1999" s="1" t="str">
        <f t="shared" si="101"/>
        <v/>
      </c>
      <c r="P1999" s="1" t="str">
        <f t="shared" si="102"/>
        <v/>
      </c>
    </row>
    <row r="2000" spans="14:16" x14ac:dyDescent="0.3">
      <c r="N2000" s="1" t="str">
        <f t="shared" si="100"/>
        <v/>
      </c>
      <c r="O2000" s="1" t="str">
        <f t="shared" si="101"/>
        <v/>
      </c>
      <c r="P2000" s="1" t="str">
        <f t="shared" si="102"/>
        <v/>
      </c>
    </row>
    <row r="2001" spans="14:16" x14ac:dyDescent="0.3">
      <c r="N2001" s="1" t="str">
        <f t="shared" si="100"/>
        <v/>
      </c>
      <c r="O2001" s="1" t="str">
        <f t="shared" si="101"/>
        <v/>
      </c>
      <c r="P2001" s="1" t="str">
        <f t="shared" si="102"/>
        <v/>
      </c>
    </row>
    <row r="2002" spans="14:16" x14ac:dyDescent="0.3">
      <c r="N2002" s="1" t="str">
        <f t="shared" si="100"/>
        <v/>
      </c>
      <c r="O2002" s="1" t="str">
        <f t="shared" si="101"/>
        <v/>
      </c>
      <c r="P2002" s="1" t="str">
        <f t="shared" si="102"/>
        <v/>
      </c>
    </row>
    <row r="2003" spans="14:16" x14ac:dyDescent="0.3">
      <c r="N2003" s="1" t="str">
        <f t="shared" si="100"/>
        <v/>
      </c>
      <c r="O2003" s="1" t="str">
        <f t="shared" si="101"/>
        <v/>
      </c>
      <c r="P2003" s="1" t="str">
        <f t="shared" si="102"/>
        <v/>
      </c>
    </row>
    <row r="2004" spans="14:16" x14ac:dyDescent="0.3">
      <c r="N2004" s="1" t="str">
        <f t="shared" si="100"/>
        <v/>
      </c>
      <c r="O2004" s="1" t="str">
        <f t="shared" si="101"/>
        <v/>
      </c>
      <c r="P2004" s="1" t="str">
        <f t="shared" si="102"/>
        <v/>
      </c>
    </row>
    <row r="2005" spans="14:16" x14ac:dyDescent="0.3">
      <c r="N2005" s="1" t="str">
        <f t="shared" si="100"/>
        <v/>
      </c>
      <c r="O2005" s="1" t="str">
        <f t="shared" si="101"/>
        <v/>
      </c>
      <c r="P2005" s="1" t="str">
        <f t="shared" si="102"/>
        <v/>
      </c>
    </row>
    <row r="2006" spans="14:16" x14ac:dyDescent="0.3">
      <c r="N2006" s="1" t="str">
        <f t="shared" si="100"/>
        <v/>
      </c>
      <c r="O2006" s="1" t="str">
        <f t="shared" si="101"/>
        <v/>
      </c>
      <c r="P2006" s="1" t="str">
        <f t="shared" si="102"/>
        <v/>
      </c>
    </row>
    <row r="2007" spans="14:16" x14ac:dyDescent="0.3">
      <c r="N2007" s="1" t="str">
        <f t="shared" si="100"/>
        <v/>
      </c>
      <c r="O2007" s="1" t="str">
        <f t="shared" si="101"/>
        <v/>
      </c>
      <c r="P2007" s="1" t="str">
        <f t="shared" si="102"/>
        <v/>
      </c>
    </row>
    <row r="2008" spans="14:16" x14ac:dyDescent="0.3">
      <c r="N2008" s="1" t="str">
        <f t="shared" si="100"/>
        <v/>
      </c>
      <c r="O2008" s="1" t="str">
        <f t="shared" si="101"/>
        <v/>
      </c>
      <c r="P2008" s="1" t="str">
        <f t="shared" si="102"/>
        <v/>
      </c>
    </row>
    <row r="2009" spans="14:16" x14ac:dyDescent="0.3">
      <c r="N2009" s="1" t="str">
        <f t="shared" si="100"/>
        <v/>
      </c>
      <c r="O2009" s="1" t="str">
        <f t="shared" si="101"/>
        <v/>
      </c>
      <c r="P2009" s="1" t="str">
        <f t="shared" si="102"/>
        <v/>
      </c>
    </row>
    <row r="2010" spans="14:16" x14ac:dyDescent="0.3">
      <c r="N2010" s="1" t="str">
        <f t="shared" si="100"/>
        <v/>
      </c>
      <c r="O2010" s="1" t="str">
        <f t="shared" si="101"/>
        <v/>
      </c>
      <c r="P2010" s="1" t="str">
        <f t="shared" si="102"/>
        <v/>
      </c>
    </row>
    <row r="2011" spans="14:16" x14ac:dyDescent="0.3">
      <c r="N2011" s="1" t="str">
        <f t="shared" si="100"/>
        <v/>
      </c>
      <c r="O2011" s="1" t="str">
        <f t="shared" si="101"/>
        <v/>
      </c>
      <c r="P2011" s="1" t="str">
        <f t="shared" si="102"/>
        <v/>
      </c>
    </row>
    <row r="2012" spans="14:16" x14ac:dyDescent="0.3">
      <c r="N2012" s="1" t="str">
        <f t="shared" si="100"/>
        <v/>
      </c>
      <c r="O2012" s="1" t="str">
        <f t="shared" si="101"/>
        <v/>
      </c>
      <c r="P2012" s="1" t="str">
        <f t="shared" si="102"/>
        <v/>
      </c>
    </row>
    <row r="2013" spans="14:16" x14ac:dyDescent="0.3">
      <c r="N2013" s="1" t="str">
        <f t="shared" si="100"/>
        <v/>
      </c>
      <c r="O2013" s="1" t="str">
        <f t="shared" si="101"/>
        <v/>
      </c>
      <c r="P2013" s="1" t="str">
        <f t="shared" si="102"/>
        <v/>
      </c>
    </row>
    <row r="2014" spans="14:16" x14ac:dyDescent="0.3">
      <c r="N2014" s="1" t="str">
        <f t="shared" si="100"/>
        <v/>
      </c>
      <c r="O2014" s="1" t="str">
        <f t="shared" si="101"/>
        <v/>
      </c>
      <c r="P2014" s="1" t="str">
        <f t="shared" si="102"/>
        <v/>
      </c>
    </row>
    <row r="2015" spans="14:16" x14ac:dyDescent="0.3">
      <c r="N2015" s="1" t="str">
        <f t="shared" si="100"/>
        <v/>
      </c>
      <c r="O2015" s="1" t="str">
        <f t="shared" si="101"/>
        <v/>
      </c>
      <c r="P2015" s="1" t="str">
        <f t="shared" si="102"/>
        <v/>
      </c>
    </row>
    <row r="2016" spans="14:16" x14ac:dyDescent="0.3">
      <c r="N2016" s="1" t="str">
        <f t="shared" si="100"/>
        <v/>
      </c>
      <c r="O2016" s="1" t="str">
        <f t="shared" si="101"/>
        <v/>
      </c>
      <c r="P2016" s="1" t="str">
        <f t="shared" si="102"/>
        <v/>
      </c>
    </row>
    <row r="2017" spans="14:16" x14ac:dyDescent="0.3">
      <c r="N2017" s="1" t="str">
        <f t="shared" si="100"/>
        <v/>
      </c>
      <c r="O2017" s="1" t="str">
        <f t="shared" si="101"/>
        <v/>
      </c>
      <c r="P2017" s="1" t="str">
        <f t="shared" si="102"/>
        <v/>
      </c>
    </row>
    <row r="2018" spans="14:16" x14ac:dyDescent="0.3">
      <c r="N2018" s="1" t="str">
        <f t="shared" si="100"/>
        <v/>
      </c>
      <c r="O2018" s="1" t="str">
        <f t="shared" si="101"/>
        <v/>
      </c>
      <c r="P2018" s="1" t="str">
        <f t="shared" si="102"/>
        <v/>
      </c>
    </row>
    <row r="2019" spans="14:16" x14ac:dyDescent="0.3">
      <c r="N2019" s="1" t="str">
        <f t="shared" si="100"/>
        <v/>
      </c>
      <c r="O2019" s="1" t="str">
        <f t="shared" si="101"/>
        <v/>
      </c>
      <c r="P2019" s="1" t="str">
        <f t="shared" si="102"/>
        <v/>
      </c>
    </row>
    <row r="2020" spans="14:16" x14ac:dyDescent="0.3">
      <c r="N2020" s="1" t="str">
        <f t="shared" si="100"/>
        <v/>
      </c>
      <c r="O2020" s="1" t="str">
        <f t="shared" si="101"/>
        <v/>
      </c>
      <c r="P2020" s="1" t="str">
        <f t="shared" si="102"/>
        <v/>
      </c>
    </row>
    <row r="2021" spans="14:16" x14ac:dyDescent="0.3">
      <c r="N2021" s="1" t="str">
        <f t="shared" si="100"/>
        <v/>
      </c>
      <c r="O2021" s="1" t="str">
        <f t="shared" si="101"/>
        <v/>
      </c>
      <c r="P2021" s="1" t="str">
        <f t="shared" si="102"/>
        <v/>
      </c>
    </row>
    <row r="2022" spans="14:16" x14ac:dyDescent="0.3">
      <c r="N2022" s="1" t="str">
        <f t="shared" si="100"/>
        <v/>
      </c>
      <c r="O2022" s="1" t="str">
        <f t="shared" si="101"/>
        <v/>
      </c>
      <c r="P2022" s="1" t="str">
        <f t="shared" si="102"/>
        <v/>
      </c>
    </row>
    <row r="2023" spans="14:16" x14ac:dyDescent="0.3">
      <c r="N2023" s="1" t="str">
        <f t="shared" si="100"/>
        <v/>
      </c>
      <c r="O2023" s="1" t="str">
        <f t="shared" si="101"/>
        <v/>
      </c>
      <c r="P2023" s="1" t="str">
        <f t="shared" si="102"/>
        <v/>
      </c>
    </row>
    <row r="2024" spans="14:16" x14ac:dyDescent="0.3">
      <c r="N2024" s="1" t="str">
        <f t="shared" si="100"/>
        <v/>
      </c>
      <c r="O2024" s="1" t="str">
        <f t="shared" si="101"/>
        <v/>
      </c>
      <c r="P2024" s="1" t="str">
        <f t="shared" si="102"/>
        <v/>
      </c>
    </row>
    <row r="2025" spans="14:16" x14ac:dyDescent="0.3">
      <c r="N2025" s="1" t="str">
        <f t="shared" si="100"/>
        <v/>
      </c>
      <c r="O2025" s="1" t="str">
        <f t="shared" si="101"/>
        <v/>
      </c>
      <c r="P2025" s="1" t="str">
        <f t="shared" si="102"/>
        <v/>
      </c>
    </row>
    <row r="2026" spans="14:16" x14ac:dyDescent="0.3">
      <c r="N2026" s="1" t="str">
        <f t="shared" si="100"/>
        <v/>
      </c>
      <c r="O2026" s="1" t="str">
        <f t="shared" si="101"/>
        <v/>
      </c>
      <c r="P2026" s="1" t="str">
        <f t="shared" si="102"/>
        <v/>
      </c>
    </row>
    <row r="2027" spans="14:16" x14ac:dyDescent="0.3">
      <c r="N2027" s="1" t="str">
        <f t="shared" si="100"/>
        <v/>
      </c>
      <c r="O2027" s="1" t="str">
        <f t="shared" si="101"/>
        <v/>
      </c>
      <c r="P2027" s="1" t="str">
        <f t="shared" si="102"/>
        <v/>
      </c>
    </row>
    <row r="2028" spans="14:16" x14ac:dyDescent="0.3">
      <c r="N2028" s="1" t="str">
        <f t="shared" si="100"/>
        <v/>
      </c>
      <c r="O2028" s="1" t="str">
        <f t="shared" si="101"/>
        <v/>
      </c>
      <c r="P2028" s="1" t="str">
        <f t="shared" si="102"/>
        <v/>
      </c>
    </row>
    <row r="2029" spans="14:16" x14ac:dyDescent="0.3">
      <c r="N2029" s="1" t="str">
        <f t="shared" si="100"/>
        <v/>
      </c>
      <c r="O2029" s="1" t="str">
        <f t="shared" si="101"/>
        <v/>
      </c>
      <c r="P2029" s="1" t="str">
        <f t="shared" si="102"/>
        <v/>
      </c>
    </row>
    <row r="2030" spans="14:16" x14ac:dyDescent="0.3">
      <c r="N2030" s="1" t="str">
        <f t="shared" si="100"/>
        <v/>
      </c>
      <c r="O2030" s="1" t="str">
        <f t="shared" si="101"/>
        <v/>
      </c>
      <c r="P2030" s="1" t="str">
        <f t="shared" si="102"/>
        <v/>
      </c>
    </row>
    <row r="2031" spans="14:16" x14ac:dyDescent="0.3">
      <c r="N2031" s="1" t="str">
        <f t="shared" si="100"/>
        <v/>
      </c>
      <c r="O2031" s="1" t="str">
        <f t="shared" si="101"/>
        <v/>
      </c>
      <c r="P2031" s="1" t="str">
        <f t="shared" si="102"/>
        <v/>
      </c>
    </row>
    <row r="2032" spans="14:16" x14ac:dyDescent="0.3">
      <c r="N2032" s="1" t="str">
        <f t="shared" ref="N2032:N2095" si="103">IF(LEN($C2032)&gt;0,H2032-E2032,"")</f>
        <v/>
      </c>
      <c r="O2032" s="1" t="str">
        <f t="shared" ref="O2032:O2095" si="104">IF(LEN($C2032)&gt;0,I2032-F2032,"")</f>
        <v/>
      </c>
      <c r="P2032" s="1" t="str">
        <f t="shared" ref="P2032:P2095" si="105">IF(LEN($C2032)&gt;0,J2032-G2032,"")</f>
        <v/>
      </c>
    </row>
    <row r="2033" spans="14:16" x14ac:dyDescent="0.3">
      <c r="N2033" s="1" t="str">
        <f t="shared" si="103"/>
        <v/>
      </c>
      <c r="O2033" s="1" t="str">
        <f t="shared" si="104"/>
        <v/>
      </c>
      <c r="P2033" s="1" t="str">
        <f t="shared" si="105"/>
        <v/>
      </c>
    </row>
    <row r="2034" spans="14:16" x14ac:dyDescent="0.3">
      <c r="N2034" s="1" t="str">
        <f t="shared" si="103"/>
        <v/>
      </c>
      <c r="O2034" s="1" t="str">
        <f t="shared" si="104"/>
        <v/>
      </c>
      <c r="P2034" s="1" t="str">
        <f t="shared" si="105"/>
        <v/>
      </c>
    </row>
    <row r="2035" spans="14:16" x14ac:dyDescent="0.3">
      <c r="N2035" s="1" t="str">
        <f t="shared" si="103"/>
        <v/>
      </c>
      <c r="O2035" s="1" t="str">
        <f t="shared" si="104"/>
        <v/>
      </c>
      <c r="P2035" s="1" t="str">
        <f t="shared" si="105"/>
        <v/>
      </c>
    </row>
    <row r="2036" spans="14:16" x14ac:dyDescent="0.3">
      <c r="N2036" s="1" t="str">
        <f t="shared" si="103"/>
        <v/>
      </c>
      <c r="O2036" s="1" t="str">
        <f t="shared" si="104"/>
        <v/>
      </c>
      <c r="P2036" s="1" t="str">
        <f t="shared" si="105"/>
        <v/>
      </c>
    </row>
    <row r="2037" spans="14:16" x14ac:dyDescent="0.3">
      <c r="N2037" s="1" t="str">
        <f t="shared" si="103"/>
        <v/>
      </c>
      <c r="O2037" s="1" t="str">
        <f t="shared" si="104"/>
        <v/>
      </c>
      <c r="P2037" s="1" t="str">
        <f t="shared" si="105"/>
        <v/>
      </c>
    </row>
    <row r="2038" spans="14:16" x14ac:dyDescent="0.3">
      <c r="N2038" s="1" t="str">
        <f t="shared" si="103"/>
        <v/>
      </c>
      <c r="O2038" s="1" t="str">
        <f t="shared" si="104"/>
        <v/>
      </c>
      <c r="P2038" s="1" t="str">
        <f t="shared" si="105"/>
        <v/>
      </c>
    </row>
    <row r="2039" spans="14:16" x14ac:dyDescent="0.3">
      <c r="N2039" s="1" t="str">
        <f t="shared" si="103"/>
        <v/>
      </c>
      <c r="O2039" s="1" t="str">
        <f t="shared" si="104"/>
        <v/>
      </c>
      <c r="P2039" s="1" t="str">
        <f t="shared" si="105"/>
        <v/>
      </c>
    </row>
    <row r="2040" spans="14:16" x14ac:dyDescent="0.3">
      <c r="N2040" s="1" t="str">
        <f t="shared" si="103"/>
        <v/>
      </c>
      <c r="O2040" s="1" t="str">
        <f t="shared" si="104"/>
        <v/>
      </c>
      <c r="P2040" s="1" t="str">
        <f t="shared" si="105"/>
        <v/>
      </c>
    </row>
    <row r="2041" spans="14:16" x14ac:dyDescent="0.3">
      <c r="N2041" s="1" t="str">
        <f t="shared" si="103"/>
        <v/>
      </c>
      <c r="O2041" s="1" t="str">
        <f t="shared" si="104"/>
        <v/>
      </c>
      <c r="P2041" s="1" t="str">
        <f t="shared" si="105"/>
        <v/>
      </c>
    </row>
    <row r="2042" spans="14:16" x14ac:dyDescent="0.3">
      <c r="N2042" s="1" t="str">
        <f t="shared" si="103"/>
        <v/>
      </c>
      <c r="O2042" s="1" t="str">
        <f t="shared" si="104"/>
        <v/>
      </c>
      <c r="P2042" s="1" t="str">
        <f t="shared" si="105"/>
        <v/>
      </c>
    </row>
    <row r="2043" spans="14:16" x14ac:dyDescent="0.3">
      <c r="N2043" s="1" t="str">
        <f t="shared" si="103"/>
        <v/>
      </c>
      <c r="O2043" s="1" t="str">
        <f t="shared" si="104"/>
        <v/>
      </c>
      <c r="P2043" s="1" t="str">
        <f t="shared" si="105"/>
        <v/>
      </c>
    </row>
    <row r="2044" spans="14:16" x14ac:dyDescent="0.3">
      <c r="N2044" s="1" t="str">
        <f t="shared" si="103"/>
        <v/>
      </c>
      <c r="O2044" s="1" t="str">
        <f t="shared" si="104"/>
        <v/>
      </c>
      <c r="P2044" s="1" t="str">
        <f t="shared" si="105"/>
        <v/>
      </c>
    </row>
    <row r="2045" spans="14:16" x14ac:dyDescent="0.3">
      <c r="N2045" s="1" t="str">
        <f t="shared" si="103"/>
        <v/>
      </c>
      <c r="O2045" s="1" t="str">
        <f t="shared" si="104"/>
        <v/>
      </c>
      <c r="P2045" s="1" t="str">
        <f t="shared" si="105"/>
        <v/>
      </c>
    </row>
    <row r="2046" spans="14:16" x14ac:dyDescent="0.3">
      <c r="N2046" s="1" t="str">
        <f t="shared" si="103"/>
        <v/>
      </c>
      <c r="O2046" s="1" t="str">
        <f t="shared" si="104"/>
        <v/>
      </c>
      <c r="P2046" s="1" t="str">
        <f t="shared" si="105"/>
        <v/>
      </c>
    </row>
    <row r="2047" spans="14:16" x14ac:dyDescent="0.3">
      <c r="N2047" s="1" t="str">
        <f t="shared" si="103"/>
        <v/>
      </c>
      <c r="O2047" s="1" t="str">
        <f t="shared" si="104"/>
        <v/>
      </c>
      <c r="P2047" s="1" t="str">
        <f t="shared" si="105"/>
        <v/>
      </c>
    </row>
    <row r="2048" spans="14:16" x14ac:dyDescent="0.3">
      <c r="N2048" s="1" t="str">
        <f t="shared" si="103"/>
        <v/>
      </c>
      <c r="O2048" s="1" t="str">
        <f t="shared" si="104"/>
        <v/>
      </c>
      <c r="P2048" s="1" t="str">
        <f t="shared" si="105"/>
        <v/>
      </c>
    </row>
    <row r="2049" spans="14:16" x14ac:dyDescent="0.3">
      <c r="N2049" s="1" t="str">
        <f t="shared" si="103"/>
        <v/>
      </c>
      <c r="O2049" s="1" t="str">
        <f t="shared" si="104"/>
        <v/>
      </c>
      <c r="P2049" s="1" t="str">
        <f t="shared" si="105"/>
        <v/>
      </c>
    </row>
    <row r="2050" spans="14:16" x14ac:dyDescent="0.3">
      <c r="N2050" s="1" t="str">
        <f t="shared" si="103"/>
        <v/>
      </c>
      <c r="O2050" s="1" t="str">
        <f t="shared" si="104"/>
        <v/>
      </c>
      <c r="P2050" s="1" t="str">
        <f t="shared" si="105"/>
        <v/>
      </c>
    </row>
    <row r="2051" spans="14:16" x14ac:dyDescent="0.3">
      <c r="N2051" s="1" t="str">
        <f t="shared" si="103"/>
        <v/>
      </c>
      <c r="O2051" s="1" t="str">
        <f t="shared" si="104"/>
        <v/>
      </c>
      <c r="P2051" s="1" t="str">
        <f t="shared" si="105"/>
        <v/>
      </c>
    </row>
    <row r="2052" spans="14:16" x14ac:dyDescent="0.3">
      <c r="N2052" s="1" t="str">
        <f t="shared" si="103"/>
        <v/>
      </c>
      <c r="O2052" s="1" t="str">
        <f t="shared" si="104"/>
        <v/>
      </c>
      <c r="P2052" s="1" t="str">
        <f t="shared" si="105"/>
        <v/>
      </c>
    </row>
    <row r="2053" spans="14:16" x14ac:dyDescent="0.3">
      <c r="N2053" s="1" t="str">
        <f t="shared" si="103"/>
        <v/>
      </c>
      <c r="O2053" s="1" t="str">
        <f t="shared" si="104"/>
        <v/>
      </c>
      <c r="P2053" s="1" t="str">
        <f t="shared" si="105"/>
        <v/>
      </c>
    </row>
    <row r="2054" spans="14:16" x14ac:dyDescent="0.3">
      <c r="N2054" s="1" t="str">
        <f t="shared" si="103"/>
        <v/>
      </c>
      <c r="O2054" s="1" t="str">
        <f t="shared" si="104"/>
        <v/>
      </c>
      <c r="P2054" s="1" t="str">
        <f t="shared" si="105"/>
        <v/>
      </c>
    </row>
    <row r="2055" spans="14:16" x14ac:dyDescent="0.3">
      <c r="N2055" s="1" t="str">
        <f t="shared" si="103"/>
        <v/>
      </c>
      <c r="O2055" s="1" t="str">
        <f t="shared" si="104"/>
        <v/>
      </c>
      <c r="P2055" s="1" t="str">
        <f t="shared" si="105"/>
        <v/>
      </c>
    </row>
    <row r="2056" spans="14:16" x14ac:dyDescent="0.3">
      <c r="N2056" s="1" t="str">
        <f t="shared" si="103"/>
        <v/>
      </c>
      <c r="O2056" s="1" t="str">
        <f t="shared" si="104"/>
        <v/>
      </c>
      <c r="P2056" s="1" t="str">
        <f t="shared" si="105"/>
        <v/>
      </c>
    </row>
    <row r="2057" spans="14:16" x14ac:dyDescent="0.3">
      <c r="N2057" s="1" t="str">
        <f t="shared" si="103"/>
        <v/>
      </c>
      <c r="O2057" s="1" t="str">
        <f t="shared" si="104"/>
        <v/>
      </c>
      <c r="P2057" s="1" t="str">
        <f t="shared" si="105"/>
        <v/>
      </c>
    </row>
    <row r="2058" spans="14:16" x14ac:dyDescent="0.3">
      <c r="N2058" s="1" t="str">
        <f t="shared" si="103"/>
        <v/>
      </c>
      <c r="O2058" s="1" t="str">
        <f t="shared" si="104"/>
        <v/>
      </c>
      <c r="P2058" s="1" t="str">
        <f t="shared" si="105"/>
        <v/>
      </c>
    </row>
    <row r="2059" spans="14:16" x14ac:dyDescent="0.3">
      <c r="N2059" s="1" t="str">
        <f t="shared" si="103"/>
        <v/>
      </c>
      <c r="O2059" s="1" t="str">
        <f t="shared" si="104"/>
        <v/>
      </c>
      <c r="P2059" s="1" t="str">
        <f t="shared" si="105"/>
        <v/>
      </c>
    </row>
    <row r="2060" spans="14:16" x14ac:dyDescent="0.3">
      <c r="N2060" s="1" t="str">
        <f t="shared" si="103"/>
        <v/>
      </c>
      <c r="O2060" s="1" t="str">
        <f t="shared" si="104"/>
        <v/>
      </c>
      <c r="P2060" s="1" t="str">
        <f t="shared" si="105"/>
        <v/>
      </c>
    </row>
    <row r="2061" spans="14:16" x14ac:dyDescent="0.3">
      <c r="N2061" s="1" t="str">
        <f t="shared" si="103"/>
        <v/>
      </c>
      <c r="O2061" s="1" t="str">
        <f t="shared" si="104"/>
        <v/>
      </c>
      <c r="P2061" s="1" t="str">
        <f t="shared" si="105"/>
        <v/>
      </c>
    </row>
    <row r="2062" spans="14:16" x14ac:dyDescent="0.3">
      <c r="N2062" s="1" t="str">
        <f t="shared" si="103"/>
        <v/>
      </c>
      <c r="O2062" s="1" t="str">
        <f t="shared" si="104"/>
        <v/>
      </c>
      <c r="P2062" s="1" t="str">
        <f t="shared" si="105"/>
        <v/>
      </c>
    </row>
    <row r="2063" spans="14:16" x14ac:dyDescent="0.3">
      <c r="N2063" s="1" t="str">
        <f t="shared" si="103"/>
        <v/>
      </c>
      <c r="O2063" s="1" t="str">
        <f t="shared" si="104"/>
        <v/>
      </c>
      <c r="P2063" s="1" t="str">
        <f t="shared" si="105"/>
        <v/>
      </c>
    </row>
    <row r="2064" spans="14:16" x14ac:dyDescent="0.3">
      <c r="N2064" s="1" t="str">
        <f t="shared" si="103"/>
        <v/>
      </c>
      <c r="O2064" s="1" t="str">
        <f t="shared" si="104"/>
        <v/>
      </c>
      <c r="P2064" s="1" t="str">
        <f t="shared" si="105"/>
        <v/>
      </c>
    </row>
    <row r="2065" spans="14:16" x14ac:dyDescent="0.3">
      <c r="N2065" s="1" t="str">
        <f t="shared" si="103"/>
        <v/>
      </c>
      <c r="O2065" s="1" t="str">
        <f t="shared" si="104"/>
        <v/>
      </c>
      <c r="P2065" s="1" t="str">
        <f t="shared" si="105"/>
        <v/>
      </c>
    </row>
    <row r="2066" spans="14:16" x14ac:dyDescent="0.3">
      <c r="N2066" s="1" t="str">
        <f t="shared" si="103"/>
        <v/>
      </c>
      <c r="O2066" s="1" t="str">
        <f t="shared" si="104"/>
        <v/>
      </c>
      <c r="P2066" s="1" t="str">
        <f t="shared" si="105"/>
        <v/>
      </c>
    </row>
    <row r="2067" spans="14:16" x14ac:dyDescent="0.3">
      <c r="N2067" s="1" t="str">
        <f t="shared" si="103"/>
        <v/>
      </c>
      <c r="O2067" s="1" t="str">
        <f t="shared" si="104"/>
        <v/>
      </c>
      <c r="P2067" s="1" t="str">
        <f t="shared" si="105"/>
        <v/>
      </c>
    </row>
    <row r="2068" spans="14:16" x14ac:dyDescent="0.3">
      <c r="N2068" s="1" t="str">
        <f t="shared" si="103"/>
        <v/>
      </c>
      <c r="O2068" s="1" t="str">
        <f t="shared" si="104"/>
        <v/>
      </c>
      <c r="P2068" s="1" t="str">
        <f t="shared" si="105"/>
        <v/>
      </c>
    </row>
    <row r="2069" spans="14:16" x14ac:dyDescent="0.3">
      <c r="N2069" s="1" t="str">
        <f t="shared" si="103"/>
        <v/>
      </c>
      <c r="O2069" s="1" t="str">
        <f t="shared" si="104"/>
        <v/>
      </c>
      <c r="P2069" s="1" t="str">
        <f t="shared" si="105"/>
        <v/>
      </c>
    </row>
    <row r="2070" spans="14:16" x14ac:dyDescent="0.3">
      <c r="N2070" s="1" t="str">
        <f t="shared" si="103"/>
        <v/>
      </c>
      <c r="O2070" s="1" t="str">
        <f t="shared" si="104"/>
        <v/>
      </c>
      <c r="P2070" s="1" t="str">
        <f t="shared" si="105"/>
        <v/>
      </c>
    </row>
    <row r="2071" spans="14:16" x14ac:dyDescent="0.3">
      <c r="N2071" s="1" t="str">
        <f t="shared" si="103"/>
        <v/>
      </c>
      <c r="O2071" s="1" t="str">
        <f t="shared" si="104"/>
        <v/>
      </c>
      <c r="P2071" s="1" t="str">
        <f t="shared" si="105"/>
        <v/>
      </c>
    </row>
    <row r="2072" spans="14:16" x14ac:dyDescent="0.3">
      <c r="N2072" s="1" t="str">
        <f t="shared" si="103"/>
        <v/>
      </c>
      <c r="O2072" s="1" t="str">
        <f t="shared" si="104"/>
        <v/>
      </c>
      <c r="P2072" s="1" t="str">
        <f t="shared" si="105"/>
        <v/>
      </c>
    </row>
    <row r="2073" spans="14:16" x14ac:dyDescent="0.3">
      <c r="N2073" s="1" t="str">
        <f t="shared" si="103"/>
        <v/>
      </c>
      <c r="O2073" s="1" t="str">
        <f t="shared" si="104"/>
        <v/>
      </c>
      <c r="P2073" s="1" t="str">
        <f t="shared" si="105"/>
        <v/>
      </c>
    </row>
    <row r="2074" spans="14:16" x14ac:dyDescent="0.3">
      <c r="N2074" s="1" t="str">
        <f t="shared" si="103"/>
        <v/>
      </c>
      <c r="O2074" s="1" t="str">
        <f t="shared" si="104"/>
        <v/>
      </c>
      <c r="P2074" s="1" t="str">
        <f t="shared" si="105"/>
        <v/>
      </c>
    </row>
    <row r="2075" spans="14:16" x14ac:dyDescent="0.3">
      <c r="N2075" s="1" t="str">
        <f t="shared" si="103"/>
        <v/>
      </c>
      <c r="O2075" s="1" t="str">
        <f t="shared" si="104"/>
        <v/>
      </c>
      <c r="P2075" s="1" t="str">
        <f t="shared" si="105"/>
        <v/>
      </c>
    </row>
    <row r="2076" spans="14:16" x14ac:dyDescent="0.3">
      <c r="N2076" s="1" t="str">
        <f t="shared" si="103"/>
        <v/>
      </c>
      <c r="O2076" s="1" t="str">
        <f t="shared" si="104"/>
        <v/>
      </c>
      <c r="P2076" s="1" t="str">
        <f t="shared" si="105"/>
        <v/>
      </c>
    </row>
    <row r="2077" spans="14:16" x14ac:dyDescent="0.3">
      <c r="N2077" s="1" t="str">
        <f t="shared" si="103"/>
        <v/>
      </c>
      <c r="O2077" s="1" t="str">
        <f t="shared" si="104"/>
        <v/>
      </c>
      <c r="P2077" s="1" t="str">
        <f t="shared" si="105"/>
        <v/>
      </c>
    </row>
    <row r="2078" spans="14:16" x14ac:dyDescent="0.3">
      <c r="N2078" s="1" t="str">
        <f t="shared" si="103"/>
        <v/>
      </c>
      <c r="O2078" s="1" t="str">
        <f t="shared" si="104"/>
        <v/>
      </c>
      <c r="P2078" s="1" t="str">
        <f t="shared" si="105"/>
        <v/>
      </c>
    </row>
    <row r="2079" spans="14:16" x14ac:dyDescent="0.3">
      <c r="N2079" s="1" t="str">
        <f t="shared" si="103"/>
        <v/>
      </c>
      <c r="O2079" s="1" t="str">
        <f t="shared" si="104"/>
        <v/>
      </c>
      <c r="P2079" s="1" t="str">
        <f t="shared" si="105"/>
        <v/>
      </c>
    </row>
    <row r="2080" spans="14:16" x14ac:dyDescent="0.3">
      <c r="N2080" s="1" t="str">
        <f t="shared" si="103"/>
        <v/>
      </c>
      <c r="O2080" s="1" t="str">
        <f t="shared" si="104"/>
        <v/>
      </c>
      <c r="P2080" s="1" t="str">
        <f t="shared" si="105"/>
        <v/>
      </c>
    </row>
    <row r="2081" spans="14:16" x14ac:dyDescent="0.3">
      <c r="N2081" s="1" t="str">
        <f t="shared" si="103"/>
        <v/>
      </c>
      <c r="O2081" s="1" t="str">
        <f t="shared" si="104"/>
        <v/>
      </c>
      <c r="P2081" s="1" t="str">
        <f t="shared" si="105"/>
        <v/>
      </c>
    </row>
    <row r="2082" spans="14:16" x14ac:dyDescent="0.3">
      <c r="N2082" s="1" t="str">
        <f t="shared" si="103"/>
        <v/>
      </c>
      <c r="O2082" s="1" t="str">
        <f t="shared" si="104"/>
        <v/>
      </c>
      <c r="P2082" s="1" t="str">
        <f t="shared" si="105"/>
        <v/>
      </c>
    </row>
    <row r="2083" spans="14:16" x14ac:dyDescent="0.3">
      <c r="N2083" s="1" t="str">
        <f t="shared" si="103"/>
        <v/>
      </c>
      <c r="O2083" s="1" t="str">
        <f t="shared" si="104"/>
        <v/>
      </c>
      <c r="P2083" s="1" t="str">
        <f t="shared" si="105"/>
        <v/>
      </c>
    </row>
    <row r="2084" spans="14:16" x14ac:dyDescent="0.3">
      <c r="N2084" s="1" t="str">
        <f t="shared" si="103"/>
        <v/>
      </c>
      <c r="O2084" s="1" t="str">
        <f t="shared" si="104"/>
        <v/>
      </c>
      <c r="P2084" s="1" t="str">
        <f t="shared" si="105"/>
        <v/>
      </c>
    </row>
    <row r="2085" spans="14:16" x14ac:dyDescent="0.3">
      <c r="N2085" s="1" t="str">
        <f t="shared" si="103"/>
        <v/>
      </c>
      <c r="O2085" s="1" t="str">
        <f t="shared" si="104"/>
        <v/>
      </c>
      <c r="P2085" s="1" t="str">
        <f t="shared" si="105"/>
        <v/>
      </c>
    </row>
    <row r="2086" spans="14:16" x14ac:dyDescent="0.3">
      <c r="N2086" s="1" t="str">
        <f t="shared" si="103"/>
        <v/>
      </c>
      <c r="O2086" s="1" t="str">
        <f t="shared" si="104"/>
        <v/>
      </c>
      <c r="P2086" s="1" t="str">
        <f t="shared" si="105"/>
        <v/>
      </c>
    </row>
    <row r="2087" spans="14:16" x14ac:dyDescent="0.3">
      <c r="N2087" s="1" t="str">
        <f t="shared" si="103"/>
        <v/>
      </c>
      <c r="O2087" s="1" t="str">
        <f t="shared" si="104"/>
        <v/>
      </c>
      <c r="P2087" s="1" t="str">
        <f t="shared" si="105"/>
        <v/>
      </c>
    </row>
    <row r="2088" spans="14:16" x14ac:dyDescent="0.3">
      <c r="N2088" s="1" t="str">
        <f t="shared" si="103"/>
        <v/>
      </c>
      <c r="O2088" s="1" t="str">
        <f t="shared" si="104"/>
        <v/>
      </c>
      <c r="P2088" s="1" t="str">
        <f t="shared" si="105"/>
        <v/>
      </c>
    </row>
    <row r="2089" spans="14:16" x14ac:dyDescent="0.3">
      <c r="N2089" s="1" t="str">
        <f t="shared" si="103"/>
        <v/>
      </c>
      <c r="O2089" s="1" t="str">
        <f t="shared" si="104"/>
        <v/>
      </c>
      <c r="P2089" s="1" t="str">
        <f t="shared" si="105"/>
        <v/>
      </c>
    </row>
    <row r="2090" spans="14:16" x14ac:dyDescent="0.3">
      <c r="N2090" s="1" t="str">
        <f t="shared" si="103"/>
        <v/>
      </c>
      <c r="O2090" s="1" t="str">
        <f t="shared" si="104"/>
        <v/>
      </c>
      <c r="P2090" s="1" t="str">
        <f t="shared" si="105"/>
        <v/>
      </c>
    </row>
    <row r="2091" spans="14:16" x14ac:dyDescent="0.3">
      <c r="N2091" s="1" t="str">
        <f t="shared" si="103"/>
        <v/>
      </c>
      <c r="O2091" s="1" t="str">
        <f t="shared" si="104"/>
        <v/>
      </c>
      <c r="P2091" s="1" t="str">
        <f t="shared" si="105"/>
        <v/>
      </c>
    </row>
    <row r="2092" spans="14:16" x14ac:dyDescent="0.3">
      <c r="N2092" s="1" t="str">
        <f t="shared" si="103"/>
        <v/>
      </c>
      <c r="O2092" s="1" t="str">
        <f t="shared" si="104"/>
        <v/>
      </c>
      <c r="P2092" s="1" t="str">
        <f t="shared" si="105"/>
        <v/>
      </c>
    </row>
    <row r="2093" spans="14:16" x14ac:dyDescent="0.3">
      <c r="N2093" s="1" t="str">
        <f t="shared" si="103"/>
        <v/>
      </c>
      <c r="O2093" s="1" t="str">
        <f t="shared" si="104"/>
        <v/>
      </c>
      <c r="P2093" s="1" t="str">
        <f t="shared" si="105"/>
        <v/>
      </c>
    </row>
    <row r="2094" spans="14:16" x14ac:dyDescent="0.3">
      <c r="N2094" s="1" t="str">
        <f t="shared" si="103"/>
        <v/>
      </c>
      <c r="O2094" s="1" t="str">
        <f t="shared" si="104"/>
        <v/>
      </c>
      <c r="P2094" s="1" t="str">
        <f t="shared" si="105"/>
        <v/>
      </c>
    </row>
    <row r="2095" spans="14:16" x14ac:dyDescent="0.3">
      <c r="N2095" s="1" t="str">
        <f t="shared" si="103"/>
        <v/>
      </c>
      <c r="O2095" s="1" t="str">
        <f t="shared" si="104"/>
        <v/>
      </c>
      <c r="P2095" s="1" t="str">
        <f t="shared" si="105"/>
        <v/>
      </c>
    </row>
    <row r="2096" spans="14:16" x14ac:dyDescent="0.3">
      <c r="N2096" s="1" t="str">
        <f t="shared" ref="N2096:N2159" si="106">IF(LEN($C2096)&gt;0,H2096-E2096,"")</f>
        <v/>
      </c>
      <c r="O2096" s="1" t="str">
        <f t="shared" ref="O2096:O2159" si="107">IF(LEN($C2096)&gt;0,I2096-F2096,"")</f>
        <v/>
      </c>
      <c r="P2096" s="1" t="str">
        <f t="shared" ref="P2096:P2159" si="108">IF(LEN($C2096)&gt;0,J2096-G2096,"")</f>
        <v/>
      </c>
    </row>
    <row r="2097" spans="14:16" x14ac:dyDescent="0.3">
      <c r="N2097" s="1" t="str">
        <f t="shared" si="106"/>
        <v/>
      </c>
      <c r="O2097" s="1" t="str">
        <f t="shared" si="107"/>
        <v/>
      </c>
      <c r="P2097" s="1" t="str">
        <f t="shared" si="108"/>
        <v/>
      </c>
    </row>
    <row r="2098" spans="14:16" x14ac:dyDescent="0.3">
      <c r="N2098" s="1" t="str">
        <f t="shared" si="106"/>
        <v/>
      </c>
      <c r="O2098" s="1" t="str">
        <f t="shared" si="107"/>
        <v/>
      </c>
      <c r="P2098" s="1" t="str">
        <f t="shared" si="108"/>
        <v/>
      </c>
    </row>
    <row r="2099" spans="14:16" x14ac:dyDescent="0.3">
      <c r="N2099" s="1" t="str">
        <f t="shared" si="106"/>
        <v/>
      </c>
      <c r="O2099" s="1" t="str">
        <f t="shared" si="107"/>
        <v/>
      </c>
      <c r="P2099" s="1" t="str">
        <f t="shared" si="108"/>
        <v/>
      </c>
    </row>
    <row r="2100" spans="14:16" x14ac:dyDescent="0.3">
      <c r="N2100" s="1" t="str">
        <f t="shared" si="106"/>
        <v/>
      </c>
      <c r="O2100" s="1" t="str">
        <f t="shared" si="107"/>
        <v/>
      </c>
      <c r="P2100" s="1" t="str">
        <f t="shared" si="108"/>
        <v/>
      </c>
    </row>
    <row r="2101" spans="14:16" x14ac:dyDescent="0.3">
      <c r="N2101" s="1" t="str">
        <f t="shared" si="106"/>
        <v/>
      </c>
      <c r="O2101" s="1" t="str">
        <f t="shared" si="107"/>
        <v/>
      </c>
      <c r="P2101" s="1" t="str">
        <f t="shared" si="108"/>
        <v/>
      </c>
    </row>
    <row r="2102" spans="14:16" x14ac:dyDescent="0.3">
      <c r="N2102" s="1" t="str">
        <f t="shared" si="106"/>
        <v/>
      </c>
      <c r="O2102" s="1" t="str">
        <f t="shared" si="107"/>
        <v/>
      </c>
      <c r="P2102" s="1" t="str">
        <f t="shared" si="108"/>
        <v/>
      </c>
    </row>
    <row r="2103" spans="14:16" x14ac:dyDescent="0.3">
      <c r="N2103" s="1" t="str">
        <f t="shared" si="106"/>
        <v/>
      </c>
      <c r="O2103" s="1" t="str">
        <f t="shared" si="107"/>
        <v/>
      </c>
      <c r="P2103" s="1" t="str">
        <f t="shared" si="108"/>
        <v/>
      </c>
    </row>
    <row r="2104" spans="14:16" x14ac:dyDescent="0.3">
      <c r="N2104" s="1" t="str">
        <f t="shared" si="106"/>
        <v/>
      </c>
      <c r="O2104" s="1" t="str">
        <f t="shared" si="107"/>
        <v/>
      </c>
      <c r="P2104" s="1" t="str">
        <f t="shared" si="108"/>
        <v/>
      </c>
    </row>
    <row r="2105" spans="14:16" x14ac:dyDescent="0.3">
      <c r="N2105" s="1" t="str">
        <f t="shared" si="106"/>
        <v/>
      </c>
      <c r="O2105" s="1" t="str">
        <f t="shared" si="107"/>
        <v/>
      </c>
      <c r="P2105" s="1" t="str">
        <f t="shared" si="108"/>
        <v/>
      </c>
    </row>
    <row r="2106" spans="14:16" x14ac:dyDescent="0.3">
      <c r="N2106" s="1" t="str">
        <f t="shared" si="106"/>
        <v/>
      </c>
      <c r="O2106" s="1" t="str">
        <f t="shared" si="107"/>
        <v/>
      </c>
      <c r="P2106" s="1" t="str">
        <f t="shared" si="108"/>
        <v/>
      </c>
    </row>
    <row r="2107" spans="14:16" x14ac:dyDescent="0.3">
      <c r="N2107" s="1" t="str">
        <f t="shared" si="106"/>
        <v/>
      </c>
      <c r="O2107" s="1" t="str">
        <f t="shared" si="107"/>
        <v/>
      </c>
      <c r="P2107" s="1" t="str">
        <f t="shared" si="108"/>
        <v/>
      </c>
    </row>
    <row r="2108" spans="14:16" x14ac:dyDescent="0.3">
      <c r="N2108" s="1" t="str">
        <f t="shared" si="106"/>
        <v/>
      </c>
      <c r="O2108" s="1" t="str">
        <f t="shared" si="107"/>
        <v/>
      </c>
      <c r="P2108" s="1" t="str">
        <f t="shared" si="108"/>
        <v/>
      </c>
    </row>
    <row r="2109" spans="14:16" x14ac:dyDescent="0.3">
      <c r="N2109" s="1" t="str">
        <f t="shared" si="106"/>
        <v/>
      </c>
      <c r="O2109" s="1" t="str">
        <f t="shared" si="107"/>
        <v/>
      </c>
      <c r="P2109" s="1" t="str">
        <f t="shared" si="108"/>
        <v/>
      </c>
    </row>
    <row r="2110" spans="14:16" x14ac:dyDescent="0.3">
      <c r="N2110" s="1" t="str">
        <f t="shared" si="106"/>
        <v/>
      </c>
      <c r="O2110" s="1" t="str">
        <f t="shared" si="107"/>
        <v/>
      </c>
      <c r="P2110" s="1" t="str">
        <f t="shared" si="108"/>
        <v/>
      </c>
    </row>
    <row r="2111" spans="14:16" x14ac:dyDescent="0.3">
      <c r="N2111" s="1" t="str">
        <f t="shared" si="106"/>
        <v/>
      </c>
      <c r="O2111" s="1" t="str">
        <f t="shared" si="107"/>
        <v/>
      </c>
      <c r="P2111" s="1" t="str">
        <f t="shared" si="108"/>
        <v/>
      </c>
    </row>
    <row r="2112" spans="14:16" x14ac:dyDescent="0.3">
      <c r="N2112" s="1" t="str">
        <f t="shared" si="106"/>
        <v/>
      </c>
      <c r="O2112" s="1" t="str">
        <f t="shared" si="107"/>
        <v/>
      </c>
      <c r="P2112" s="1" t="str">
        <f t="shared" si="108"/>
        <v/>
      </c>
    </row>
    <row r="2113" spans="14:16" x14ac:dyDescent="0.3">
      <c r="N2113" s="1" t="str">
        <f t="shared" si="106"/>
        <v/>
      </c>
      <c r="O2113" s="1" t="str">
        <f t="shared" si="107"/>
        <v/>
      </c>
      <c r="P2113" s="1" t="str">
        <f t="shared" si="108"/>
        <v/>
      </c>
    </row>
    <row r="2114" spans="14:16" x14ac:dyDescent="0.3">
      <c r="N2114" s="1" t="str">
        <f t="shared" si="106"/>
        <v/>
      </c>
      <c r="O2114" s="1" t="str">
        <f t="shared" si="107"/>
        <v/>
      </c>
      <c r="P2114" s="1" t="str">
        <f t="shared" si="108"/>
        <v/>
      </c>
    </row>
    <row r="2115" spans="14:16" x14ac:dyDescent="0.3">
      <c r="N2115" s="1" t="str">
        <f t="shared" si="106"/>
        <v/>
      </c>
      <c r="O2115" s="1" t="str">
        <f t="shared" si="107"/>
        <v/>
      </c>
      <c r="P2115" s="1" t="str">
        <f t="shared" si="108"/>
        <v/>
      </c>
    </row>
    <row r="2116" spans="14:16" x14ac:dyDescent="0.3">
      <c r="N2116" s="1" t="str">
        <f t="shared" si="106"/>
        <v/>
      </c>
      <c r="O2116" s="1" t="str">
        <f t="shared" si="107"/>
        <v/>
      </c>
      <c r="P2116" s="1" t="str">
        <f t="shared" si="108"/>
        <v/>
      </c>
    </row>
    <row r="2117" spans="14:16" x14ac:dyDescent="0.3">
      <c r="N2117" s="1" t="str">
        <f t="shared" si="106"/>
        <v/>
      </c>
      <c r="O2117" s="1" t="str">
        <f t="shared" si="107"/>
        <v/>
      </c>
      <c r="P2117" s="1" t="str">
        <f t="shared" si="108"/>
        <v/>
      </c>
    </row>
    <row r="2118" spans="14:16" x14ac:dyDescent="0.3">
      <c r="N2118" s="1" t="str">
        <f t="shared" si="106"/>
        <v/>
      </c>
      <c r="O2118" s="1" t="str">
        <f t="shared" si="107"/>
        <v/>
      </c>
      <c r="P2118" s="1" t="str">
        <f t="shared" si="108"/>
        <v/>
      </c>
    </row>
    <row r="2119" spans="14:16" x14ac:dyDescent="0.3">
      <c r="N2119" s="1" t="str">
        <f t="shared" si="106"/>
        <v/>
      </c>
      <c r="O2119" s="1" t="str">
        <f t="shared" si="107"/>
        <v/>
      </c>
      <c r="P2119" s="1" t="str">
        <f t="shared" si="108"/>
        <v/>
      </c>
    </row>
    <row r="2120" spans="14:16" x14ac:dyDescent="0.3">
      <c r="N2120" s="1" t="str">
        <f t="shared" si="106"/>
        <v/>
      </c>
      <c r="O2120" s="1" t="str">
        <f t="shared" si="107"/>
        <v/>
      </c>
      <c r="P2120" s="1" t="str">
        <f t="shared" si="108"/>
        <v/>
      </c>
    </row>
    <row r="2121" spans="14:16" x14ac:dyDescent="0.3">
      <c r="N2121" s="1" t="str">
        <f t="shared" si="106"/>
        <v/>
      </c>
      <c r="O2121" s="1" t="str">
        <f t="shared" si="107"/>
        <v/>
      </c>
      <c r="P2121" s="1" t="str">
        <f t="shared" si="108"/>
        <v/>
      </c>
    </row>
    <row r="2122" spans="14:16" x14ac:dyDescent="0.3">
      <c r="N2122" s="1" t="str">
        <f t="shared" si="106"/>
        <v/>
      </c>
      <c r="O2122" s="1" t="str">
        <f t="shared" si="107"/>
        <v/>
      </c>
      <c r="P2122" s="1" t="str">
        <f t="shared" si="108"/>
        <v/>
      </c>
    </row>
    <row r="2123" spans="14:16" x14ac:dyDescent="0.3">
      <c r="N2123" s="1" t="str">
        <f t="shared" si="106"/>
        <v/>
      </c>
      <c r="O2123" s="1" t="str">
        <f t="shared" si="107"/>
        <v/>
      </c>
      <c r="P2123" s="1" t="str">
        <f t="shared" si="108"/>
        <v/>
      </c>
    </row>
    <row r="2124" spans="14:16" x14ac:dyDescent="0.3">
      <c r="N2124" s="1" t="str">
        <f t="shared" si="106"/>
        <v/>
      </c>
      <c r="O2124" s="1" t="str">
        <f t="shared" si="107"/>
        <v/>
      </c>
      <c r="P2124" s="1" t="str">
        <f t="shared" si="108"/>
        <v/>
      </c>
    </row>
    <row r="2125" spans="14:16" x14ac:dyDescent="0.3">
      <c r="N2125" s="1" t="str">
        <f t="shared" si="106"/>
        <v/>
      </c>
      <c r="O2125" s="1" t="str">
        <f t="shared" si="107"/>
        <v/>
      </c>
      <c r="P2125" s="1" t="str">
        <f t="shared" si="108"/>
        <v/>
      </c>
    </row>
    <row r="2126" spans="14:16" x14ac:dyDescent="0.3">
      <c r="N2126" s="1" t="str">
        <f t="shared" si="106"/>
        <v/>
      </c>
      <c r="O2126" s="1" t="str">
        <f t="shared" si="107"/>
        <v/>
      </c>
      <c r="P2126" s="1" t="str">
        <f t="shared" si="108"/>
        <v/>
      </c>
    </row>
    <row r="2127" spans="14:16" x14ac:dyDescent="0.3">
      <c r="N2127" s="1" t="str">
        <f t="shared" si="106"/>
        <v/>
      </c>
      <c r="O2127" s="1" t="str">
        <f t="shared" si="107"/>
        <v/>
      </c>
      <c r="P2127" s="1" t="str">
        <f t="shared" si="108"/>
        <v/>
      </c>
    </row>
    <row r="2128" spans="14:16" x14ac:dyDescent="0.3">
      <c r="N2128" s="1" t="str">
        <f t="shared" si="106"/>
        <v/>
      </c>
      <c r="O2128" s="1" t="str">
        <f t="shared" si="107"/>
        <v/>
      </c>
      <c r="P2128" s="1" t="str">
        <f t="shared" si="108"/>
        <v/>
      </c>
    </row>
    <row r="2129" spans="14:16" x14ac:dyDescent="0.3">
      <c r="N2129" s="1" t="str">
        <f t="shared" si="106"/>
        <v/>
      </c>
      <c r="O2129" s="1" t="str">
        <f t="shared" si="107"/>
        <v/>
      </c>
      <c r="P2129" s="1" t="str">
        <f t="shared" si="108"/>
        <v/>
      </c>
    </row>
    <row r="2130" spans="14:16" x14ac:dyDescent="0.3">
      <c r="N2130" s="1" t="str">
        <f t="shared" si="106"/>
        <v/>
      </c>
      <c r="O2130" s="1" t="str">
        <f t="shared" si="107"/>
        <v/>
      </c>
      <c r="P2130" s="1" t="str">
        <f t="shared" si="108"/>
        <v/>
      </c>
    </row>
    <row r="2131" spans="14:16" x14ac:dyDescent="0.3">
      <c r="N2131" s="1" t="str">
        <f t="shared" si="106"/>
        <v/>
      </c>
      <c r="O2131" s="1" t="str">
        <f t="shared" si="107"/>
        <v/>
      </c>
      <c r="P2131" s="1" t="str">
        <f t="shared" si="108"/>
        <v/>
      </c>
    </row>
    <row r="2132" spans="14:16" x14ac:dyDescent="0.3">
      <c r="N2132" s="1" t="str">
        <f t="shared" si="106"/>
        <v/>
      </c>
      <c r="O2132" s="1" t="str">
        <f t="shared" si="107"/>
        <v/>
      </c>
      <c r="P2132" s="1" t="str">
        <f t="shared" si="108"/>
        <v/>
      </c>
    </row>
    <row r="2133" spans="14:16" x14ac:dyDescent="0.3">
      <c r="N2133" s="1" t="str">
        <f t="shared" si="106"/>
        <v/>
      </c>
      <c r="O2133" s="1" t="str">
        <f t="shared" si="107"/>
        <v/>
      </c>
      <c r="P2133" s="1" t="str">
        <f t="shared" si="108"/>
        <v/>
      </c>
    </row>
    <row r="2134" spans="14:16" x14ac:dyDescent="0.3">
      <c r="N2134" s="1" t="str">
        <f t="shared" si="106"/>
        <v/>
      </c>
      <c r="O2134" s="1" t="str">
        <f t="shared" si="107"/>
        <v/>
      </c>
      <c r="P2134" s="1" t="str">
        <f t="shared" si="108"/>
        <v/>
      </c>
    </row>
    <row r="2135" spans="14:16" x14ac:dyDescent="0.3">
      <c r="N2135" s="1" t="str">
        <f t="shared" si="106"/>
        <v/>
      </c>
      <c r="O2135" s="1" t="str">
        <f t="shared" si="107"/>
        <v/>
      </c>
      <c r="P2135" s="1" t="str">
        <f t="shared" si="108"/>
        <v/>
      </c>
    </row>
    <row r="2136" spans="14:16" x14ac:dyDescent="0.3">
      <c r="N2136" s="1" t="str">
        <f t="shared" si="106"/>
        <v/>
      </c>
      <c r="O2136" s="1" t="str">
        <f t="shared" si="107"/>
        <v/>
      </c>
      <c r="P2136" s="1" t="str">
        <f t="shared" si="108"/>
        <v/>
      </c>
    </row>
    <row r="2137" spans="14:16" x14ac:dyDescent="0.3">
      <c r="N2137" s="1" t="str">
        <f t="shared" si="106"/>
        <v/>
      </c>
      <c r="O2137" s="1" t="str">
        <f t="shared" si="107"/>
        <v/>
      </c>
      <c r="P2137" s="1" t="str">
        <f t="shared" si="108"/>
        <v/>
      </c>
    </row>
    <row r="2138" spans="14:16" x14ac:dyDescent="0.3">
      <c r="N2138" s="1" t="str">
        <f t="shared" si="106"/>
        <v/>
      </c>
      <c r="O2138" s="1" t="str">
        <f t="shared" si="107"/>
        <v/>
      </c>
      <c r="P2138" s="1" t="str">
        <f t="shared" si="108"/>
        <v/>
      </c>
    </row>
    <row r="2139" spans="14:16" x14ac:dyDescent="0.3">
      <c r="N2139" s="1" t="str">
        <f t="shared" si="106"/>
        <v/>
      </c>
      <c r="O2139" s="1" t="str">
        <f t="shared" si="107"/>
        <v/>
      </c>
      <c r="P2139" s="1" t="str">
        <f t="shared" si="108"/>
        <v/>
      </c>
    </row>
    <row r="2140" spans="14:16" x14ac:dyDescent="0.3">
      <c r="N2140" s="1" t="str">
        <f t="shared" si="106"/>
        <v/>
      </c>
      <c r="O2140" s="1" t="str">
        <f t="shared" si="107"/>
        <v/>
      </c>
      <c r="P2140" s="1" t="str">
        <f t="shared" si="108"/>
        <v/>
      </c>
    </row>
    <row r="2141" spans="14:16" x14ac:dyDescent="0.3">
      <c r="N2141" s="1" t="str">
        <f t="shared" si="106"/>
        <v/>
      </c>
      <c r="O2141" s="1" t="str">
        <f t="shared" si="107"/>
        <v/>
      </c>
      <c r="P2141" s="1" t="str">
        <f t="shared" si="108"/>
        <v/>
      </c>
    </row>
    <row r="2142" spans="14:16" x14ac:dyDescent="0.3">
      <c r="N2142" s="1" t="str">
        <f t="shared" si="106"/>
        <v/>
      </c>
      <c r="O2142" s="1" t="str">
        <f t="shared" si="107"/>
        <v/>
      </c>
      <c r="P2142" s="1" t="str">
        <f t="shared" si="108"/>
        <v/>
      </c>
    </row>
    <row r="2143" spans="14:16" x14ac:dyDescent="0.3">
      <c r="N2143" s="1" t="str">
        <f t="shared" si="106"/>
        <v/>
      </c>
      <c r="O2143" s="1" t="str">
        <f t="shared" si="107"/>
        <v/>
      </c>
      <c r="P2143" s="1" t="str">
        <f t="shared" si="108"/>
        <v/>
      </c>
    </row>
    <row r="2144" spans="14:16" x14ac:dyDescent="0.3">
      <c r="N2144" s="1" t="str">
        <f t="shared" si="106"/>
        <v/>
      </c>
      <c r="O2144" s="1" t="str">
        <f t="shared" si="107"/>
        <v/>
      </c>
      <c r="P2144" s="1" t="str">
        <f t="shared" si="108"/>
        <v/>
      </c>
    </row>
    <row r="2145" spans="14:16" x14ac:dyDescent="0.3">
      <c r="N2145" s="1" t="str">
        <f t="shared" si="106"/>
        <v/>
      </c>
      <c r="O2145" s="1" t="str">
        <f t="shared" si="107"/>
        <v/>
      </c>
      <c r="P2145" s="1" t="str">
        <f t="shared" si="108"/>
        <v/>
      </c>
    </row>
    <row r="2146" spans="14:16" x14ac:dyDescent="0.3">
      <c r="N2146" s="1" t="str">
        <f t="shared" si="106"/>
        <v/>
      </c>
      <c r="O2146" s="1" t="str">
        <f t="shared" si="107"/>
        <v/>
      </c>
      <c r="P2146" s="1" t="str">
        <f t="shared" si="108"/>
        <v/>
      </c>
    </row>
    <row r="2147" spans="14:16" x14ac:dyDescent="0.3">
      <c r="N2147" s="1" t="str">
        <f t="shared" si="106"/>
        <v/>
      </c>
      <c r="O2147" s="1" t="str">
        <f t="shared" si="107"/>
        <v/>
      </c>
      <c r="P2147" s="1" t="str">
        <f t="shared" si="108"/>
        <v/>
      </c>
    </row>
    <row r="2148" spans="14:16" x14ac:dyDescent="0.3">
      <c r="N2148" s="1" t="str">
        <f t="shared" si="106"/>
        <v/>
      </c>
      <c r="O2148" s="1" t="str">
        <f t="shared" si="107"/>
        <v/>
      </c>
      <c r="P2148" s="1" t="str">
        <f t="shared" si="108"/>
        <v/>
      </c>
    </row>
    <row r="2149" spans="14:16" x14ac:dyDescent="0.3">
      <c r="N2149" s="1" t="str">
        <f t="shared" si="106"/>
        <v/>
      </c>
      <c r="O2149" s="1" t="str">
        <f t="shared" si="107"/>
        <v/>
      </c>
      <c r="P2149" s="1" t="str">
        <f t="shared" si="108"/>
        <v/>
      </c>
    </row>
    <row r="2150" spans="14:16" x14ac:dyDescent="0.3">
      <c r="N2150" s="1" t="str">
        <f t="shared" si="106"/>
        <v/>
      </c>
      <c r="O2150" s="1" t="str">
        <f t="shared" si="107"/>
        <v/>
      </c>
      <c r="P2150" s="1" t="str">
        <f t="shared" si="108"/>
        <v/>
      </c>
    </row>
    <row r="2151" spans="14:16" x14ac:dyDescent="0.3">
      <c r="N2151" s="1" t="str">
        <f t="shared" si="106"/>
        <v/>
      </c>
      <c r="O2151" s="1" t="str">
        <f t="shared" si="107"/>
        <v/>
      </c>
      <c r="P2151" s="1" t="str">
        <f t="shared" si="108"/>
        <v/>
      </c>
    </row>
    <row r="2152" spans="14:16" x14ac:dyDescent="0.3">
      <c r="N2152" s="1" t="str">
        <f t="shared" si="106"/>
        <v/>
      </c>
      <c r="O2152" s="1" t="str">
        <f t="shared" si="107"/>
        <v/>
      </c>
      <c r="P2152" s="1" t="str">
        <f t="shared" si="108"/>
        <v/>
      </c>
    </row>
    <row r="2153" spans="14:16" x14ac:dyDescent="0.3">
      <c r="N2153" s="1" t="str">
        <f t="shared" si="106"/>
        <v/>
      </c>
      <c r="O2153" s="1" t="str">
        <f t="shared" si="107"/>
        <v/>
      </c>
      <c r="P2153" s="1" t="str">
        <f t="shared" si="108"/>
        <v/>
      </c>
    </row>
    <row r="2154" spans="14:16" x14ac:dyDescent="0.3">
      <c r="N2154" s="1" t="str">
        <f t="shared" si="106"/>
        <v/>
      </c>
      <c r="O2154" s="1" t="str">
        <f t="shared" si="107"/>
        <v/>
      </c>
      <c r="P2154" s="1" t="str">
        <f t="shared" si="108"/>
        <v/>
      </c>
    </row>
    <row r="2155" spans="14:16" x14ac:dyDescent="0.3">
      <c r="N2155" s="1" t="str">
        <f t="shared" si="106"/>
        <v/>
      </c>
      <c r="O2155" s="1" t="str">
        <f t="shared" si="107"/>
        <v/>
      </c>
      <c r="P2155" s="1" t="str">
        <f t="shared" si="108"/>
        <v/>
      </c>
    </row>
    <row r="2156" spans="14:16" x14ac:dyDescent="0.3">
      <c r="N2156" s="1" t="str">
        <f t="shared" si="106"/>
        <v/>
      </c>
      <c r="O2156" s="1" t="str">
        <f t="shared" si="107"/>
        <v/>
      </c>
      <c r="P2156" s="1" t="str">
        <f t="shared" si="108"/>
        <v/>
      </c>
    </row>
    <row r="2157" spans="14:16" x14ac:dyDescent="0.3">
      <c r="N2157" s="1" t="str">
        <f t="shared" si="106"/>
        <v/>
      </c>
      <c r="O2157" s="1" t="str">
        <f t="shared" si="107"/>
        <v/>
      </c>
      <c r="P2157" s="1" t="str">
        <f t="shared" si="108"/>
        <v/>
      </c>
    </row>
    <row r="2158" spans="14:16" x14ac:dyDescent="0.3">
      <c r="N2158" s="1" t="str">
        <f t="shared" si="106"/>
        <v/>
      </c>
      <c r="O2158" s="1" t="str">
        <f t="shared" si="107"/>
        <v/>
      </c>
      <c r="P2158" s="1" t="str">
        <f t="shared" si="108"/>
        <v/>
      </c>
    </row>
    <row r="2159" spans="14:16" x14ac:dyDescent="0.3">
      <c r="N2159" s="1" t="str">
        <f t="shared" si="106"/>
        <v/>
      </c>
      <c r="O2159" s="1" t="str">
        <f t="shared" si="107"/>
        <v/>
      </c>
      <c r="P2159" s="1" t="str">
        <f t="shared" si="108"/>
        <v/>
      </c>
    </row>
    <row r="2160" spans="14:16" x14ac:dyDescent="0.3">
      <c r="N2160" s="1" t="str">
        <f t="shared" ref="N2160:N2223" si="109">IF(LEN($C2160)&gt;0,H2160-E2160,"")</f>
        <v/>
      </c>
      <c r="O2160" s="1" t="str">
        <f t="shared" ref="O2160:O2223" si="110">IF(LEN($C2160)&gt;0,I2160-F2160,"")</f>
        <v/>
      </c>
      <c r="P2160" s="1" t="str">
        <f t="shared" ref="P2160:P2223" si="111">IF(LEN($C2160)&gt;0,J2160-G2160,"")</f>
        <v/>
      </c>
    </row>
    <row r="2161" spans="14:16" x14ac:dyDescent="0.3">
      <c r="N2161" s="1" t="str">
        <f t="shared" si="109"/>
        <v/>
      </c>
      <c r="O2161" s="1" t="str">
        <f t="shared" si="110"/>
        <v/>
      </c>
      <c r="P2161" s="1" t="str">
        <f t="shared" si="111"/>
        <v/>
      </c>
    </row>
    <row r="2162" spans="14:16" x14ac:dyDescent="0.3">
      <c r="N2162" s="1" t="str">
        <f t="shared" si="109"/>
        <v/>
      </c>
      <c r="O2162" s="1" t="str">
        <f t="shared" si="110"/>
        <v/>
      </c>
      <c r="P2162" s="1" t="str">
        <f t="shared" si="111"/>
        <v/>
      </c>
    </row>
    <row r="2163" spans="14:16" x14ac:dyDescent="0.3">
      <c r="N2163" s="1" t="str">
        <f t="shared" si="109"/>
        <v/>
      </c>
      <c r="O2163" s="1" t="str">
        <f t="shared" si="110"/>
        <v/>
      </c>
      <c r="P2163" s="1" t="str">
        <f t="shared" si="111"/>
        <v/>
      </c>
    </row>
    <row r="2164" spans="14:16" x14ac:dyDescent="0.3">
      <c r="N2164" s="1" t="str">
        <f t="shared" si="109"/>
        <v/>
      </c>
      <c r="O2164" s="1" t="str">
        <f t="shared" si="110"/>
        <v/>
      </c>
      <c r="P2164" s="1" t="str">
        <f t="shared" si="111"/>
        <v/>
      </c>
    </row>
    <row r="2165" spans="14:16" x14ac:dyDescent="0.3">
      <c r="N2165" s="1" t="str">
        <f t="shared" si="109"/>
        <v/>
      </c>
      <c r="O2165" s="1" t="str">
        <f t="shared" si="110"/>
        <v/>
      </c>
      <c r="P2165" s="1" t="str">
        <f t="shared" si="111"/>
        <v/>
      </c>
    </row>
    <row r="2166" spans="14:16" x14ac:dyDescent="0.3">
      <c r="N2166" s="1" t="str">
        <f t="shared" si="109"/>
        <v/>
      </c>
      <c r="O2166" s="1" t="str">
        <f t="shared" si="110"/>
        <v/>
      </c>
      <c r="P2166" s="1" t="str">
        <f t="shared" si="111"/>
        <v/>
      </c>
    </row>
    <row r="2167" spans="14:16" x14ac:dyDescent="0.3">
      <c r="N2167" s="1" t="str">
        <f t="shared" si="109"/>
        <v/>
      </c>
      <c r="O2167" s="1" t="str">
        <f t="shared" si="110"/>
        <v/>
      </c>
      <c r="P2167" s="1" t="str">
        <f t="shared" si="111"/>
        <v/>
      </c>
    </row>
    <row r="2168" spans="14:16" x14ac:dyDescent="0.3">
      <c r="N2168" s="1" t="str">
        <f t="shared" si="109"/>
        <v/>
      </c>
      <c r="O2168" s="1" t="str">
        <f t="shared" si="110"/>
        <v/>
      </c>
      <c r="P2168" s="1" t="str">
        <f t="shared" si="111"/>
        <v/>
      </c>
    </row>
    <row r="2169" spans="14:16" x14ac:dyDescent="0.3">
      <c r="N2169" s="1" t="str">
        <f t="shared" si="109"/>
        <v/>
      </c>
      <c r="O2169" s="1" t="str">
        <f t="shared" si="110"/>
        <v/>
      </c>
      <c r="P2169" s="1" t="str">
        <f t="shared" si="111"/>
        <v/>
      </c>
    </row>
    <row r="2170" spans="14:16" x14ac:dyDescent="0.3">
      <c r="N2170" s="1" t="str">
        <f t="shared" si="109"/>
        <v/>
      </c>
      <c r="O2170" s="1" t="str">
        <f t="shared" si="110"/>
        <v/>
      </c>
      <c r="P2170" s="1" t="str">
        <f t="shared" si="111"/>
        <v/>
      </c>
    </row>
    <row r="2171" spans="14:16" x14ac:dyDescent="0.3">
      <c r="N2171" s="1" t="str">
        <f t="shared" si="109"/>
        <v/>
      </c>
      <c r="O2171" s="1" t="str">
        <f t="shared" si="110"/>
        <v/>
      </c>
      <c r="P2171" s="1" t="str">
        <f t="shared" si="111"/>
        <v/>
      </c>
    </row>
    <row r="2172" spans="14:16" x14ac:dyDescent="0.3">
      <c r="N2172" s="1" t="str">
        <f t="shared" si="109"/>
        <v/>
      </c>
      <c r="O2172" s="1" t="str">
        <f t="shared" si="110"/>
        <v/>
      </c>
      <c r="P2172" s="1" t="str">
        <f t="shared" si="111"/>
        <v/>
      </c>
    </row>
    <row r="2173" spans="14:16" x14ac:dyDescent="0.3">
      <c r="N2173" s="1" t="str">
        <f t="shared" si="109"/>
        <v/>
      </c>
      <c r="O2173" s="1" t="str">
        <f t="shared" si="110"/>
        <v/>
      </c>
      <c r="P2173" s="1" t="str">
        <f t="shared" si="111"/>
        <v/>
      </c>
    </row>
    <row r="2174" spans="14:16" x14ac:dyDescent="0.3">
      <c r="N2174" s="1" t="str">
        <f t="shared" si="109"/>
        <v/>
      </c>
      <c r="O2174" s="1" t="str">
        <f t="shared" si="110"/>
        <v/>
      </c>
      <c r="P2174" s="1" t="str">
        <f t="shared" si="111"/>
        <v/>
      </c>
    </row>
    <row r="2175" spans="14:16" x14ac:dyDescent="0.3">
      <c r="N2175" s="1" t="str">
        <f t="shared" si="109"/>
        <v/>
      </c>
      <c r="O2175" s="1" t="str">
        <f t="shared" si="110"/>
        <v/>
      </c>
      <c r="P2175" s="1" t="str">
        <f t="shared" si="111"/>
        <v/>
      </c>
    </row>
    <row r="2176" spans="14:16" x14ac:dyDescent="0.3">
      <c r="N2176" s="1" t="str">
        <f t="shared" si="109"/>
        <v/>
      </c>
      <c r="O2176" s="1" t="str">
        <f t="shared" si="110"/>
        <v/>
      </c>
      <c r="P2176" s="1" t="str">
        <f t="shared" si="111"/>
        <v/>
      </c>
    </row>
    <row r="2177" spans="14:16" x14ac:dyDescent="0.3">
      <c r="N2177" s="1" t="str">
        <f t="shared" si="109"/>
        <v/>
      </c>
      <c r="O2177" s="1" t="str">
        <f t="shared" si="110"/>
        <v/>
      </c>
      <c r="P2177" s="1" t="str">
        <f t="shared" si="111"/>
        <v/>
      </c>
    </row>
    <row r="2178" spans="14:16" x14ac:dyDescent="0.3">
      <c r="N2178" s="1" t="str">
        <f t="shared" si="109"/>
        <v/>
      </c>
      <c r="O2178" s="1" t="str">
        <f t="shared" si="110"/>
        <v/>
      </c>
      <c r="P2178" s="1" t="str">
        <f t="shared" si="111"/>
        <v/>
      </c>
    </row>
    <row r="2179" spans="14:16" x14ac:dyDescent="0.3">
      <c r="N2179" s="1" t="str">
        <f t="shared" si="109"/>
        <v/>
      </c>
      <c r="O2179" s="1" t="str">
        <f t="shared" si="110"/>
        <v/>
      </c>
      <c r="P2179" s="1" t="str">
        <f t="shared" si="111"/>
        <v/>
      </c>
    </row>
    <row r="2180" spans="14:16" x14ac:dyDescent="0.3">
      <c r="N2180" s="1" t="str">
        <f t="shared" si="109"/>
        <v/>
      </c>
      <c r="O2180" s="1" t="str">
        <f t="shared" si="110"/>
        <v/>
      </c>
      <c r="P2180" s="1" t="str">
        <f t="shared" si="111"/>
        <v/>
      </c>
    </row>
    <row r="2181" spans="14:16" x14ac:dyDescent="0.3">
      <c r="N2181" s="1" t="str">
        <f t="shared" si="109"/>
        <v/>
      </c>
      <c r="O2181" s="1" t="str">
        <f t="shared" si="110"/>
        <v/>
      </c>
      <c r="P2181" s="1" t="str">
        <f t="shared" si="111"/>
        <v/>
      </c>
    </row>
    <row r="2182" spans="14:16" x14ac:dyDescent="0.3">
      <c r="N2182" s="1" t="str">
        <f t="shared" si="109"/>
        <v/>
      </c>
      <c r="O2182" s="1" t="str">
        <f t="shared" si="110"/>
        <v/>
      </c>
      <c r="P2182" s="1" t="str">
        <f t="shared" si="111"/>
        <v/>
      </c>
    </row>
    <row r="2183" spans="14:16" x14ac:dyDescent="0.3">
      <c r="N2183" s="1" t="str">
        <f t="shared" si="109"/>
        <v/>
      </c>
      <c r="O2183" s="1" t="str">
        <f t="shared" si="110"/>
        <v/>
      </c>
      <c r="P2183" s="1" t="str">
        <f t="shared" si="111"/>
        <v/>
      </c>
    </row>
    <row r="2184" spans="14:16" x14ac:dyDescent="0.3">
      <c r="N2184" s="1" t="str">
        <f t="shared" si="109"/>
        <v/>
      </c>
      <c r="O2184" s="1" t="str">
        <f t="shared" si="110"/>
        <v/>
      </c>
      <c r="P2184" s="1" t="str">
        <f t="shared" si="111"/>
        <v/>
      </c>
    </row>
    <row r="2185" spans="14:16" x14ac:dyDescent="0.3">
      <c r="N2185" s="1" t="str">
        <f t="shared" si="109"/>
        <v/>
      </c>
      <c r="O2185" s="1" t="str">
        <f t="shared" si="110"/>
        <v/>
      </c>
      <c r="P2185" s="1" t="str">
        <f t="shared" si="111"/>
        <v/>
      </c>
    </row>
    <row r="2186" spans="14:16" x14ac:dyDescent="0.3">
      <c r="N2186" s="1" t="str">
        <f t="shared" si="109"/>
        <v/>
      </c>
      <c r="O2186" s="1" t="str">
        <f t="shared" si="110"/>
        <v/>
      </c>
      <c r="P2186" s="1" t="str">
        <f t="shared" si="111"/>
        <v/>
      </c>
    </row>
    <row r="2187" spans="14:16" x14ac:dyDescent="0.3">
      <c r="N2187" s="1" t="str">
        <f t="shared" si="109"/>
        <v/>
      </c>
      <c r="O2187" s="1" t="str">
        <f t="shared" si="110"/>
        <v/>
      </c>
      <c r="P2187" s="1" t="str">
        <f t="shared" si="111"/>
        <v/>
      </c>
    </row>
    <row r="2188" spans="14:16" x14ac:dyDescent="0.3">
      <c r="N2188" s="1" t="str">
        <f t="shared" si="109"/>
        <v/>
      </c>
      <c r="O2188" s="1" t="str">
        <f t="shared" si="110"/>
        <v/>
      </c>
      <c r="P2188" s="1" t="str">
        <f t="shared" si="111"/>
        <v/>
      </c>
    </row>
    <row r="2189" spans="14:16" x14ac:dyDescent="0.3">
      <c r="N2189" s="1" t="str">
        <f t="shared" si="109"/>
        <v/>
      </c>
      <c r="O2189" s="1" t="str">
        <f t="shared" si="110"/>
        <v/>
      </c>
      <c r="P2189" s="1" t="str">
        <f t="shared" si="111"/>
        <v/>
      </c>
    </row>
    <row r="2190" spans="14:16" x14ac:dyDescent="0.3">
      <c r="N2190" s="1" t="str">
        <f t="shared" si="109"/>
        <v/>
      </c>
      <c r="O2190" s="1" t="str">
        <f t="shared" si="110"/>
        <v/>
      </c>
      <c r="P2190" s="1" t="str">
        <f t="shared" si="111"/>
        <v/>
      </c>
    </row>
    <row r="2191" spans="14:16" x14ac:dyDescent="0.3">
      <c r="N2191" s="1" t="str">
        <f t="shared" si="109"/>
        <v/>
      </c>
      <c r="O2191" s="1" t="str">
        <f t="shared" si="110"/>
        <v/>
      </c>
      <c r="P2191" s="1" t="str">
        <f t="shared" si="111"/>
        <v/>
      </c>
    </row>
    <row r="2192" spans="14:16" x14ac:dyDescent="0.3">
      <c r="N2192" s="1" t="str">
        <f t="shared" si="109"/>
        <v/>
      </c>
      <c r="O2192" s="1" t="str">
        <f t="shared" si="110"/>
        <v/>
      </c>
      <c r="P2192" s="1" t="str">
        <f t="shared" si="111"/>
        <v/>
      </c>
    </row>
    <row r="2193" spans="14:16" x14ac:dyDescent="0.3">
      <c r="N2193" s="1" t="str">
        <f t="shared" si="109"/>
        <v/>
      </c>
      <c r="O2193" s="1" t="str">
        <f t="shared" si="110"/>
        <v/>
      </c>
      <c r="P2193" s="1" t="str">
        <f t="shared" si="111"/>
        <v/>
      </c>
    </row>
    <row r="2194" spans="14:16" x14ac:dyDescent="0.3">
      <c r="N2194" s="1" t="str">
        <f t="shared" si="109"/>
        <v/>
      </c>
      <c r="O2194" s="1" t="str">
        <f t="shared" si="110"/>
        <v/>
      </c>
      <c r="P2194" s="1" t="str">
        <f t="shared" si="111"/>
        <v/>
      </c>
    </row>
    <row r="2195" spans="14:16" x14ac:dyDescent="0.3">
      <c r="N2195" s="1" t="str">
        <f t="shared" si="109"/>
        <v/>
      </c>
      <c r="O2195" s="1" t="str">
        <f t="shared" si="110"/>
        <v/>
      </c>
      <c r="P2195" s="1" t="str">
        <f t="shared" si="111"/>
        <v/>
      </c>
    </row>
    <row r="2196" spans="14:16" x14ac:dyDescent="0.3">
      <c r="N2196" s="1" t="str">
        <f t="shared" si="109"/>
        <v/>
      </c>
      <c r="O2196" s="1" t="str">
        <f t="shared" si="110"/>
        <v/>
      </c>
      <c r="P2196" s="1" t="str">
        <f t="shared" si="111"/>
        <v/>
      </c>
    </row>
    <row r="2197" spans="14:16" x14ac:dyDescent="0.3">
      <c r="N2197" s="1" t="str">
        <f t="shared" si="109"/>
        <v/>
      </c>
      <c r="O2197" s="1" t="str">
        <f t="shared" si="110"/>
        <v/>
      </c>
      <c r="P2197" s="1" t="str">
        <f t="shared" si="111"/>
        <v/>
      </c>
    </row>
    <row r="2198" spans="14:16" x14ac:dyDescent="0.3">
      <c r="N2198" s="1" t="str">
        <f t="shared" si="109"/>
        <v/>
      </c>
      <c r="O2198" s="1" t="str">
        <f t="shared" si="110"/>
        <v/>
      </c>
      <c r="P2198" s="1" t="str">
        <f t="shared" si="111"/>
        <v/>
      </c>
    </row>
    <row r="2199" spans="14:16" x14ac:dyDescent="0.3">
      <c r="N2199" s="1" t="str">
        <f t="shared" si="109"/>
        <v/>
      </c>
      <c r="O2199" s="1" t="str">
        <f t="shared" si="110"/>
        <v/>
      </c>
      <c r="P2199" s="1" t="str">
        <f t="shared" si="111"/>
        <v/>
      </c>
    </row>
    <row r="2200" spans="14:16" x14ac:dyDescent="0.3">
      <c r="N2200" s="1" t="str">
        <f t="shared" si="109"/>
        <v/>
      </c>
      <c r="O2200" s="1" t="str">
        <f t="shared" si="110"/>
        <v/>
      </c>
      <c r="P2200" s="1" t="str">
        <f t="shared" si="111"/>
        <v/>
      </c>
    </row>
    <row r="2201" spans="14:16" x14ac:dyDescent="0.3">
      <c r="N2201" s="1" t="str">
        <f t="shared" si="109"/>
        <v/>
      </c>
      <c r="O2201" s="1" t="str">
        <f t="shared" si="110"/>
        <v/>
      </c>
      <c r="P2201" s="1" t="str">
        <f t="shared" si="111"/>
        <v/>
      </c>
    </row>
    <row r="2202" spans="14:16" x14ac:dyDescent="0.3">
      <c r="N2202" s="1" t="str">
        <f t="shared" si="109"/>
        <v/>
      </c>
      <c r="O2202" s="1" t="str">
        <f t="shared" si="110"/>
        <v/>
      </c>
      <c r="P2202" s="1" t="str">
        <f t="shared" si="111"/>
        <v/>
      </c>
    </row>
    <row r="2203" spans="14:16" x14ac:dyDescent="0.3">
      <c r="N2203" s="1" t="str">
        <f t="shared" si="109"/>
        <v/>
      </c>
      <c r="O2203" s="1" t="str">
        <f t="shared" si="110"/>
        <v/>
      </c>
      <c r="P2203" s="1" t="str">
        <f t="shared" si="111"/>
        <v/>
      </c>
    </row>
    <row r="2204" spans="14:16" x14ac:dyDescent="0.3">
      <c r="N2204" s="1" t="str">
        <f t="shared" si="109"/>
        <v/>
      </c>
      <c r="O2204" s="1" t="str">
        <f t="shared" si="110"/>
        <v/>
      </c>
      <c r="P2204" s="1" t="str">
        <f t="shared" si="111"/>
        <v/>
      </c>
    </row>
    <row r="2205" spans="14:16" x14ac:dyDescent="0.3">
      <c r="N2205" s="1" t="str">
        <f t="shared" si="109"/>
        <v/>
      </c>
      <c r="O2205" s="1" t="str">
        <f t="shared" si="110"/>
        <v/>
      </c>
      <c r="P2205" s="1" t="str">
        <f t="shared" si="111"/>
        <v/>
      </c>
    </row>
    <row r="2206" spans="14:16" x14ac:dyDescent="0.3">
      <c r="N2206" s="1" t="str">
        <f t="shared" si="109"/>
        <v/>
      </c>
      <c r="O2206" s="1" t="str">
        <f t="shared" si="110"/>
        <v/>
      </c>
      <c r="P2206" s="1" t="str">
        <f t="shared" si="111"/>
        <v/>
      </c>
    </row>
    <row r="2207" spans="14:16" x14ac:dyDescent="0.3">
      <c r="N2207" s="1" t="str">
        <f t="shared" si="109"/>
        <v/>
      </c>
      <c r="O2207" s="1" t="str">
        <f t="shared" si="110"/>
        <v/>
      </c>
      <c r="P2207" s="1" t="str">
        <f t="shared" si="111"/>
        <v/>
      </c>
    </row>
    <row r="2208" spans="14:16" x14ac:dyDescent="0.3">
      <c r="N2208" s="1" t="str">
        <f t="shared" si="109"/>
        <v/>
      </c>
      <c r="O2208" s="1" t="str">
        <f t="shared" si="110"/>
        <v/>
      </c>
      <c r="P2208" s="1" t="str">
        <f t="shared" si="111"/>
        <v/>
      </c>
    </row>
    <row r="2209" spans="14:16" x14ac:dyDescent="0.3">
      <c r="N2209" s="1" t="str">
        <f t="shared" si="109"/>
        <v/>
      </c>
      <c r="O2209" s="1" t="str">
        <f t="shared" si="110"/>
        <v/>
      </c>
      <c r="P2209" s="1" t="str">
        <f t="shared" si="111"/>
        <v/>
      </c>
    </row>
    <row r="2210" spans="14:16" x14ac:dyDescent="0.3">
      <c r="N2210" s="1" t="str">
        <f t="shared" si="109"/>
        <v/>
      </c>
      <c r="O2210" s="1" t="str">
        <f t="shared" si="110"/>
        <v/>
      </c>
      <c r="P2210" s="1" t="str">
        <f t="shared" si="111"/>
        <v/>
      </c>
    </row>
    <row r="2211" spans="14:16" x14ac:dyDescent="0.3">
      <c r="N2211" s="1" t="str">
        <f t="shared" si="109"/>
        <v/>
      </c>
      <c r="O2211" s="1" t="str">
        <f t="shared" si="110"/>
        <v/>
      </c>
      <c r="P2211" s="1" t="str">
        <f t="shared" si="111"/>
        <v/>
      </c>
    </row>
    <row r="2212" spans="14:16" x14ac:dyDescent="0.3">
      <c r="N2212" s="1" t="str">
        <f t="shared" si="109"/>
        <v/>
      </c>
      <c r="O2212" s="1" t="str">
        <f t="shared" si="110"/>
        <v/>
      </c>
      <c r="P2212" s="1" t="str">
        <f t="shared" si="111"/>
        <v/>
      </c>
    </row>
    <row r="2213" spans="14:16" x14ac:dyDescent="0.3">
      <c r="N2213" s="1" t="str">
        <f t="shared" si="109"/>
        <v/>
      </c>
      <c r="O2213" s="1" t="str">
        <f t="shared" si="110"/>
        <v/>
      </c>
      <c r="P2213" s="1" t="str">
        <f t="shared" si="111"/>
        <v/>
      </c>
    </row>
    <row r="2214" spans="14:16" x14ac:dyDescent="0.3">
      <c r="N2214" s="1" t="str">
        <f t="shared" si="109"/>
        <v/>
      </c>
      <c r="O2214" s="1" t="str">
        <f t="shared" si="110"/>
        <v/>
      </c>
      <c r="P2214" s="1" t="str">
        <f t="shared" si="111"/>
        <v/>
      </c>
    </row>
    <row r="2215" spans="14:16" x14ac:dyDescent="0.3">
      <c r="N2215" s="1" t="str">
        <f t="shared" si="109"/>
        <v/>
      </c>
      <c r="O2215" s="1" t="str">
        <f t="shared" si="110"/>
        <v/>
      </c>
      <c r="P2215" s="1" t="str">
        <f t="shared" si="111"/>
        <v/>
      </c>
    </row>
    <row r="2216" spans="14:16" x14ac:dyDescent="0.3">
      <c r="N2216" s="1" t="str">
        <f t="shared" si="109"/>
        <v/>
      </c>
      <c r="O2216" s="1" t="str">
        <f t="shared" si="110"/>
        <v/>
      </c>
      <c r="P2216" s="1" t="str">
        <f t="shared" si="111"/>
        <v/>
      </c>
    </row>
    <row r="2217" spans="14:16" x14ac:dyDescent="0.3">
      <c r="N2217" s="1" t="str">
        <f t="shared" si="109"/>
        <v/>
      </c>
      <c r="O2217" s="1" t="str">
        <f t="shared" si="110"/>
        <v/>
      </c>
      <c r="P2217" s="1" t="str">
        <f t="shared" si="111"/>
        <v/>
      </c>
    </row>
    <row r="2218" spans="14:16" x14ac:dyDescent="0.3">
      <c r="N2218" s="1" t="str">
        <f t="shared" si="109"/>
        <v/>
      </c>
      <c r="O2218" s="1" t="str">
        <f t="shared" si="110"/>
        <v/>
      </c>
      <c r="P2218" s="1" t="str">
        <f t="shared" si="111"/>
        <v/>
      </c>
    </row>
    <row r="2219" spans="14:16" x14ac:dyDescent="0.3">
      <c r="N2219" s="1" t="str">
        <f t="shared" si="109"/>
        <v/>
      </c>
      <c r="O2219" s="1" t="str">
        <f t="shared" si="110"/>
        <v/>
      </c>
      <c r="P2219" s="1" t="str">
        <f t="shared" si="111"/>
        <v/>
      </c>
    </row>
    <row r="2220" spans="14:16" x14ac:dyDescent="0.3">
      <c r="N2220" s="1" t="str">
        <f t="shared" si="109"/>
        <v/>
      </c>
      <c r="O2220" s="1" t="str">
        <f t="shared" si="110"/>
        <v/>
      </c>
      <c r="P2220" s="1" t="str">
        <f t="shared" si="111"/>
        <v/>
      </c>
    </row>
    <row r="2221" spans="14:16" x14ac:dyDescent="0.3">
      <c r="N2221" s="1" t="str">
        <f t="shared" si="109"/>
        <v/>
      </c>
      <c r="O2221" s="1" t="str">
        <f t="shared" si="110"/>
        <v/>
      </c>
      <c r="P2221" s="1" t="str">
        <f t="shared" si="111"/>
        <v/>
      </c>
    </row>
    <row r="2222" spans="14:16" x14ac:dyDescent="0.3">
      <c r="N2222" s="1" t="str">
        <f t="shared" si="109"/>
        <v/>
      </c>
      <c r="O2222" s="1" t="str">
        <f t="shared" si="110"/>
        <v/>
      </c>
      <c r="P2222" s="1" t="str">
        <f t="shared" si="111"/>
        <v/>
      </c>
    </row>
    <row r="2223" spans="14:16" x14ac:dyDescent="0.3">
      <c r="N2223" s="1" t="str">
        <f t="shared" si="109"/>
        <v/>
      </c>
      <c r="O2223" s="1" t="str">
        <f t="shared" si="110"/>
        <v/>
      </c>
      <c r="P2223" s="1" t="str">
        <f t="shared" si="111"/>
        <v/>
      </c>
    </row>
    <row r="2224" spans="14:16" x14ac:dyDescent="0.3">
      <c r="N2224" s="1" t="str">
        <f t="shared" ref="N2224:N2234" si="112">IF(LEN($C2224)&gt;0,H2224-E2224,"")</f>
        <v/>
      </c>
      <c r="O2224" s="1" t="str">
        <f t="shared" ref="O2224:O2234" si="113">IF(LEN($C2224)&gt;0,I2224-F2224,"")</f>
        <v/>
      </c>
      <c r="P2224" s="1" t="str">
        <f t="shared" ref="P2224:P2234" si="114">IF(LEN($C2224)&gt;0,J2224-G2224,"")</f>
        <v/>
      </c>
    </row>
    <row r="2225" spans="14:16" x14ac:dyDescent="0.3">
      <c r="N2225" s="1" t="str">
        <f t="shared" si="112"/>
        <v/>
      </c>
      <c r="O2225" s="1" t="str">
        <f t="shared" si="113"/>
        <v/>
      </c>
      <c r="P2225" s="1" t="str">
        <f t="shared" si="114"/>
        <v/>
      </c>
    </row>
    <row r="2226" spans="14:16" x14ac:dyDescent="0.3">
      <c r="N2226" s="1" t="str">
        <f t="shared" si="112"/>
        <v/>
      </c>
      <c r="O2226" s="1" t="str">
        <f t="shared" si="113"/>
        <v/>
      </c>
      <c r="P2226" s="1" t="str">
        <f t="shared" si="114"/>
        <v/>
      </c>
    </row>
    <row r="2227" spans="14:16" x14ac:dyDescent="0.3">
      <c r="N2227" s="1" t="str">
        <f t="shared" si="112"/>
        <v/>
      </c>
      <c r="O2227" s="1" t="str">
        <f t="shared" si="113"/>
        <v/>
      </c>
      <c r="P2227" s="1" t="str">
        <f t="shared" si="114"/>
        <v/>
      </c>
    </row>
    <row r="2228" spans="14:16" x14ac:dyDescent="0.3">
      <c r="N2228" s="1" t="str">
        <f t="shared" si="112"/>
        <v/>
      </c>
      <c r="O2228" s="1" t="str">
        <f t="shared" si="113"/>
        <v/>
      </c>
      <c r="P2228" s="1" t="str">
        <f t="shared" si="114"/>
        <v/>
      </c>
    </row>
    <row r="2229" spans="14:16" x14ac:dyDescent="0.3">
      <c r="N2229" s="1" t="str">
        <f t="shared" si="112"/>
        <v/>
      </c>
      <c r="O2229" s="1" t="str">
        <f t="shared" si="113"/>
        <v/>
      </c>
      <c r="P2229" s="1" t="str">
        <f t="shared" si="114"/>
        <v/>
      </c>
    </row>
    <row r="2230" spans="14:16" x14ac:dyDescent="0.3">
      <c r="N2230" s="1" t="str">
        <f t="shared" si="112"/>
        <v/>
      </c>
      <c r="O2230" s="1" t="str">
        <f t="shared" si="113"/>
        <v/>
      </c>
      <c r="P2230" s="1" t="str">
        <f t="shared" si="114"/>
        <v/>
      </c>
    </row>
    <row r="2231" spans="14:16" x14ac:dyDescent="0.3">
      <c r="N2231" s="1" t="str">
        <f t="shared" si="112"/>
        <v/>
      </c>
      <c r="O2231" s="1" t="str">
        <f t="shared" si="113"/>
        <v/>
      </c>
      <c r="P2231" s="1" t="str">
        <f t="shared" si="114"/>
        <v/>
      </c>
    </row>
    <row r="2232" spans="14:16" x14ac:dyDescent="0.3">
      <c r="N2232" s="1" t="str">
        <f t="shared" si="112"/>
        <v/>
      </c>
      <c r="O2232" s="1" t="str">
        <f t="shared" si="113"/>
        <v/>
      </c>
      <c r="P2232" s="1" t="str">
        <f t="shared" si="114"/>
        <v/>
      </c>
    </row>
    <row r="2233" spans="14:16" x14ac:dyDescent="0.3">
      <c r="N2233" s="1" t="str">
        <f t="shared" si="112"/>
        <v/>
      </c>
      <c r="O2233" s="1" t="str">
        <f t="shared" si="113"/>
        <v/>
      </c>
      <c r="P2233" s="1" t="str">
        <f t="shared" si="114"/>
        <v/>
      </c>
    </row>
    <row r="2234" spans="14:16" x14ac:dyDescent="0.3">
      <c r="N2234" s="1" t="str">
        <f t="shared" si="112"/>
        <v/>
      </c>
      <c r="O2234" s="1" t="str">
        <f t="shared" si="113"/>
        <v/>
      </c>
      <c r="P2234" s="1" t="str">
        <f t="shared" si="114"/>
        <v/>
      </c>
    </row>
  </sheetData>
  <mergeCells count="3">
    <mergeCell ref="C1:U1"/>
    <mergeCell ref="C2:U2"/>
    <mergeCell ref="F4:V4"/>
  </mergeCells>
  <hyperlinks>
    <hyperlink ref="A6" location="Home!A1" display="Home" xr:uid="{00000000-0004-0000-1400-000000000000}"/>
    <hyperlink ref="A8" location="Setup!A1" display="Model set up" xr:uid="{00000000-0004-0000-1400-000001000000}"/>
    <hyperlink ref="A10" location="Population!A1" display="Population" xr:uid="{00000000-0004-0000-1400-000002000000}"/>
  </hyperlinks>
  <pageMargins left="0.7" right="0.7" top="0.75" bottom="0.75" header="0.3" footer="0.3"/>
  <pageSetup paperSize="9" orientation="portrait" horizontalDpi="4294967293" verticalDpi="300"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A7C646B7-BE3D-493C-A114-48DE445EB91B}">
            <xm:f>NOT(ISERROR(SEARCH($C$4,A6)))</xm:f>
            <xm:f>$C$4</xm:f>
            <x14:dxf>
              <font>
                <b val="0"/>
                <i val="0"/>
                <strike val="0"/>
                <color theme="0"/>
              </font>
              <fill>
                <patternFill>
                  <bgColor theme="5"/>
                </patternFill>
              </fill>
            </x14:dxf>
          </x14:cfRule>
          <xm:sqref>A6:A11 A17:A41</xm:sqref>
        </x14:conditionalFormatting>
        <x14:conditionalFormatting xmlns:xm="http://schemas.microsoft.com/office/excel/2006/main">
          <x14:cfRule type="containsText" priority="1" operator="containsText" id="{03EEBEEA-6962-4C56-8B16-306FA4DDFEFC}">
            <xm:f>NOT(ISERROR(SEARCH($C$4,A12)))</xm:f>
            <xm:f>$C$4</xm:f>
            <x14:dxf>
              <font>
                <b val="0"/>
                <i val="0"/>
                <strike val="0"/>
                <color theme="0"/>
              </font>
              <fill>
                <patternFill>
                  <bgColor theme="5"/>
                </patternFill>
              </fill>
            </x14:dxf>
          </x14:cfRule>
          <xm:sqref>A12:A16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C00000"/>
  </sheetPr>
  <dimension ref="A1:Z2234"/>
  <sheetViews>
    <sheetView workbookViewId="0">
      <selection activeCell="A6" sqref="A6"/>
    </sheetView>
  </sheetViews>
  <sheetFormatPr defaultColWidth="8.625" defaultRowHeight="15" x14ac:dyDescent="0.3"/>
  <cols>
    <col min="1" max="1" width="21" style="1" customWidth="1"/>
    <col min="2" max="2" width="8.625" style="1"/>
    <col min="3" max="3" width="10.5" style="1" customWidth="1"/>
    <col min="4" max="4" width="15.375" style="1" bestFit="1" customWidth="1"/>
    <col min="5" max="5" width="12.375" style="1" customWidth="1"/>
    <col min="6" max="10" width="21.25" style="1" customWidth="1"/>
    <col min="11" max="17" width="8.625" style="1"/>
    <col min="18" max="18" width="10.5" style="1" bestFit="1" customWidth="1"/>
    <col min="19" max="21" width="12.625" style="1" bestFit="1" customWidth="1"/>
    <col min="22" max="16384" width="8.625" style="1"/>
  </cols>
  <sheetData>
    <row r="1" spans="1:26" ht="22.15" customHeight="1" thickTop="1" x14ac:dyDescent="0.3">
      <c r="A1" s="3"/>
      <c r="B1" s="4"/>
      <c r="C1" s="147" t="str">
        <f>ModelTitle</f>
        <v>Kendall DL use in cardiac monitoring associated with Coronary Artery Bypass Grafting (CABG)</v>
      </c>
      <c r="D1" s="147"/>
      <c r="E1" s="147"/>
      <c r="F1" s="147"/>
      <c r="G1" s="147"/>
      <c r="H1" s="147"/>
      <c r="I1" s="147"/>
      <c r="J1" s="147"/>
      <c r="K1" s="147"/>
      <c r="L1" s="147"/>
      <c r="M1" s="147"/>
      <c r="N1" s="147"/>
      <c r="O1" s="147"/>
      <c r="P1" s="147"/>
      <c r="Q1" s="147"/>
      <c r="R1" s="147"/>
      <c r="S1" s="147"/>
      <c r="T1" s="147"/>
      <c r="U1" s="147"/>
      <c r="V1" s="4"/>
      <c r="W1" s="4"/>
      <c r="X1" s="4"/>
      <c r="Y1" s="4"/>
      <c r="Z1" s="4"/>
    </row>
    <row r="2" spans="1:26" ht="22.15" customHeight="1" thickBot="1" x14ac:dyDescent="0.35">
      <c r="A2" s="5"/>
      <c r="B2" s="6"/>
      <c r="C2" s="148" t="str">
        <f>ModelSubtitle</f>
        <v>Budget impact analysis in the United States of America</v>
      </c>
      <c r="D2" s="148"/>
      <c r="E2" s="148"/>
      <c r="F2" s="148"/>
      <c r="G2" s="148"/>
      <c r="H2" s="148"/>
      <c r="I2" s="148"/>
      <c r="J2" s="148"/>
      <c r="K2" s="148"/>
      <c r="L2" s="148"/>
      <c r="M2" s="148"/>
      <c r="N2" s="148"/>
      <c r="O2" s="148"/>
      <c r="P2" s="148"/>
      <c r="Q2" s="148"/>
      <c r="R2" s="148"/>
      <c r="S2" s="148"/>
      <c r="T2" s="148"/>
      <c r="U2" s="148"/>
      <c r="V2" s="6"/>
      <c r="W2" s="6"/>
      <c r="X2" s="6"/>
      <c r="Y2" s="6"/>
      <c r="Z2" s="6"/>
    </row>
    <row r="3" spans="1:26" ht="17.25" thickTop="1" x14ac:dyDescent="0.3">
      <c r="A3" s="2"/>
      <c r="B3" s="109"/>
      <c r="C3" s="109"/>
      <c r="D3" s="109"/>
      <c r="E3" s="109"/>
      <c r="F3" s="109"/>
      <c r="G3" s="109">
        <v>1000</v>
      </c>
      <c r="H3" s="109"/>
      <c r="I3" s="109"/>
      <c r="J3" s="109"/>
      <c r="K3" s="109"/>
      <c r="L3" s="109"/>
      <c r="M3" s="109"/>
      <c r="N3" s="109"/>
      <c r="O3" s="109"/>
      <c r="P3" s="109"/>
      <c r="Q3" s="109"/>
      <c r="R3" s="109"/>
      <c r="S3" s="109"/>
      <c r="T3" s="109"/>
      <c r="U3" s="109"/>
      <c r="V3" s="109"/>
      <c r="W3" s="109"/>
      <c r="X3" s="109"/>
      <c r="Y3" s="109"/>
      <c r="Z3" s="109"/>
    </row>
    <row r="4" spans="1:26" ht="21" customHeight="1" x14ac:dyDescent="0.3">
      <c r="A4" s="7" t="s">
        <v>0</v>
      </c>
      <c r="B4" s="8"/>
      <c r="C4" s="10" t="s">
        <v>380</v>
      </c>
      <c r="D4" s="10"/>
      <c r="E4" s="10"/>
      <c r="F4" s="145" t="s">
        <v>46</v>
      </c>
      <c r="G4" s="145"/>
      <c r="H4" s="145"/>
      <c r="I4" s="145"/>
      <c r="J4" s="145"/>
      <c r="K4" s="145"/>
      <c r="L4" s="145"/>
      <c r="M4" s="145"/>
      <c r="N4" s="145"/>
      <c r="O4" s="145"/>
      <c r="P4" s="145"/>
      <c r="Q4" s="145"/>
      <c r="R4" s="145"/>
      <c r="S4" s="145"/>
      <c r="T4" s="145"/>
      <c r="U4" s="145"/>
      <c r="V4" s="145"/>
      <c r="W4" s="8"/>
      <c r="X4" s="8"/>
      <c r="Y4" s="8"/>
      <c r="Z4" s="8"/>
    </row>
    <row r="5" spans="1:26" ht="17.25" thickBot="1" x14ac:dyDescent="0.35">
      <c r="A5" s="2"/>
      <c r="B5" s="109"/>
      <c r="C5" s="109"/>
      <c r="D5" s="109"/>
      <c r="E5" s="109"/>
      <c r="F5" s="109"/>
      <c r="G5" s="109"/>
      <c r="H5" s="109"/>
      <c r="I5" s="109"/>
      <c r="J5" s="109"/>
      <c r="K5" s="109"/>
      <c r="L5" s="109"/>
      <c r="M5" s="109"/>
      <c r="N5" s="109"/>
      <c r="O5" s="109"/>
      <c r="P5" s="109"/>
      <c r="Q5" s="109"/>
      <c r="R5" s="109"/>
      <c r="S5" s="109"/>
      <c r="T5" s="109"/>
      <c r="U5" s="109"/>
      <c r="V5" s="109"/>
      <c r="W5" s="109"/>
      <c r="X5" s="109"/>
      <c r="Y5" s="109"/>
      <c r="Z5" s="109"/>
    </row>
    <row r="6" spans="1:26" ht="18" thickTop="1" thickBot="1" x14ac:dyDescent="0.35">
      <c r="A6" s="110" t="s">
        <v>1</v>
      </c>
      <c r="C6" s="12"/>
      <c r="D6" s="12"/>
      <c r="E6" s="109"/>
      <c r="F6" s="12"/>
      <c r="G6" s="109"/>
      <c r="H6" s="109"/>
      <c r="I6" s="109"/>
      <c r="J6" s="109"/>
      <c r="K6" s="109"/>
      <c r="L6" s="109"/>
      <c r="M6" s="109"/>
      <c r="N6" s="109"/>
    </row>
    <row r="7" spans="1:26" ht="18" thickTop="1" thickBot="1" x14ac:dyDescent="0.35">
      <c r="A7" s="2"/>
      <c r="C7" t="s">
        <v>381</v>
      </c>
      <c r="D7" s="109"/>
      <c r="E7" s="109"/>
      <c r="F7" s="109"/>
      <c r="G7" s="109"/>
      <c r="H7" s="109"/>
      <c r="I7" s="109"/>
      <c r="J7" s="109"/>
      <c r="K7" s="109"/>
      <c r="L7" s="109"/>
      <c r="M7" s="109"/>
      <c r="S7" s="109"/>
    </row>
    <row r="8" spans="1:26" ht="18" thickTop="1" thickBot="1" x14ac:dyDescent="0.35">
      <c r="A8" s="110" t="s">
        <v>12</v>
      </c>
      <c r="C8"/>
      <c r="D8" s="109"/>
      <c r="E8" s="109"/>
      <c r="F8" s="109"/>
      <c r="G8" s="109"/>
      <c r="H8" s="109"/>
      <c r="I8" s="109"/>
      <c r="J8" s="109"/>
      <c r="K8" s="109"/>
      <c r="L8" s="109"/>
      <c r="M8" s="109"/>
      <c r="S8" s="107"/>
      <c r="T8" s="107"/>
      <c r="U8" s="107"/>
    </row>
    <row r="9" spans="1:26" ht="18.75" thickTop="1" thickBot="1" x14ac:dyDescent="0.35">
      <c r="A9" s="2"/>
      <c r="C9" s="114" t="s">
        <v>382</v>
      </c>
      <c r="D9" s="109"/>
      <c r="E9" s="109"/>
      <c r="F9" s="109"/>
      <c r="G9" s="109"/>
      <c r="H9" s="109"/>
      <c r="I9" s="109"/>
      <c r="J9" s="109"/>
      <c r="K9" s="109"/>
      <c r="L9" s="109"/>
      <c r="M9" s="109"/>
      <c r="S9" s="107"/>
      <c r="T9" s="107"/>
      <c r="U9" s="107"/>
    </row>
    <row r="10" spans="1:26" ht="18" thickTop="1" thickBot="1" x14ac:dyDescent="0.35">
      <c r="A10" s="110" t="s">
        <v>13</v>
      </c>
      <c r="C10"/>
      <c r="D10" s="109"/>
      <c r="E10" s="109"/>
      <c r="F10" s="109"/>
      <c r="G10" s="109"/>
      <c r="H10" s="109"/>
      <c r="I10" s="109"/>
      <c r="J10" s="109"/>
      <c r="K10" s="109"/>
      <c r="L10" s="109"/>
      <c r="M10" s="109"/>
      <c r="S10" s="107"/>
      <c r="T10" s="107"/>
      <c r="U10" s="107"/>
    </row>
    <row r="11" spans="1:26" ht="18" thickTop="1" thickBot="1" x14ac:dyDescent="0.35">
      <c r="A11" s="2"/>
      <c r="C11" s="115" t="s">
        <v>383</v>
      </c>
      <c r="D11" s="109"/>
      <c r="E11" s="109"/>
      <c r="F11" s="109"/>
      <c r="G11" s="109"/>
      <c r="H11" s="109"/>
      <c r="I11" s="109"/>
      <c r="J11" s="109"/>
      <c r="K11" s="109"/>
      <c r="L11" s="109"/>
      <c r="M11" s="109"/>
    </row>
    <row r="12" spans="1:26" ht="18" thickTop="1" thickBot="1" x14ac:dyDescent="0.35">
      <c r="A12" s="110" t="s">
        <v>22</v>
      </c>
      <c r="C12" s="115" t="s">
        <v>384</v>
      </c>
      <c r="D12" s="109"/>
      <c r="E12" s="109"/>
      <c r="F12" s="109"/>
      <c r="G12" s="109"/>
      <c r="H12" s="109"/>
      <c r="I12" s="109"/>
      <c r="J12" s="109"/>
      <c r="K12" s="109"/>
      <c r="L12" s="109"/>
      <c r="M12" s="109"/>
    </row>
    <row r="13" spans="1:26" ht="18" thickTop="1" thickBot="1" x14ac:dyDescent="0.35">
      <c r="A13" s="2"/>
      <c r="C13"/>
      <c r="D13" s="109"/>
      <c r="E13" s="109"/>
      <c r="F13" s="109"/>
      <c r="G13" s="109"/>
      <c r="H13" s="109"/>
      <c r="I13" s="109"/>
      <c r="J13" s="109"/>
      <c r="K13" s="109"/>
      <c r="L13" s="109"/>
      <c r="M13" s="109"/>
    </row>
    <row r="14" spans="1:26" ht="18" thickTop="1" thickBot="1" x14ac:dyDescent="0.35">
      <c r="A14" s="110" t="s">
        <v>23</v>
      </c>
      <c r="C14" s="115" t="s">
        <v>385</v>
      </c>
      <c r="D14" s="109"/>
      <c r="E14" s="109"/>
      <c r="F14" s="109"/>
      <c r="G14" s="109"/>
      <c r="H14" s="109"/>
      <c r="I14" s="109"/>
      <c r="J14" s="109"/>
      <c r="K14" s="109"/>
      <c r="L14" s="109"/>
      <c r="M14" s="109"/>
    </row>
    <row r="15" spans="1:26" ht="18" thickTop="1" thickBot="1" x14ac:dyDescent="0.35">
      <c r="A15" s="2"/>
      <c r="C15" s="115" t="s">
        <v>386</v>
      </c>
      <c r="D15" s="109"/>
      <c r="E15" s="109"/>
      <c r="F15" s="109"/>
      <c r="G15" s="109"/>
      <c r="H15" s="109"/>
      <c r="I15" s="109"/>
      <c r="J15" s="109"/>
      <c r="K15" s="109"/>
      <c r="L15" s="109"/>
      <c r="M15" s="109"/>
    </row>
    <row r="16" spans="1:26" ht="18" thickTop="1" thickBot="1" x14ac:dyDescent="0.35">
      <c r="A16" s="110" t="s">
        <v>24</v>
      </c>
      <c r="C16" s="115" t="s">
        <v>387</v>
      </c>
      <c r="D16" s="109"/>
      <c r="E16" s="109"/>
      <c r="F16" s="109"/>
      <c r="G16" s="109"/>
      <c r="H16" s="109"/>
      <c r="I16" s="109"/>
      <c r="J16" s="109"/>
      <c r="K16" s="109"/>
      <c r="L16" s="109"/>
      <c r="M16" s="109"/>
    </row>
    <row r="17" spans="1:13" ht="18" thickTop="1" thickBot="1" x14ac:dyDescent="0.35">
      <c r="A17" s="2"/>
      <c r="C17" s="115" t="s">
        <v>388</v>
      </c>
      <c r="D17" s="109"/>
      <c r="E17" s="109"/>
      <c r="F17" s="109"/>
      <c r="G17" s="109"/>
      <c r="H17" s="109"/>
      <c r="I17" s="109"/>
      <c r="J17" s="109"/>
      <c r="K17" s="109"/>
      <c r="L17" s="109"/>
      <c r="M17" s="109"/>
    </row>
    <row r="18" spans="1:13" ht="18" thickTop="1" thickBot="1" x14ac:dyDescent="0.35">
      <c r="A18" s="110" t="s">
        <v>2</v>
      </c>
      <c r="C18" s="115" t="s">
        <v>389</v>
      </c>
      <c r="D18" s="109"/>
      <c r="E18" s="109"/>
      <c r="F18" s="109"/>
      <c r="G18" s="109"/>
      <c r="H18" s="109"/>
      <c r="I18" s="109"/>
      <c r="J18" s="109"/>
      <c r="K18" s="109"/>
      <c r="L18" s="109"/>
      <c r="M18" s="109"/>
    </row>
    <row r="19" spans="1:13" ht="18" thickTop="1" thickBot="1" x14ac:dyDescent="0.35">
      <c r="A19" s="2"/>
      <c r="C19"/>
      <c r="D19" s="109"/>
      <c r="E19" s="109"/>
      <c r="F19" s="109"/>
      <c r="G19" s="109"/>
      <c r="H19" s="109"/>
      <c r="I19" s="109"/>
      <c r="J19" s="109"/>
      <c r="K19" s="109"/>
      <c r="L19" s="109"/>
      <c r="M19" s="109"/>
    </row>
    <row r="20" spans="1:13" ht="18" thickTop="1" thickBot="1" x14ac:dyDescent="0.35">
      <c r="A20" s="110" t="s">
        <v>3</v>
      </c>
      <c r="C20"/>
      <c r="D20" s="109"/>
      <c r="E20" s="109"/>
      <c r="F20" s="109"/>
      <c r="G20" s="109"/>
      <c r="H20" s="109"/>
      <c r="I20" s="109"/>
      <c r="J20" s="109"/>
      <c r="K20" s="109"/>
      <c r="L20" s="109"/>
      <c r="M20" s="109"/>
    </row>
    <row r="21" spans="1:13" ht="17.25" thickTop="1" x14ac:dyDescent="0.3">
      <c r="A21" s="2"/>
      <c r="C21" s="116" t="s">
        <v>390</v>
      </c>
      <c r="D21" s="117" t="s">
        <v>391</v>
      </c>
      <c r="E21" s="117" t="s">
        <v>65</v>
      </c>
      <c r="F21" s="109"/>
      <c r="G21" s="109"/>
      <c r="H21" s="109"/>
      <c r="I21" s="109"/>
      <c r="J21" s="109"/>
      <c r="K21" s="109"/>
      <c r="L21" s="109"/>
      <c r="M21" s="109"/>
    </row>
    <row r="22" spans="1:13" ht="16.5" x14ac:dyDescent="0.3">
      <c r="A22" s="2"/>
      <c r="C22" s="115">
        <v>2000</v>
      </c>
      <c r="D22" s="109">
        <v>4.0999999999999996</v>
      </c>
      <c r="E22" s="80">
        <v>100</v>
      </c>
      <c r="F22" s="109"/>
      <c r="G22" s="109"/>
      <c r="H22" s="109"/>
      <c r="I22" s="109"/>
      <c r="J22" s="109"/>
      <c r="K22" s="109"/>
      <c r="L22" s="109"/>
      <c r="M22" s="109"/>
    </row>
    <row r="23" spans="1:13" ht="16.5" x14ac:dyDescent="0.3">
      <c r="A23" s="2"/>
      <c r="C23" s="115">
        <v>2001</v>
      </c>
      <c r="D23" s="109">
        <v>4.5999999999999996</v>
      </c>
      <c r="E23" s="80">
        <f>E22/100*(100+D23)</f>
        <v>104.6</v>
      </c>
      <c r="F23" s="109"/>
      <c r="G23" s="109"/>
      <c r="H23" s="109"/>
      <c r="I23" s="109"/>
      <c r="J23" s="109"/>
      <c r="K23" s="109"/>
      <c r="L23" s="109"/>
      <c r="M23" s="109"/>
    </row>
    <row r="24" spans="1:13" ht="16.5" x14ac:dyDescent="0.3">
      <c r="A24" s="2"/>
      <c r="C24" s="115">
        <v>2002</v>
      </c>
      <c r="D24" s="1">
        <v>4.7</v>
      </c>
      <c r="E24" s="80">
        <f t="shared" ref="E24:E38" si="0">E23/100*(100+D24)</f>
        <v>109.51620000000001</v>
      </c>
    </row>
    <row r="25" spans="1:13" ht="16.5" x14ac:dyDescent="0.3">
      <c r="A25" s="2"/>
      <c r="C25" s="115">
        <v>2003</v>
      </c>
      <c r="D25" s="1">
        <v>4</v>
      </c>
      <c r="E25" s="80">
        <f t="shared" si="0"/>
        <v>113.89684800000002</v>
      </c>
    </row>
    <row r="26" spans="1:13" ht="16.5" x14ac:dyDescent="0.3">
      <c r="A26" s="2"/>
      <c r="C26" s="115">
        <v>2004</v>
      </c>
      <c r="D26" s="1">
        <v>4.4000000000000004</v>
      </c>
      <c r="E26" s="80">
        <f t="shared" si="0"/>
        <v>118.90830931200003</v>
      </c>
    </row>
    <row r="27" spans="1:13" ht="16.5" x14ac:dyDescent="0.3">
      <c r="A27" s="2"/>
      <c r="C27" s="115">
        <v>2005</v>
      </c>
      <c r="D27" s="1">
        <v>4.2</v>
      </c>
      <c r="E27" s="80">
        <f t="shared" si="0"/>
        <v>123.90245830310403</v>
      </c>
    </row>
    <row r="28" spans="1:13" ht="16.5" x14ac:dyDescent="0.3">
      <c r="A28" s="2"/>
      <c r="C28" s="115">
        <v>2006</v>
      </c>
      <c r="D28" s="1">
        <v>4</v>
      </c>
      <c r="E28" s="80">
        <f t="shared" si="0"/>
        <v>128.85855663522818</v>
      </c>
    </row>
    <row r="29" spans="1:13" ht="16.5" x14ac:dyDescent="0.3">
      <c r="A29" s="2"/>
      <c r="C29" s="115">
        <v>2007</v>
      </c>
      <c r="D29" s="1">
        <v>4.4000000000000004</v>
      </c>
      <c r="E29" s="80">
        <f t="shared" si="0"/>
        <v>134.52833312717823</v>
      </c>
    </row>
    <row r="30" spans="1:13" ht="16.5" x14ac:dyDescent="0.3">
      <c r="A30" s="2"/>
      <c r="C30" s="115">
        <v>2008</v>
      </c>
      <c r="D30" s="1">
        <v>3.7</v>
      </c>
      <c r="E30" s="80">
        <f t="shared" si="0"/>
        <v>139.50588145288381</v>
      </c>
    </row>
    <row r="31" spans="1:13" ht="16.5" x14ac:dyDescent="0.3">
      <c r="A31" s="2"/>
      <c r="C31" s="115">
        <v>2009</v>
      </c>
      <c r="D31" s="1">
        <v>3.2</v>
      </c>
      <c r="E31" s="80">
        <f t="shared" si="0"/>
        <v>143.97006965937609</v>
      </c>
    </row>
    <row r="32" spans="1:13" ht="16.5" x14ac:dyDescent="0.3">
      <c r="A32" s="2"/>
      <c r="C32" s="115">
        <v>2010</v>
      </c>
      <c r="D32" s="1">
        <v>3.4</v>
      </c>
      <c r="E32" s="80">
        <f t="shared" si="0"/>
        <v>148.86505202779489</v>
      </c>
    </row>
    <row r="33" spans="1:5" ht="16.5" x14ac:dyDescent="0.3">
      <c r="A33" s="2"/>
      <c r="C33" s="115">
        <v>2011</v>
      </c>
      <c r="D33" s="1">
        <v>3</v>
      </c>
      <c r="E33" s="80">
        <f t="shared" si="0"/>
        <v>153.33100358862873</v>
      </c>
    </row>
    <row r="34" spans="1:5" ht="16.5" x14ac:dyDescent="0.3">
      <c r="A34" s="2"/>
      <c r="C34" s="115">
        <v>2012</v>
      </c>
      <c r="D34" s="1">
        <v>3.7</v>
      </c>
      <c r="E34" s="80">
        <f t="shared" si="0"/>
        <v>159.004250721408</v>
      </c>
    </row>
    <row r="35" spans="1:5" ht="16.5" x14ac:dyDescent="0.3">
      <c r="A35" s="2"/>
      <c r="C35" s="115">
        <v>2013</v>
      </c>
      <c r="D35" s="1">
        <v>2.5</v>
      </c>
      <c r="E35" s="80">
        <f t="shared" si="0"/>
        <v>162.9793569894432</v>
      </c>
    </row>
    <row r="36" spans="1:5" ht="16.5" x14ac:dyDescent="0.3">
      <c r="A36" s="2"/>
      <c r="C36" s="115">
        <v>2014</v>
      </c>
      <c r="D36" s="1">
        <v>2.4</v>
      </c>
      <c r="E36" s="80">
        <f t="shared" si="0"/>
        <v>166.89086155718985</v>
      </c>
    </row>
    <row r="37" spans="1:5" ht="16.5" x14ac:dyDescent="0.3">
      <c r="A37" s="2"/>
      <c r="C37" s="115">
        <v>2015</v>
      </c>
      <c r="D37" s="1">
        <v>2.6</v>
      </c>
      <c r="E37" s="80">
        <f t="shared" si="0"/>
        <v>171.23002395767676</v>
      </c>
    </row>
    <row r="38" spans="1:5" ht="16.5" x14ac:dyDescent="0.3">
      <c r="A38" s="2"/>
      <c r="C38" s="115">
        <v>2016</v>
      </c>
      <c r="D38" s="1">
        <v>3.8</v>
      </c>
      <c r="E38" s="80">
        <f t="shared" si="0"/>
        <v>177.73676486806849</v>
      </c>
    </row>
    <row r="39" spans="1:5" x14ac:dyDescent="0.3">
      <c r="A39" s="2"/>
    </row>
    <row r="40" spans="1:5" x14ac:dyDescent="0.3">
      <c r="A40" s="2"/>
    </row>
    <row r="2230" spans="14:16" x14ac:dyDescent="0.3">
      <c r="N2230" s="1" t="str">
        <f t="shared" ref="N2230:P2234" si="1">IF(LEN($C2230)&gt;0,H2230-E2230,"")</f>
        <v/>
      </c>
      <c r="O2230" s="1" t="str">
        <f t="shared" si="1"/>
        <v/>
      </c>
      <c r="P2230" s="1" t="str">
        <f t="shared" si="1"/>
        <v/>
      </c>
    </row>
    <row r="2231" spans="14:16" x14ac:dyDescent="0.3">
      <c r="N2231" s="1" t="str">
        <f t="shared" si="1"/>
        <v/>
      </c>
      <c r="O2231" s="1" t="str">
        <f t="shared" si="1"/>
        <v/>
      </c>
      <c r="P2231" s="1" t="str">
        <f t="shared" si="1"/>
        <v/>
      </c>
    </row>
    <row r="2232" spans="14:16" x14ac:dyDescent="0.3">
      <c r="N2232" s="1" t="str">
        <f t="shared" si="1"/>
        <v/>
      </c>
      <c r="O2232" s="1" t="str">
        <f t="shared" si="1"/>
        <v/>
      </c>
      <c r="P2232" s="1" t="str">
        <f t="shared" si="1"/>
        <v/>
      </c>
    </row>
    <row r="2233" spans="14:16" x14ac:dyDescent="0.3">
      <c r="N2233" s="1" t="str">
        <f t="shared" si="1"/>
        <v/>
      </c>
      <c r="O2233" s="1" t="str">
        <f t="shared" si="1"/>
        <v/>
      </c>
      <c r="P2233" s="1" t="str">
        <f t="shared" si="1"/>
        <v/>
      </c>
    </row>
    <row r="2234" spans="14:16" x14ac:dyDescent="0.3">
      <c r="N2234" s="1" t="str">
        <f t="shared" si="1"/>
        <v/>
      </c>
      <c r="O2234" s="1" t="str">
        <f t="shared" si="1"/>
        <v/>
      </c>
      <c r="P2234" s="1" t="str">
        <f t="shared" si="1"/>
        <v/>
      </c>
    </row>
  </sheetData>
  <mergeCells count="3">
    <mergeCell ref="C1:U1"/>
    <mergeCell ref="C2:U2"/>
    <mergeCell ref="F4:V4"/>
  </mergeCells>
  <hyperlinks>
    <hyperlink ref="A6" location="Home!A1" display="Home" xr:uid="{00000000-0004-0000-1500-000000000000}"/>
    <hyperlink ref="A8" location="Setup!A1" display="Model set up" xr:uid="{00000000-0004-0000-1500-000001000000}"/>
    <hyperlink ref="A10" location="Population!A1" display="Population" xr:uid="{00000000-0004-0000-1500-000002000000}"/>
  </hyperlinks>
  <pageMargins left="0.7" right="0.7" top="0.75" bottom="0.75" header="0.3" footer="0.3"/>
  <pageSetup paperSize="9" orientation="portrait" horizontalDpi="4294967293" verticalDpi="300"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FD38A3B1-3D31-4279-BA0C-86E76218E361}">
            <xm:f>NOT(ISERROR(SEARCH($C$4,A6)))</xm:f>
            <xm:f>$C$4</xm:f>
            <x14:dxf>
              <font>
                <b val="0"/>
                <i val="0"/>
                <strike val="0"/>
                <color theme="0"/>
              </font>
              <fill>
                <patternFill>
                  <bgColor theme="5"/>
                </patternFill>
              </fill>
            </x14:dxf>
          </x14:cfRule>
          <xm:sqref>A6:A11 A17:A41</xm:sqref>
        </x14:conditionalFormatting>
        <x14:conditionalFormatting xmlns:xm="http://schemas.microsoft.com/office/excel/2006/main">
          <x14:cfRule type="containsText" priority="1" operator="containsText" id="{2A4FBD8F-1FB1-4F8B-B643-3DF714AB43CD}">
            <xm:f>NOT(ISERROR(SEARCH($C$4,A12)))</xm:f>
            <xm:f>$C$4</xm:f>
            <x14:dxf>
              <font>
                <b val="0"/>
                <i val="0"/>
                <strike val="0"/>
                <color theme="0"/>
              </font>
              <fill>
                <patternFill>
                  <bgColor theme="5"/>
                </patternFill>
              </fill>
            </x14:dxf>
          </x14:cfRule>
          <xm:sqref>A12:A16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22</vt:i4>
      </vt:variant>
      <vt:variant>
        <vt:lpstr>Именованные диапазоны</vt:lpstr>
      </vt:variant>
      <vt:variant>
        <vt:i4>83</vt:i4>
      </vt:variant>
    </vt:vector>
  </HeadingPairs>
  <TitlesOfParts>
    <vt:vector size="105" baseType="lpstr">
      <vt:lpstr>Home</vt:lpstr>
      <vt:lpstr>Setup</vt:lpstr>
      <vt:lpstr>Population</vt:lpstr>
      <vt:lpstr>Interventions</vt:lpstr>
      <vt:lpstr>Events</vt:lpstr>
      <vt:lpstr>Adverse events</vt:lpstr>
      <vt:lpstr>Risk factors</vt:lpstr>
      <vt:lpstr>Costs</vt:lpstr>
      <vt:lpstr>Costs AE</vt:lpstr>
      <vt:lpstr>Results</vt:lpstr>
      <vt:lpstr>Sensitivity</vt:lpstr>
      <vt:lpstr>Background</vt:lpstr>
      <vt:lpstr>Cell options</vt:lpstr>
      <vt:lpstr>Parameters</vt:lpstr>
      <vt:lpstr>Defaults</vt:lpstr>
      <vt:lpstr>Calculations</vt:lpstr>
      <vt:lpstr>Markov</vt:lpstr>
      <vt:lpstr>MarkovKendall</vt:lpstr>
      <vt:lpstr>Results summary</vt:lpstr>
      <vt:lpstr>LifeTable</vt:lpstr>
      <vt:lpstr>Sensitivity results</vt:lpstr>
      <vt:lpstr>Inflation</vt:lpstr>
      <vt:lpstr>CostDiscount</vt:lpstr>
      <vt:lpstr>Currency</vt:lpstr>
      <vt:lpstr>Death_per_year</vt:lpstr>
      <vt:lpstr>i_Adv_Alar</vt:lpstr>
      <vt:lpstr>i_Adv_DSWI</vt:lpstr>
      <vt:lpstr>i_Adv_Fals</vt:lpstr>
      <vt:lpstr>i_Adv_In_h</vt:lpstr>
      <vt:lpstr>i_Adv_Lead</vt:lpstr>
      <vt:lpstr>i_Adv_Mort</vt:lpstr>
      <vt:lpstr>i_Adv_SSI</vt:lpstr>
      <vt:lpstr>i_Adv_Surg</vt:lpstr>
      <vt:lpstr>i_Bac_CABG_death</vt:lpstr>
      <vt:lpstr>i_BAC_DSWI_1y</vt:lpstr>
      <vt:lpstr>i_BAC_DSWI_30d</vt:lpstr>
      <vt:lpstr>i_BAC_DSWI_90d</vt:lpstr>
      <vt:lpstr>i_Bac_ICU</vt:lpstr>
      <vt:lpstr>i_Bac_MV_days</vt:lpstr>
      <vt:lpstr>i_Bac_Obes</vt:lpstr>
      <vt:lpstr>i_Bac_SSI_30d</vt:lpstr>
      <vt:lpstr>i_Bac_SSI_90d</vt:lpstr>
      <vt:lpstr>i_Bac_SSI_9d</vt:lpstr>
      <vt:lpstr>i_Cos_CABG</vt:lpstr>
      <vt:lpstr>i_Cos_Care</vt:lpstr>
      <vt:lpstr>i_Cos_Days</vt:lpstr>
      <vt:lpstr>i_Cos_DSWI</vt:lpstr>
      <vt:lpstr>i_Cos_Fals</vt:lpstr>
      <vt:lpstr>i_Cos_Gene</vt:lpstr>
      <vt:lpstr>i_Cos_ICU</vt:lpstr>
      <vt:lpstr>i_Cos_Inpa_DSWI</vt:lpstr>
      <vt:lpstr>i_Cos_Inpa_SSI</vt:lpstr>
      <vt:lpstr>i_Cos_Lead</vt:lpstr>
      <vt:lpstr>i_Cos_Mech</vt:lpstr>
      <vt:lpstr>i_Cos_Mort</vt:lpstr>
      <vt:lpstr>i_Cos_Nurs</vt:lpstr>
      <vt:lpstr>i_Cos_Outp</vt:lpstr>
      <vt:lpstr>i_Cos_Pati</vt:lpstr>
      <vt:lpstr>i_Cos_Read</vt:lpstr>
      <vt:lpstr>i_Cos_SSI</vt:lpstr>
      <vt:lpstr>i_Eve_Care</vt:lpstr>
      <vt:lpstr>i_Eve_ECG</vt:lpstr>
      <vt:lpstr>i_Eve_Faci</vt:lpstr>
      <vt:lpstr>i_Eve_Home</vt:lpstr>
      <vt:lpstr>i_Eve_Hosp</vt:lpstr>
      <vt:lpstr>i_Eve_ICU</vt:lpstr>
      <vt:lpstr>i_Eve_Prol</vt:lpstr>
      <vt:lpstr>i_Eve_Reop</vt:lpstr>
      <vt:lpstr>i_Eve_Time</vt:lpstr>
      <vt:lpstr>i_Int_Cost</vt:lpstr>
      <vt:lpstr>i_Int_Effi</vt:lpstr>
      <vt:lpstr>i_Int_Kend_cost</vt:lpstr>
      <vt:lpstr>i_Int_Kend_false</vt:lpstr>
      <vt:lpstr>i_Int_Kend_leadsoff</vt:lpstr>
      <vt:lpstr>i_Int_Kend_MS</vt:lpstr>
      <vt:lpstr>i_Int_Kend_MS_inc</vt:lpstr>
      <vt:lpstr>i_Int_Kend_ssi</vt:lpstr>
      <vt:lpstr>i_Int_Mark</vt:lpstr>
      <vt:lpstr>i_Int_Numb</vt:lpstr>
      <vt:lpstr>i_Int_Numb_cable</vt:lpstr>
      <vt:lpstr>i_Int_Purc_cable</vt:lpstr>
      <vt:lpstr>i_Int_Purc_lead</vt:lpstr>
      <vt:lpstr>i_Pop_Age</vt:lpstr>
      <vt:lpstr>i_Pop_Diab</vt:lpstr>
      <vt:lpstr>i_Pop_Gend</vt:lpstr>
      <vt:lpstr>i_Pop_Morb</vt:lpstr>
      <vt:lpstr>i_Pop_Obes</vt:lpstr>
      <vt:lpstr>i_Ris_Age</vt:lpstr>
      <vt:lpstr>i_Ris_Diab</vt:lpstr>
      <vt:lpstr>i_Ris_DSWI</vt:lpstr>
      <vt:lpstr>i_Ris_Gend</vt:lpstr>
      <vt:lpstr>i_Ris_Hosp</vt:lpstr>
      <vt:lpstr>i_Ris_Leng</vt:lpstr>
      <vt:lpstr>i_Ris_Prol</vt:lpstr>
      <vt:lpstr>i_Ris_Risk</vt:lpstr>
      <vt:lpstr>i_Set_CABG</vt:lpstr>
      <vt:lpstr>i_Set_Cost</vt:lpstr>
      <vt:lpstr>i_Set_Curr</vt:lpstr>
      <vt:lpstr>i_Set_Time</vt:lpstr>
      <vt:lpstr>i_Set_Year</vt:lpstr>
      <vt:lpstr>Inflation</vt:lpstr>
      <vt:lpstr>Mean_mortality</vt:lpstr>
      <vt:lpstr>ModelSubtitle</vt:lpstr>
      <vt:lpstr>ModelTitle</vt:lpstr>
      <vt:lpstr>TimeHorizon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Rhodri Saunders</dc:creator>
  <cp:lastModifiedBy>admin</cp:lastModifiedBy>
  <cp:lastPrinted>2017-12-15T11:00:12Z</cp:lastPrinted>
  <dcterms:created xsi:type="dcterms:W3CDTF">2015-12-15T13:31:48Z</dcterms:created>
  <dcterms:modified xsi:type="dcterms:W3CDTF">2018-08-01T13:53:37Z</dcterms:modified>
</cp:coreProperties>
</file>